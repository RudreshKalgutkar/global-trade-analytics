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1.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6.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240" yWindow="105" windowWidth="14805" windowHeight="8010" firstSheet="7" activeTab="9"/>
  </bookViews>
  <sheets>
    <sheet name="Data Cleaning &amp; Formatting" sheetId="1" r:id="rId1"/>
    <sheet name="Formulas &amp; Business Metrics" sheetId="2" r:id="rId2"/>
    <sheet name="Text Parsing &amp; ID Generation" sheetId="3" r:id="rId3"/>
    <sheet name="Logical Classification" sheetId="4" r:id="rId4"/>
    <sheet name="Cross Workbook Lookups" sheetId="5" r:id="rId5"/>
    <sheet name="Conditional Aggregation" sheetId="19" r:id="rId6"/>
    <sheet name="Pivot Analysis" sheetId="17" r:id="rId7"/>
    <sheet name="Comparative Charts" sheetId="11" r:id="rId8"/>
    <sheet name="Macro Recording" sheetId="13" r:id="rId9"/>
    <sheet name="Trade Performance Dashboard" sheetId="14" r:id="rId10"/>
    <sheet name="Supporting Analysis" sheetId="20" r:id="rId11"/>
    <sheet name="Raw_Data" sheetId="12" r:id="rId12"/>
    <sheet name="Products" sheetId="6" r:id="rId13"/>
    <sheet name="Regions" sheetId="7" r:id="rId14"/>
    <sheet name="Monthly_Performance" sheetId="8" r:id="rId15"/>
  </sheets>
  <definedNames>
    <definedName name="_xlnm._FilterDatabase" localSheetId="10" hidden="1">'Supporting Analysis'!$C$48:$D$58</definedName>
    <definedName name="macro">#REF!</definedName>
    <definedName name="macro10">#REF!</definedName>
    <definedName name="Slicer_Category">#N/A</definedName>
    <definedName name="Slicer_Order_Priority">#N/A</definedName>
  </definedNames>
  <calcPr calcId="152511"/>
  <pivotCaches>
    <pivotCache cacheId="0" r:id="rId16"/>
  </pivotCaches>
  <extLst>
    <ext xmlns:x14="http://schemas.microsoft.com/office/spreadsheetml/2009/9/main" uri="{BBE1A952-AA13-448e-AADC-164F8A28A991}">
      <x14:slicerCaches>
        <x14:slicerCache r:id="rId17"/>
        <x14:slicerCache r:id="rId18"/>
      </x14:slicerCaches>
    </ext>
    <ext xmlns:x14="http://schemas.microsoft.com/office/spreadsheetml/2009/9/main" uri="{79F54976-1DA5-4618-B147-4CDE4B953A38}">
      <x14:workbookPr/>
    </ext>
  </extLst>
</workbook>
</file>

<file path=xl/calcChain.xml><?xml version="1.0" encoding="utf-8"?>
<calcChain xmlns="http://schemas.openxmlformats.org/spreadsheetml/2006/main">
  <c r="S33" i="17" l="1"/>
  <c r="S34" i="17"/>
  <c r="S35" i="17"/>
  <c r="S36" i="17"/>
  <c r="S37" i="17"/>
  <c r="S38" i="17"/>
  <c r="S39" i="17"/>
  <c r="S40" i="17"/>
  <c r="S41" i="17"/>
  <c r="S32" i="17"/>
  <c r="I3" i="2" l="1"/>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1"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2" i="2"/>
  <c r="C3" i="1" l="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2" i="1"/>
  <c r="G75" i="20" l="1"/>
  <c r="G76" i="20"/>
  <c r="G74" i="20"/>
  <c r="D54" i="20"/>
  <c r="D50" i="20"/>
  <c r="D57" i="20"/>
  <c r="D58" i="20"/>
  <c r="D52" i="20"/>
  <c r="D53" i="20"/>
  <c r="D55" i="20"/>
  <c r="D51" i="20"/>
  <c r="D49" i="20"/>
  <c r="D56" i="20"/>
  <c r="J36" i="20" l="1"/>
  <c r="J35" i="20"/>
  <c r="J34" i="20"/>
  <c r="J33" i="20"/>
  <c r="J32" i="20"/>
  <c r="J31" i="20"/>
  <c r="V9" i="14" a="1"/>
  <c r="V9" i="14" s="1"/>
  <c r="S9" i="14" a="1"/>
  <c r="S9" i="14" s="1"/>
  <c r="P9" i="14" l="1"/>
  <c r="J9" i="14"/>
  <c r="G9" i="14"/>
  <c r="D9" i="14"/>
  <c r="F31" i="19" l="1"/>
  <c r="F32" i="19"/>
  <c r="F33" i="19"/>
  <c r="F34" i="19"/>
  <c r="F35" i="19"/>
  <c r="F30" i="19"/>
  <c r="E31" i="19"/>
  <c r="E32" i="19"/>
  <c r="E33" i="19"/>
  <c r="E34" i="19"/>
  <c r="E35" i="19"/>
  <c r="E30" i="19"/>
  <c r="D31" i="19"/>
  <c r="D32" i="19"/>
  <c r="D33" i="19"/>
  <c r="D34" i="19"/>
  <c r="D35" i="19"/>
  <c r="D30" i="19"/>
  <c r="C31" i="19"/>
  <c r="C32" i="19"/>
  <c r="C33" i="19"/>
  <c r="C34" i="19"/>
  <c r="C35" i="19"/>
  <c r="C30" i="19"/>
  <c r="B31" i="19"/>
  <c r="B32" i="19"/>
  <c r="B33" i="19"/>
  <c r="B34" i="19"/>
  <c r="B35" i="19"/>
  <c r="B30" i="19"/>
  <c r="F22" i="19"/>
  <c r="F23" i="19"/>
  <c r="F24" i="19"/>
  <c r="F25" i="19"/>
  <c r="F26" i="19"/>
  <c r="F21" i="19"/>
  <c r="E22" i="19"/>
  <c r="E23" i="19"/>
  <c r="E24" i="19"/>
  <c r="E25" i="19"/>
  <c r="E26" i="19"/>
  <c r="E21" i="19"/>
  <c r="D22" i="19"/>
  <c r="D23" i="19"/>
  <c r="D24" i="19"/>
  <c r="D25" i="19"/>
  <c r="D26" i="19"/>
  <c r="D21" i="19"/>
  <c r="C22" i="19"/>
  <c r="C23" i="19"/>
  <c r="C24" i="19"/>
  <c r="C25" i="19"/>
  <c r="C26" i="19"/>
  <c r="C21" i="19"/>
  <c r="B22" i="19"/>
  <c r="B23" i="19"/>
  <c r="B24" i="19"/>
  <c r="B25" i="19"/>
  <c r="B26" i="19"/>
  <c r="B21" i="19"/>
  <c r="G35" i="19" l="1"/>
  <c r="G31" i="19"/>
  <c r="G34" i="19"/>
  <c r="G26" i="19"/>
  <c r="G22" i="19"/>
  <c r="G33" i="19"/>
  <c r="G30" i="19"/>
  <c r="G32" i="19"/>
  <c r="G24" i="19"/>
  <c r="G21" i="19"/>
  <c r="G23" i="19"/>
  <c r="G25" i="19"/>
  <c r="F13" i="19"/>
  <c r="F14" i="19"/>
  <c r="F15" i="19"/>
  <c r="F16" i="19"/>
  <c r="F17" i="19"/>
  <c r="F12" i="19"/>
  <c r="E13" i="19"/>
  <c r="E14" i="19"/>
  <c r="E15" i="19"/>
  <c r="E16" i="19"/>
  <c r="E17" i="19"/>
  <c r="E12" i="19"/>
  <c r="D13" i="19"/>
  <c r="D14" i="19"/>
  <c r="D15" i="19"/>
  <c r="D16" i="19"/>
  <c r="D17" i="19"/>
  <c r="D12" i="19"/>
  <c r="C13" i="19"/>
  <c r="C14" i="19"/>
  <c r="C15" i="19"/>
  <c r="C16" i="19"/>
  <c r="C17" i="19"/>
  <c r="C12" i="19"/>
  <c r="B13" i="19"/>
  <c r="B14" i="19"/>
  <c r="B15" i="19"/>
  <c r="B16" i="19"/>
  <c r="G16" i="19" s="1"/>
  <c r="B17" i="19"/>
  <c r="B12" i="19"/>
  <c r="B3" i="19"/>
  <c r="F4" i="19"/>
  <c r="F5" i="19"/>
  <c r="F6" i="19"/>
  <c r="F7" i="19"/>
  <c r="F8" i="19"/>
  <c r="E4" i="19"/>
  <c r="E5" i="19"/>
  <c r="E6" i="19"/>
  <c r="E7" i="19"/>
  <c r="E8" i="19"/>
  <c r="D4" i="19"/>
  <c r="D5" i="19"/>
  <c r="D6" i="19"/>
  <c r="D7" i="19"/>
  <c r="D8" i="19"/>
  <c r="C4" i="19"/>
  <c r="C5" i="19"/>
  <c r="C6" i="19"/>
  <c r="C7" i="19"/>
  <c r="C8" i="19"/>
  <c r="F3" i="19"/>
  <c r="E3" i="19"/>
  <c r="D3" i="19"/>
  <c r="C3" i="19"/>
  <c r="B4" i="19"/>
  <c r="B5" i="19"/>
  <c r="B6" i="19"/>
  <c r="B7" i="19"/>
  <c r="B8" i="19"/>
  <c r="G12" i="19" l="1"/>
  <c r="G14" i="19"/>
  <c r="G5" i="19"/>
  <c r="G17" i="19"/>
  <c r="G13" i="19"/>
  <c r="G7" i="19"/>
  <c r="G8" i="19"/>
  <c r="G15" i="19"/>
  <c r="J4" i="19" s="1"/>
  <c r="G4" i="19"/>
  <c r="G6" i="19"/>
  <c r="L4" i="19"/>
  <c r="K4" i="19"/>
  <c r="G3" i="19"/>
  <c r="D3" i="5"/>
  <c r="D4" i="5"/>
  <c r="D5" i="5"/>
  <c r="D6" i="5"/>
  <c r="D7" i="5"/>
  <c r="D8" i="5"/>
  <c r="D9" i="5"/>
  <c r="D10" i="5"/>
  <c r="D11" i="5"/>
  <c r="D2" i="5"/>
  <c r="B3" i="5"/>
  <c r="I4" i="19" l="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2" i="1"/>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2" i="2"/>
  <c r="C3" i="5" l="1"/>
  <c r="C4" i="5"/>
  <c r="C5" i="5"/>
  <c r="C6" i="5"/>
  <c r="C7" i="5"/>
  <c r="C8" i="5"/>
  <c r="C9" i="5"/>
  <c r="C10" i="5"/>
  <c r="C11" i="5"/>
  <c r="C2" i="5"/>
  <c r="B4" i="5"/>
  <c r="B5" i="5"/>
  <c r="B6" i="5"/>
  <c r="B7" i="5"/>
  <c r="B8" i="5"/>
  <c r="B9" i="5"/>
  <c r="B10" i="5"/>
  <c r="B11" i="5"/>
  <c r="B2" i="5"/>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2" i="4"/>
  <c r="C2" i="4"/>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2" i="2"/>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2"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3" i="3"/>
  <c r="C4" i="3"/>
  <c r="C2"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490" i="3"/>
  <c r="B491" i="3"/>
  <c r="B492" i="3"/>
  <c r="B493" i="3"/>
  <c r="B494" i="3"/>
  <c r="B495" i="3"/>
  <c r="B496" i="3"/>
  <c r="B497" i="3"/>
  <c r="B498" i="3"/>
  <c r="B499" i="3"/>
  <c r="B500" i="3"/>
  <c r="B501" i="3"/>
  <c r="B2" i="3"/>
  <c r="P66" i="20" l="1"/>
  <c r="P68" i="20"/>
  <c r="P70" i="20"/>
  <c r="P67" i="20"/>
  <c r="P69" i="20"/>
  <c r="S18" i="2"/>
  <c r="P65" i="20"/>
  <c r="M9" i="14"/>
  <c r="S12" i="2"/>
  <c r="S15" i="2"/>
</calcChain>
</file>

<file path=xl/sharedStrings.xml><?xml version="1.0" encoding="utf-8"?>
<sst xmlns="http://schemas.openxmlformats.org/spreadsheetml/2006/main" count="15364" uniqueCount="1086">
  <si>
    <t>Order_ID</t>
  </si>
  <si>
    <t>Order_Date</t>
  </si>
  <si>
    <t>Customer_Name</t>
  </si>
  <si>
    <t>Country</t>
  </si>
  <si>
    <t>Product</t>
  </si>
  <si>
    <t>Category</t>
  </si>
  <si>
    <t>Quantity</t>
  </si>
  <si>
    <t>Unit_Price</t>
  </si>
  <si>
    <t>Total_Sales</t>
  </si>
  <si>
    <t>Shipping_Cost</t>
  </si>
  <si>
    <t>Profit</t>
  </si>
  <si>
    <t>Ship_Mode</t>
  </si>
  <si>
    <t>Order_Priority</t>
  </si>
  <si>
    <t>Region_Code</t>
  </si>
  <si>
    <t>ORD_2025_0001</t>
  </si>
  <si>
    <t>Smith, Emily</t>
  </si>
  <si>
    <t>USA</t>
  </si>
  <si>
    <t>Travel Backpack</t>
  </si>
  <si>
    <t>Accessories</t>
  </si>
  <si>
    <t>Land</t>
  </si>
  <si>
    <t>Low</t>
  </si>
  <si>
    <t>NA</t>
  </si>
  <si>
    <t>ORD_2025_0002</t>
  </si>
  <si>
    <t>Brown, Laura</t>
  </si>
  <si>
    <t>UK</t>
  </si>
  <si>
    <t>Leather Wallet</t>
  </si>
  <si>
    <t>Sea</t>
  </si>
  <si>
    <t>Medium</t>
  </si>
  <si>
    <t>EU</t>
  </si>
  <si>
    <t>ORD_2025_0003</t>
  </si>
  <si>
    <t>Davis, John</t>
  </si>
  <si>
    <t>Italy</t>
  </si>
  <si>
    <t>High</t>
  </si>
  <si>
    <t>ORD_2025_0004</t>
  </si>
  <si>
    <t>Miller, Daniel</t>
  </si>
  <si>
    <t>Brazil</t>
  </si>
  <si>
    <t>Bluetooth Speaker</t>
  </si>
  <si>
    <t>Electronics</t>
  </si>
  <si>
    <t>Air</t>
  </si>
  <si>
    <t>SA</t>
  </si>
  <si>
    <t>ORD_2025_0005</t>
  </si>
  <si>
    <t>Johnson, Emma</t>
  </si>
  <si>
    <t>Canada</t>
  </si>
  <si>
    <t>Denim Jacket</t>
  </si>
  <si>
    <t>Apparel</t>
  </si>
  <si>
    <t>ORD_2025_0006</t>
  </si>
  <si>
    <t>Johnson, Michael</t>
  </si>
  <si>
    <t>Mexico</t>
  </si>
  <si>
    <t>Wireless Mouse</t>
  </si>
  <si>
    <t>ORD_2025_0007</t>
  </si>
  <si>
    <t>Hernandez, Emma</t>
  </si>
  <si>
    <t>Glass Bowl Set</t>
  </si>
  <si>
    <t>Home Decor</t>
  </si>
  <si>
    <t>ORD_2025_0008</t>
  </si>
  <si>
    <t>Miller, John</t>
  </si>
  <si>
    <t>China</t>
  </si>
  <si>
    <t>Cotton Bedsheet</t>
  </si>
  <si>
    <t>Textiles</t>
  </si>
  <si>
    <t>AS</t>
  </si>
  <si>
    <t>ORD_2025_0009</t>
  </si>
  <si>
    <t>Ceramic Vase</t>
  </si>
  <si>
    <t>ORD_2025_0010</t>
  </si>
  <si>
    <t>Martinez, Laura</t>
  </si>
  <si>
    <t>LED Lamp</t>
  </si>
  <si>
    <t>ORD_2025_0011</t>
  </si>
  <si>
    <t>Martinez, James</t>
  </si>
  <si>
    <t>ORD_2025_0012</t>
  </si>
  <si>
    <t>Davis, James</t>
  </si>
  <si>
    <t>ORD_2025_0013</t>
  </si>
  <si>
    <t>Singapore</t>
  </si>
  <si>
    <t>ORD_2025_0014</t>
  </si>
  <si>
    <t>Smith, Emma</t>
  </si>
  <si>
    <t>ORD_2025_0015</t>
  </si>
  <si>
    <t>Davis, Sarah</t>
  </si>
  <si>
    <t>UAE</t>
  </si>
  <si>
    <t>ORD_2025_0016</t>
  </si>
  <si>
    <t>Williams, David</t>
  </si>
  <si>
    <t>Japan</t>
  </si>
  <si>
    <t>ORD_2025_0017</t>
  </si>
  <si>
    <t>ORD_2025_0018</t>
  </si>
  <si>
    <t>ORD_2025_0019</t>
  </si>
  <si>
    <t>Smith, Sarah</t>
  </si>
  <si>
    <t>ORD_2025_0020</t>
  </si>
  <si>
    <t>Table Lamp</t>
  </si>
  <si>
    <t>ORD_2025_0021</t>
  </si>
  <si>
    <t>Miller, Michael</t>
  </si>
  <si>
    <t>South Africa</t>
  </si>
  <si>
    <t>AF</t>
  </si>
  <si>
    <t>ORD_2025_0022</t>
  </si>
  <si>
    <t>Davis, David</t>
  </si>
  <si>
    <t>ORD_2025_0023</t>
  </si>
  <si>
    <t>Johnson, Sarah</t>
  </si>
  <si>
    <t>ORD_2025_0024</t>
  </si>
  <si>
    <t>Hernandez, Sophia</t>
  </si>
  <si>
    <t>ORD_2025_0025</t>
  </si>
  <si>
    <t>Williams, Daniel</t>
  </si>
  <si>
    <t>ORD_2025_0026</t>
  </si>
  <si>
    <t>Martinez, Michael</t>
  </si>
  <si>
    <t>ORD_2025_0027</t>
  </si>
  <si>
    <t>ORD_2025_0028</t>
  </si>
  <si>
    <t>Jones, Laura</t>
  </si>
  <si>
    <t>ORD_2025_0029</t>
  </si>
  <si>
    <t>Brown, Michael</t>
  </si>
  <si>
    <t>ORD_2025_0030</t>
  </si>
  <si>
    <t>ORD_2025_0031</t>
  </si>
  <si>
    <t>Miller, Laura</t>
  </si>
  <si>
    <t>France</t>
  </si>
  <si>
    <t>ORD_2025_0032</t>
  </si>
  <si>
    <t>Garcia, Sophia</t>
  </si>
  <si>
    <t>ORD_2025_0033</t>
  </si>
  <si>
    <t>Smith, Sophia</t>
  </si>
  <si>
    <t>ORD_2025_0034</t>
  </si>
  <si>
    <t>ORD_2025_0035</t>
  </si>
  <si>
    <t>Hernandez, John</t>
  </si>
  <si>
    <t>ORD_2025_0036</t>
  </si>
  <si>
    <t>Williams, Laura</t>
  </si>
  <si>
    <t>ORD_2025_0037</t>
  </si>
  <si>
    <t>Miller, David</t>
  </si>
  <si>
    <t>ORD_2025_0038</t>
  </si>
  <si>
    <t>Smith, Michael</t>
  </si>
  <si>
    <t>ORD_2025_0039</t>
  </si>
  <si>
    <t>Martinez, Sarah</t>
  </si>
  <si>
    <t>ORD_2025_0040</t>
  </si>
  <si>
    <t>Garcia, Emily</t>
  </si>
  <si>
    <t>ORD_2025_0041</t>
  </si>
  <si>
    <t>Williams, Emma</t>
  </si>
  <si>
    <t>ORD_2025_0042</t>
  </si>
  <si>
    <t>ORD_2025_0043</t>
  </si>
  <si>
    <t>ORD_2025_0044</t>
  </si>
  <si>
    <t>Australia</t>
  </si>
  <si>
    <t>OC</t>
  </si>
  <si>
    <t>ORD_2025_0045</t>
  </si>
  <si>
    <t>ORD_2025_0046</t>
  </si>
  <si>
    <t>ORD_2025_0047</t>
  </si>
  <si>
    <t>ORD_2025_0048</t>
  </si>
  <si>
    <t>Smith, Daniel</t>
  </si>
  <si>
    <t>ORD_2025_0049</t>
  </si>
  <si>
    <t>Jones, David</t>
  </si>
  <si>
    <t>ORD_2025_0050</t>
  </si>
  <si>
    <t>Brown, Sarah</t>
  </si>
  <si>
    <t>ORD_2025_0051</t>
  </si>
  <si>
    <t>ORD_2025_0052</t>
  </si>
  <si>
    <t>Martinez, Emma</t>
  </si>
  <si>
    <t>ORD_2025_0053</t>
  </si>
  <si>
    <t>ORD_2025_0054</t>
  </si>
  <si>
    <t>Johnson, Daniel</t>
  </si>
  <si>
    <t>ORD_2025_0055</t>
  </si>
  <si>
    <t>Jones, Sophia</t>
  </si>
  <si>
    <t>ORD_2025_0056</t>
  </si>
  <si>
    <t>Garcia, Sarah</t>
  </si>
  <si>
    <t>ORD_2025_0057</t>
  </si>
  <si>
    <t>Germany</t>
  </si>
  <si>
    <t>ORD_2025_0058</t>
  </si>
  <si>
    <t>ORD_2025_0059</t>
  </si>
  <si>
    <t>Williams, Michael</t>
  </si>
  <si>
    <t>ORD_2025_0060</t>
  </si>
  <si>
    <t>Hernandez, James</t>
  </si>
  <si>
    <t>ORD_2025_0061</t>
  </si>
  <si>
    <t>Williams, Sarah</t>
  </si>
  <si>
    <t>ORD_2025_0062</t>
  </si>
  <si>
    <t>ORD_2025_0063</t>
  </si>
  <si>
    <t>Williams, Emily</t>
  </si>
  <si>
    <t>ORD_2025_0064</t>
  </si>
  <si>
    <t>ORD_2025_0065</t>
  </si>
  <si>
    <t>ORD_2025_0066</t>
  </si>
  <si>
    <t>ORD_2025_0067</t>
  </si>
  <si>
    <t>Brown, Daniel</t>
  </si>
  <si>
    <t>ORD_2025_0068</t>
  </si>
  <si>
    <t>Martinez, Daniel</t>
  </si>
  <si>
    <t>ORD_2025_0069</t>
  </si>
  <si>
    <t>Jones, Michael</t>
  </si>
  <si>
    <t>ORD_2025_0070</t>
  </si>
  <si>
    <t>ORD_2025_0071</t>
  </si>
  <si>
    <t>Garcia, Michael</t>
  </si>
  <si>
    <t>ORD_2025_0072</t>
  </si>
  <si>
    <t>ORD_2025_0073</t>
  </si>
  <si>
    <t>Smith, David</t>
  </si>
  <si>
    <t>India</t>
  </si>
  <si>
    <t>ORD_2025_0074</t>
  </si>
  <si>
    <t>Miller, Sophia</t>
  </si>
  <si>
    <t>ORD_2025_0075</t>
  </si>
  <si>
    <t>Garcia, Laura</t>
  </si>
  <si>
    <t>ORD_2025_0076</t>
  </si>
  <si>
    <t>Davis, Michael</t>
  </si>
  <si>
    <t>ORD_2025_0077</t>
  </si>
  <si>
    <t>ORD_2025_0078</t>
  </si>
  <si>
    <t>ORD_2025_0079</t>
  </si>
  <si>
    <t>ORD_2025_0080</t>
  </si>
  <si>
    <t>ORD_2025_0081</t>
  </si>
  <si>
    <t>Davis, Emma</t>
  </si>
  <si>
    <t>ORD_2025_0082</t>
  </si>
  <si>
    <t>ORD_2025_0083</t>
  </si>
  <si>
    <t>ORD_2025_0084</t>
  </si>
  <si>
    <t>Hernandez, Laura</t>
  </si>
  <si>
    <t>ORD_2025_0085</t>
  </si>
  <si>
    <t>ORD_2025_0086</t>
  </si>
  <si>
    <t>ORD_2025_0087</t>
  </si>
  <si>
    <t>ORD_2025_0088</t>
  </si>
  <si>
    <t>ORD_2025_0089</t>
  </si>
  <si>
    <t>Davis, Emily</t>
  </si>
  <si>
    <t>ORD_2025_0090</t>
  </si>
  <si>
    <t>ORD_2025_0091</t>
  </si>
  <si>
    <t>Johnson, James</t>
  </si>
  <si>
    <t>ORD_2025_0092</t>
  </si>
  <si>
    <t>Martinez, Sophia</t>
  </si>
  <si>
    <t>ORD_2025_0093</t>
  </si>
  <si>
    <t>ORD_2025_0094</t>
  </si>
  <si>
    <t>Miller, Sarah</t>
  </si>
  <si>
    <t>ORD_2025_0095</t>
  </si>
  <si>
    <t>Williams, James</t>
  </si>
  <si>
    <t>ORD_2025_0096</t>
  </si>
  <si>
    <t>Garcia, Emma</t>
  </si>
  <si>
    <t>ORD_2025_0097</t>
  </si>
  <si>
    <t>ORD_2025_0098</t>
  </si>
  <si>
    <t>ORD_2025_0099</t>
  </si>
  <si>
    <t>ORD_2025_0100</t>
  </si>
  <si>
    <t>ORD_2025_0101</t>
  </si>
  <si>
    <t>ORD_2025_0102</t>
  </si>
  <si>
    <t>ORD_2025_0103</t>
  </si>
  <si>
    <t>ORD_2025_0104</t>
  </si>
  <si>
    <t>ORD_2025_0105</t>
  </si>
  <si>
    <t>Johnson, David</t>
  </si>
  <si>
    <t>ORD_2025_0106</t>
  </si>
  <si>
    <t>ORD_2025_0107</t>
  </si>
  <si>
    <t>ORD_2025_0108</t>
  </si>
  <si>
    <t>ORD_2025_0109</t>
  </si>
  <si>
    <t>Miller, Emily</t>
  </si>
  <si>
    <t>ORD_2025_0110</t>
  </si>
  <si>
    <t>ORD_2025_0111</t>
  </si>
  <si>
    <t>ORD_2025_0112</t>
  </si>
  <si>
    <t>ORD_2025_0113</t>
  </si>
  <si>
    <t>Martinez, Emily</t>
  </si>
  <si>
    <t>ORD_2025_0114</t>
  </si>
  <si>
    <t>Hernandez, Daniel</t>
  </si>
  <si>
    <t>ORD_2025_0115</t>
  </si>
  <si>
    <t>ORD_2025_0116</t>
  </si>
  <si>
    <t>ORD_2025_0117</t>
  </si>
  <si>
    <t>ORD_2025_0118</t>
  </si>
  <si>
    <t>ORD_2025_0119</t>
  </si>
  <si>
    <t>ORD_2025_0120</t>
  </si>
  <si>
    <t>Hernandez, David</t>
  </si>
  <si>
    <t>ORD_2025_0121</t>
  </si>
  <si>
    <t>ORD_2025_0122</t>
  </si>
  <si>
    <t>ORD_2025_0123</t>
  </si>
  <si>
    <t>ORD_2025_0124</t>
  </si>
  <si>
    <t>ORD_2025_0125</t>
  </si>
  <si>
    <t>Martinez, John</t>
  </si>
  <si>
    <t>ORD_2025_0126</t>
  </si>
  <si>
    <t>ORD_2025_0127</t>
  </si>
  <si>
    <t>Garcia, David</t>
  </si>
  <si>
    <t>ORD_2025_0128</t>
  </si>
  <si>
    <t>ORD_2025_0129</t>
  </si>
  <si>
    <t>ORD_2025_0130</t>
  </si>
  <si>
    <t>ORD_2025_0131</t>
  </si>
  <si>
    <t>ORD_2025_0132</t>
  </si>
  <si>
    <t>ORD_2025_0133</t>
  </si>
  <si>
    <t>ORD_2025_0134</t>
  </si>
  <si>
    <t>Smith, James</t>
  </si>
  <si>
    <t>ORD_2025_0135</t>
  </si>
  <si>
    <t>ORD_2025_0136</t>
  </si>
  <si>
    <t>ORD_2025_0137</t>
  </si>
  <si>
    <t>Brown, Emily</t>
  </si>
  <si>
    <t>ORD_2025_0138</t>
  </si>
  <si>
    <t>ORD_2025_0139</t>
  </si>
  <si>
    <t>ORD_2025_0140</t>
  </si>
  <si>
    <t>ORD_2025_0141</t>
  </si>
  <si>
    <t>ORD_2025_0142</t>
  </si>
  <si>
    <t>ORD_2025_0143</t>
  </si>
  <si>
    <t>Brown, James</t>
  </si>
  <si>
    <t>ORD_2025_0144</t>
  </si>
  <si>
    <t>ORD_2025_0145</t>
  </si>
  <si>
    <t>ORD_2025_0146</t>
  </si>
  <si>
    <t>ORD_2025_0147</t>
  </si>
  <si>
    <t>ORD_2025_0148</t>
  </si>
  <si>
    <t>Johnson, Sophia</t>
  </si>
  <si>
    <t>ORD_2025_0149</t>
  </si>
  <si>
    <t>Davis, Sophia</t>
  </si>
  <si>
    <t>ORD_2025_0150</t>
  </si>
  <si>
    <t>Jones, Daniel</t>
  </si>
  <si>
    <t>ORD_2025_0151</t>
  </si>
  <si>
    <t>ORD_2025_0152</t>
  </si>
  <si>
    <t>Davis, Laura</t>
  </si>
  <si>
    <t>ORD_2025_0153</t>
  </si>
  <si>
    <t>ORD_2025_0154</t>
  </si>
  <si>
    <t>ORD_2025_0155</t>
  </si>
  <si>
    <t>ORD_2025_0156</t>
  </si>
  <si>
    <t>Hernandez, Michael</t>
  </si>
  <si>
    <t>ORD_2025_0157</t>
  </si>
  <si>
    <t>ORD_2025_0158</t>
  </si>
  <si>
    <t>ORD_2025_0159</t>
  </si>
  <si>
    <t>ORD_2025_0160</t>
  </si>
  <si>
    <t>Brown, John</t>
  </si>
  <si>
    <t>ORD_2025_0161</t>
  </si>
  <si>
    <t>Martinez, David</t>
  </si>
  <si>
    <t>ORD_2025_0162</t>
  </si>
  <si>
    <t>ORD_2025_0163</t>
  </si>
  <si>
    <t>ORD_2025_0164</t>
  </si>
  <si>
    <t>Johnson, Emily</t>
  </si>
  <si>
    <t>ORD_2025_0165</t>
  </si>
  <si>
    <t>ORD_2025_0166</t>
  </si>
  <si>
    <t>Garcia, John</t>
  </si>
  <si>
    <t>ORD_2025_0167</t>
  </si>
  <si>
    <t>ORD_2025_0168</t>
  </si>
  <si>
    <t>Jones, Emily</t>
  </si>
  <si>
    <t>ORD_2025_0169</t>
  </si>
  <si>
    <t>ORD_2025_0170</t>
  </si>
  <si>
    <t>Miller, James</t>
  </si>
  <si>
    <t>ORD_2025_0171</t>
  </si>
  <si>
    <t>ORD_2025_0172</t>
  </si>
  <si>
    <t>ORD_2025_0173</t>
  </si>
  <si>
    <t>ORD_2025_0174</t>
  </si>
  <si>
    <t>ORD_2025_0175</t>
  </si>
  <si>
    <t>ORD_2025_0176</t>
  </si>
  <si>
    <t>ORD_2025_0177</t>
  </si>
  <si>
    <t>ORD_2025_0178</t>
  </si>
  <si>
    <t>Hernandez, Sarah</t>
  </si>
  <si>
    <t>ORD_2025_0179</t>
  </si>
  <si>
    <t>ORD_2025_0180</t>
  </si>
  <si>
    <t>ORD_2025_0181</t>
  </si>
  <si>
    <t>Davis, Daniel</t>
  </si>
  <si>
    <t>ORD_2025_0182</t>
  </si>
  <si>
    <t>ORD_2025_0183</t>
  </si>
  <si>
    <t>ORD_2025_0184</t>
  </si>
  <si>
    <t>Miller, Emma</t>
  </si>
  <si>
    <t>ORD_2025_0185</t>
  </si>
  <si>
    <t>ORD_2025_0186</t>
  </si>
  <si>
    <t>ORD_2025_0187</t>
  </si>
  <si>
    <t>ORD_2025_0188</t>
  </si>
  <si>
    <t>ORD_2025_0189</t>
  </si>
  <si>
    <t>ORD_2025_0190</t>
  </si>
  <si>
    <t>Garcia, Daniel</t>
  </si>
  <si>
    <t>ORD_2025_0191</t>
  </si>
  <si>
    <t>ORD_2025_0192</t>
  </si>
  <si>
    <t>ORD_2025_0193</t>
  </si>
  <si>
    <t>ORD_2025_0194</t>
  </si>
  <si>
    <t>ORD_2025_0195</t>
  </si>
  <si>
    <t>ORD_2025_0196</t>
  </si>
  <si>
    <t>ORD_2025_0197</t>
  </si>
  <si>
    <t>ORD_2025_0198</t>
  </si>
  <si>
    <t>ORD_2025_0199</t>
  </si>
  <si>
    <t>ORD_2025_0200</t>
  </si>
  <si>
    <t>ORD_2025_0201</t>
  </si>
  <si>
    <t>Jones, Sarah</t>
  </si>
  <si>
    <t>ORD_2025_0202</t>
  </si>
  <si>
    <t>ORD_2025_0203</t>
  </si>
  <si>
    <t>ORD_2025_0204</t>
  </si>
  <si>
    <t>ORD_2025_0205</t>
  </si>
  <si>
    <t>ORD_2025_0206</t>
  </si>
  <si>
    <t>ORD_2025_0207</t>
  </si>
  <si>
    <t>ORD_2025_0208</t>
  </si>
  <si>
    <t>ORD_2025_0209</t>
  </si>
  <si>
    <t>ORD_2025_0210</t>
  </si>
  <si>
    <t>ORD_2025_0211</t>
  </si>
  <si>
    <t>ORD_2025_0212</t>
  </si>
  <si>
    <t>Brown, David</t>
  </si>
  <si>
    <t>ORD_2025_0213</t>
  </si>
  <si>
    <t>ORD_2025_0214</t>
  </si>
  <si>
    <t>ORD_2025_0215</t>
  </si>
  <si>
    <t>ORD_2025_0216</t>
  </si>
  <si>
    <t>ORD_2025_0217</t>
  </si>
  <si>
    <t>Johnson, John</t>
  </si>
  <si>
    <t>ORD_2025_0218</t>
  </si>
  <si>
    <t>ORD_2025_0219</t>
  </si>
  <si>
    <t>ORD_2025_0220</t>
  </si>
  <si>
    <t>Brown, Sophia</t>
  </si>
  <si>
    <t>ORD_2025_0221</t>
  </si>
  <si>
    <t>ORD_2025_0222</t>
  </si>
  <si>
    <t>ORD_2025_0223</t>
  </si>
  <si>
    <t>ORD_2025_0224</t>
  </si>
  <si>
    <t>ORD_2025_0225</t>
  </si>
  <si>
    <t>ORD_2025_0226</t>
  </si>
  <si>
    <t>Jones, Emma</t>
  </si>
  <si>
    <t>ORD_2025_0227</t>
  </si>
  <si>
    <t>ORD_2025_0228</t>
  </si>
  <si>
    <t>ORD_2025_0229</t>
  </si>
  <si>
    <t>ORD_2025_0230</t>
  </si>
  <si>
    <t>ORD_2025_0231</t>
  </si>
  <si>
    <t>ORD_2025_0232</t>
  </si>
  <si>
    <t>ORD_2025_0233</t>
  </si>
  <si>
    <t>ORD_2025_0234</t>
  </si>
  <si>
    <t>ORD_2025_0235</t>
  </si>
  <si>
    <t>ORD_2025_0236</t>
  </si>
  <si>
    <t>ORD_2025_0237</t>
  </si>
  <si>
    <t>ORD_2025_0238</t>
  </si>
  <si>
    <t>ORD_2025_0239</t>
  </si>
  <si>
    <t>ORD_2025_0240</t>
  </si>
  <si>
    <t>ORD_2025_0241</t>
  </si>
  <si>
    <t>ORD_2025_0242</t>
  </si>
  <si>
    <t>ORD_2025_0243</t>
  </si>
  <si>
    <t>Johnson, Laura</t>
  </si>
  <si>
    <t>ORD_2025_0244</t>
  </si>
  <si>
    <t>ORD_2025_0245</t>
  </si>
  <si>
    <t>ORD_2025_0246</t>
  </si>
  <si>
    <t>ORD_2025_0247</t>
  </si>
  <si>
    <t>ORD_2025_0248</t>
  </si>
  <si>
    <t>ORD_2025_0249</t>
  </si>
  <si>
    <t>ORD_2025_0250</t>
  </si>
  <si>
    <t>ORD_2025_0251</t>
  </si>
  <si>
    <t>ORD_2025_0252</t>
  </si>
  <si>
    <t>Smith, John</t>
  </si>
  <si>
    <t>ORD_2025_0253</t>
  </si>
  <si>
    <t>ORD_2025_0254</t>
  </si>
  <si>
    <t>ORD_2025_0255</t>
  </si>
  <si>
    <t>ORD_2025_0256</t>
  </si>
  <si>
    <t>ORD_2025_0257</t>
  </si>
  <si>
    <t>ORD_2025_0258</t>
  </si>
  <si>
    <t>ORD_2025_0259</t>
  </si>
  <si>
    <t>ORD_2025_0260</t>
  </si>
  <si>
    <t>Williams, Sophia</t>
  </si>
  <si>
    <t>ORD_2025_0261</t>
  </si>
  <si>
    <t>Garcia, James</t>
  </si>
  <si>
    <t>ORD_2025_0262</t>
  </si>
  <si>
    <t>ORD_2025_0263</t>
  </si>
  <si>
    <t>ORD_2025_0264</t>
  </si>
  <si>
    <t>ORD_2025_0265</t>
  </si>
  <si>
    <t>ORD_2025_0266</t>
  </si>
  <si>
    <t>ORD_2025_0267</t>
  </si>
  <si>
    <t>ORD_2025_0268</t>
  </si>
  <si>
    <t>ORD_2025_0269</t>
  </si>
  <si>
    <t>ORD_2025_0270</t>
  </si>
  <si>
    <t>ORD_2025_0271</t>
  </si>
  <si>
    <t>Smith, Laura</t>
  </si>
  <si>
    <t>ORD_2025_0272</t>
  </si>
  <si>
    <t>ORD_2025_0273</t>
  </si>
  <si>
    <t>ORD_2025_0274</t>
  </si>
  <si>
    <t>ORD_2025_0275</t>
  </si>
  <si>
    <t>ORD_2025_0276</t>
  </si>
  <si>
    <t>ORD_2025_0277</t>
  </si>
  <si>
    <t>ORD_2025_0278</t>
  </si>
  <si>
    <t>ORD_2025_0279</t>
  </si>
  <si>
    <t>ORD_2025_0280</t>
  </si>
  <si>
    <t>ORD_2025_0281</t>
  </si>
  <si>
    <t>ORD_2025_0282</t>
  </si>
  <si>
    <t>ORD_2025_0283</t>
  </si>
  <si>
    <t>ORD_2025_0284</t>
  </si>
  <si>
    <t>ORD_2025_0285</t>
  </si>
  <si>
    <t>ORD_2025_0286</t>
  </si>
  <si>
    <t>ORD_2025_0287</t>
  </si>
  <si>
    <t>ORD_2025_0288</t>
  </si>
  <si>
    <t>ORD_2025_0289</t>
  </si>
  <si>
    <t>ORD_2025_0290</t>
  </si>
  <si>
    <t>ORD_2025_0291</t>
  </si>
  <si>
    <t>ORD_2025_0292</t>
  </si>
  <si>
    <t>ORD_2025_0293</t>
  </si>
  <si>
    <t>ORD_2025_0294</t>
  </si>
  <si>
    <t>ORD_2025_0295</t>
  </si>
  <si>
    <t>ORD_2025_0296</t>
  </si>
  <si>
    <t>ORD_2025_0297</t>
  </si>
  <si>
    <t>ORD_2025_0298</t>
  </si>
  <si>
    <t>ORD_2025_0299</t>
  </si>
  <si>
    <t>ORD_2025_0300</t>
  </si>
  <si>
    <t>ORD_2025_0301</t>
  </si>
  <si>
    <t>ORD_2025_0302</t>
  </si>
  <si>
    <t>ORD_2025_0303</t>
  </si>
  <si>
    <t>ORD_2025_0304</t>
  </si>
  <si>
    <t>ORD_2025_0305</t>
  </si>
  <si>
    <t>ORD_2025_0306</t>
  </si>
  <si>
    <t>ORD_2025_0307</t>
  </si>
  <si>
    <t>ORD_2025_0308</t>
  </si>
  <si>
    <t>ORD_2025_0309</t>
  </si>
  <si>
    <t>ORD_2025_0310</t>
  </si>
  <si>
    <t>ORD_2025_0311</t>
  </si>
  <si>
    <t>ORD_2025_0312</t>
  </si>
  <si>
    <t>ORD_2025_0313</t>
  </si>
  <si>
    <t>ORD_2025_0314</t>
  </si>
  <si>
    <t>Jones, James</t>
  </si>
  <si>
    <t>ORD_2025_0315</t>
  </si>
  <si>
    <t>ORD_2025_0316</t>
  </si>
  <si>
    <t>ORD_2025_0317</t>
  </si>
  <si>
    <t>ORD_2025_0318</t>
  </si>
  <si>
    <t>ORD_2025_0319</t>
  </si>
  <si>
    <t>ORD_2025_0320</t>
  </si>
  <si>
    <t>ORD_2025_0321</t>
  </si>
  <si>
    <t>Jones, John</t>
  </si>
  <si>
    <t>ORD_2025_0322</t>
  </si>
  <si>
    <t>ORD_2025_0323</t>
  </si>
  <si>
    <t>ORD_2025_0324</t>
  </si>
  <si>
    <t>ORD_2025_0325</t>
  </si>
  <si>
    <t>ORD_2025_0326</t>
  </si>
  <si>
    <t>ORD_2025_0327</t>
  </si>
  <si>
    <t>ORD_2025_0328</t>
  </si>
  <si>
    <t>ORD_2025_0329</t>
  </si>
  <si>
    <t>ORD_2025_0330</t>
  </si>
  <si>
    <t>Hernandez, Emily</t>
  </si>
  <si>
    <t>ORD_2025_0331</t>
  </si>
  <si>
    <t>ORD_2025_0332</t>
  </si>
  <si>
    <t>ORD_2025_0333</t>
  </si>
  <si>
    <t>ORD_2025_0334</t>
  </si>
  <si>
    <t>ORD_2025_0335</t>
  </si>
  <si>
    <t>ORD_2025_0336</t>
  </si>
  <si>
    <t>ORD_2025_0337</t>
  </si>
  <si>
    <t>ORD_2025_0338</t>
  </si>
  <si>
    <t>ORD_2025_0339</t>
  </si>
  <si>
    <t>ORD_2025_0340</t>
  </si>
  <si>
    <t>ORD_2025_0341</t>
  </si>
  <si>
    <t>ORD_2025_0342</t>
  </si>
  <si>
    <t>ORD_2025_0343</t>
  </si>
  <si>
    <t>ORD_2025_0344</t>
  </si>
  <si>
    <t>ORD_2025_0345</t>
  </si>
  <si>
    <t>ORD_2025_0346</t>
  </si>
  <si>
    <t>ORD_2025_0347</t>
  </si>
  <si>
    <t>ORD_2025_0348</t>
  </si>
  <si>
    <t>ORD_2025_0349</t>
  </si>
  <si>
    <t>ORD_2025_0350</t>
  </si>
  <si>
    <t>Williams, John</t>
  </si>
  <si>
    <t>ORD_2025_0351</t>
  </si>
  <si>
    <t>ORD_2025_0352</t>
  </si>
  <si>
    <t>ORD_2025_0353</t>
  </si>
  <si>
    <t>ORD_2025_0354</t>
  </si>
  <si>
    <t>ORD_2025_0355</t>
  </si>
  <si>
    <t>ORD_2025_0356</t>
  </si>
  <si>
    <t>ORD_2025_0357</t>
  </si>
  <si>
    <t>ORD_2025_0358</t>
  </si>
  <si>
    <t>ORD_2025_0359</t>
  </si>
  <si>
    <t>ORD_2025_0360</t>
  </si>
  <si>
    <t>ORD_2025_0361</t>
  </si>
  <si>
    <t>ORD_2025_0362</t>
  </si>
  <si>
    <t>ORD_2025_0363</t>
  </si>
  <si>
    <t>ORD_2025_0364</t>
  </si>
  <si>
    <t>ORD_2025_0365</t>
  </si>
  <si>
    <t>ORD_2025_0366</t>
  </si>
  <si>
    <t>ORD_2025_0367</t>
  </si>
  <si>
    <t>ORD_2025_0368</t>
  </si>
  <si>
    <t>ORD_2025_0369</t>
  </si>
  <si>
    <t>ORD_2025_0370</t>
  </si>
  <si>
    <t>ORD_2025_0371</t>
  </si>
  <si>
    <t>ORD_2025_0372</t>
  </si>
  <si>
    <t>ORD_2025_0373</t>
  </si>
  <si>
    <t>ORD_2025_0374</t>
  </si>
  <si>
    <t>ORD_2025_0375</t>
  </si>
  <si>
    <t>ORD_2025_0376</t>
  </si>
  <si>
    <t>ORD_2025_0377</t>
  </si>
  <si>
    <t>ORD_2025_0378</t>
  </si>
  <si>
    <t>ORD_2025_0379</t>
  </si>
  <si>
    <t>ORD_2025_0380</t>
  </si>
  <si>
    <t>ORD_2025_0381</t>
  </si>
  <si>
    <t>ORD_2025_0382</t>
  </si>
  <si>
    <t>ORD_2025_0383</t>
  </si>
  <si>
    <t>ORD_2025_0384</t>
  </si>
  <si>
    <t>ORD_2025_0385</t>
  </si>
  <si>
    <t>ORD_2025_0386</t>
  </si>
  <si>
    <t>ORD_2025_0387</t>
  </si>
  <si>
    <t>ORD_2025_0388</t>
  </si>
  <si>
    <t>ORD_2025_0389</t>
  </si>
  <si>
    <t>ORD_2025_0390</t>
  </si>
  <si>
    <t>ORD_2025_0391</t>
  </si>
  <si>
    <t>ORD_2025_0392</t>
  </si>
  <si>
    <t>ORD_2025_0393</t>
  </si>
  <si>
    <t>ORD_2025_0394</t>
  </si>
  <si>
    <t>ORD_2025_0395</t>
  </si>
  <si>
    <t>ORD_2025_0396</t>
  </si>
  <si>
    <t>ORD_2025_0397</t>
  </si>
  <si>
    <t>ORD_2025_0398</t>
  </si>
  <si>
    <t>ORD_2025_0399</t>
  </si>
  <si>
    <t>ORD_2025_0400</t>
  </si>
  <si>
    <t>ORD_2025_0401</t>
  </si>
  <si>
    <t>ORD_2025_0402</t>
  </si>
  <si>
    <t>ORD_2025_0403</t>
  </si>
  <si>
    <t>ORD_2025_0404</t>
  </si>
  <si>
    <t>ORD_2025_0405</t>
  </si>
  <si>
    <t>ORD_2025_0406</t>
  </si>
  <si>
    <t>ORD_2025_0407</t>
  </si>
  <si>
    <t>ORD_2025_0408</t>
  </si>
  <si>
    <t>ORD_2025_0409</t>
  </si>
  <si>
    <t>ORD_2025_0410</t>
  </si>
  <si>
    <t>ORD_2025_0411</t>
  </si>
  <si>
    <t>ORD_2025_0412</t>
  </si>
  <si>
    <t>ORD_2025_0413</t>
  </si>
  <si>
    <t>ORD_2025_0414</t>
  </si>
  <si>
    <t>ORD_2025_0415</t>
  </si>
  <si>
    <t>ORD_2025_0416</t>
  </si>
  <si>
    <t>ORD_2025_0417</t>
  </si>
  <si>
    <t>ORD_2025_0418</t>
  </si>
  <si>
    <t>ORD_2025_0419</t>
  </si>
  <si>
    <t>ORD_2025_0420</t>
  </si>
  <si>
    <t>ORD_2025_0421</t>
  </si>
  <si>
    <t>ORD_2025_0422</t>
  </si>
  <si>
    <t>ORD_2025_0423</t>
  </si>
  <si>
    <t>ORD_2025_0424</t>
  </si>
  <si>
    <t>ORD_2025_0425</t>
  </si>
  <si>
    <t>ORD_2025_0426</t>
  </si>
  <si>
    <t>ORD_2025_0427</t>
  </si>
  <si>
    <t>ORD_2025_0428</t>
  </si>
  <si>
    <t>ORD_2025_0429</t>
  </si>
  <si>
    <t>ORD_2025_0430</t>
  </si>
  <si>
    <t>ORD_2025_0431</t>
  </si>
  <si>
    <t>ORD_2025_0432</t>
  </si>
  <si>
    <t>ORD_2025_0433</t>
  </si>
  <si>
    <t>ORD_2025_0434</t>
  </si>
  <si>
    <t>ORD_2025_0435</t>
  </si>
  <si>
    <t>ORD_2025_0436</t>
  </si>
  <si>
    <t>ORD_2025_0437</t>
  </si>
  <si>
    <t>ORD_2025_0438</t>
  </si>
  <si>
    <t>ORD_2025_0439</t>
  </si>
  <si>
    <t>ORD_2025_0440</t>
  </si>
  <si>
    <t>ORD_2025_0441</t>
  </si>
  <si>
    <t>ORD_2025_0442</t>
  </si>
  <si>
    <t>ORD_2025_0443</t>
  </si>
  <si>
    <t>ORD_2025_0444</t>
  </si>
  <si>
    <t>ORD_2025_0445</t>
  </si>
  <si>
    <t>ORD_2025_0446</t>
  </si>
  <si>
    <t>ORD_2025_0447</t>
  </si>
  <si>
    <t>ORD_2025_0448</t>
  </si>
  <si>
    <t>ORD_2025_0449</t>
  </si>
  <si>
    <t>ORD_2025_0450</t>
  </si>
  <si>
    <t>ORD_2025_0451</t>
  </si>
  <si>
    <t>ORD_2025_0452</t>
  </si>
  <si>
    <t>ORD_2025_0453</t>
  </si>
  <si>
    <t>ORD_2025_0454</t>
  </si>
  <si>
    <t>ORD_2025_0455</t>
  </si>
  <si>
    <t>ORD_2025_0456</t>
  </si>
  <si>
    <t>ORD_2025_0457</t>
  </si>
  <si>
    <t>ORD_2025_0458</t>
  </si>
  <si>
    <t>ORD_2025_0459</t>
  </si>
  <si>
    <t>ORD_2025_0460</t>
  </si>
  <si>
    <t>ORD_2025_0461</t>
  </si>
  <si>
    <t>ORD_2025_0462</t>
  </si>
  <si>
    <t>ORD_2025_0463</t>
  </si>
  <si>
    <t>ORD_2025_0464</t>
  </si>
  <si>
    <t>ORD_2025_0465</t>
  </si>
  <si>
    <t>ORD_2025_0466</t>
  </si>
  <si>
    <t>ORD_2025_0467</t>
  </si>
  <si>
    <t>ORD_2025_0468</t>
  </si>
  <si>
    <t>ORD_2025_0469</t>
  </si>
  <si>
    <t>ORD_2025_0470</t>
  </si>
  <si>
    <t>ORD_2025_0471</t>
  </si>
  <si>
    <t>ORD_2025_0472</t>
  </si>
  <si>
    <t>ORD_2025_0473</t>
  </si>
  <si>
    <t>ORD_2025_0474</t>
  </si>
  <si>
    <t>ORD_2025_0475</t>
  </si>
  <si>
    <t>ORD_2025_0476</t>
  </si>
  <si>
    <t>ORD_2025_0477</t>
  </si>
  <si>
    <t>ORD_2025_0478</t>
  </si>
  <si>
    <t>ORD_2025_0479</t>
  </si>
  <si>
    <t>ORD_2025_0480</t>
  </si>
  <si>
    <t>ORD_2025_0481</t>
  </si>
  <si>
    <t>ORD_2025_0482</t>
  </si>
  <si>
    <t>ORD_2025_0483</t>
  </si>
  <si>
    <t>ORD_2025_0484</t>
  </si>
  <si>
    <t>ORD_2025_0485</t>
  </si>
  <si>
    <t>ORD_2025_0486</t>
  </si>
  <si>
    <t>ORD_2025_0487</t>
  </si>
  <si>
    <t>ORD_2025_0488</t>
  </si>
  <si>
    <t>ORD_2025_0489</t>
  </si>
  <si>
    <t>ORD_2025_0490</t>
  </si>
  <si>
    <t>ORD_2025_0491</t>
  </si>
  <si>
    <t>ORD_2025_0492</t>
  </si>
  <si>
    <t>ORD_2025_0493</t>
  </si>
  <si>
    <t>ORD_2025_0494</t>
  </si>
  <si>
    <t>ORD_2025_0495</t>
  </si>
  <si>
    <t>ORD_2025_0496</t>
  </si>
  <si>
    <t>ORD_2025_0497</t>
  </si>
  <si>
    <t>ORD_2025_0498</t>
  </si>
  <si>
    <t>ORD_2025_0499</t>
  </si>
  <si>
    <t>ORD_2025_0500</t>
  </si>
  <si>
    <t>Product_ID</t>
  </si>
  <si>
    <t>Supplier</t>
  </si>
  <si>
    <t>Origin_Country</t>
  </si>
  <si>
    <t>Unit_Cost</t>
  </si>
  <si>
    <t>P1001</t>
  </si>
  <si>
    <t>AudioTech Ltd.</t>
  </si>
  <si>
    <t>P1002</t>
  </si>
  <si>
    <t>Artisans Co.</t>
  </si>
  <si>
    <t>P1003</t>
  </si>
  <si>
    <t>CraftLine</t>
  </si>
  <si>
    <t>P1004</t>
  </si>
  <si>
    <t>BrightHome</t>
  </si>
  <si>
    <t>Vietnam</t>
  </si>
  <si>
    <t>P1005</t>
  </si>
  <si>
    <t>SoftWeave</t>
  </si>
  <si>
    <t>Turkey</t>
  </si>
  <si>
    <t>P1006</t>
  </si>
  <si>
    <t>ClickTech</t>
  </si>
  <si>
    <t>P1007</t>
  </si>
  <si>
    <t>ClearCraft</t>
  </si>
  <si>
    <t>P1008</t>
  </si>
  <si>
    <t>CarryPro</t>
  </si>
  <si>
    <t>P1009</t>
  </si>
  <si>
    <t>P1010</t>
  </si>
  <si>
    <t>BlueWear</t>
  </si>
  <si>
    <t>Bangladesh</t>
  </si>
  <si>
    <t>COGS</t>
  </si>
  <si>
    <t>First_Name</t>
  </si>
  <si>
    <t>Last_Name</t>
  </si>
  <si>
    <t>Customer_Code</t>
  </si>
  <si>
    <t>Profit_Margin</t>
  </si>
  <si>
    <t>Average_Profit_Margin</t>
  </si>
  <si>
    <t>Min_Profit_Margin</t>
  </si>
  <si>
    <t>Max_Profit_Margin</t>
  </si>
  <si>
    <t>Profit_Margin%</t>
  </si>
  <si>
    <t>Performance_Flag</t>
  </si>
  <si>
    <t>Steve Taylor</t>
  </si>
  <si>
    <t>Oceania</t>
  </si>
  <si>
    <t>Ana Silva</t>
  </si>
  <si>
    <t>America</t>
  </si>
  <si>
    <t>South America</t>
  </si>
  <si>
    <t>Samuel Okoro</t>
  </si>
  <si>
    <t>Africa</t>
  </si>
  <si>
    <t>Li Wei</t>
  </si>
  <si>
    <t>Asia</t>
  </si>
  <si>
    <t>Maria Gomez</t>
  </si>
  <si>
    <t>Europe</t>
  </si>
  <si>
    <t>James Carter</t>
  </si>
  <si>
    <t>North America</t>
  </si>
  <si>
    <t>Manager</t>
  </si>
  <si>
    <t>Continent</t>
  </si>
  <si>
    <t>Region_Name</t>
  </si>
  <si>
    <t>2025-05</t>
  </si>
  <si>
    <t>2025-04</t>
  </si>
  <si>
    <t>2025-02</t>
  </si>
  <si>
    <t>2025-01</t>
  </si>
  <si>
    <t>2024-12</t>
  </si>
  <si>
    <t>2024-11</t>
  </si>
  <si>
    <t>2024-10</t>
  </si>
  <si>
    <t>2024-09</t>
  </si>
  <si>
    <t>2024-08</t>
  </si>
  <si>
    <t>2024-07</t>
  </si>
  <si>
    <t>2024-06</t>
  </si>
  <si>
    <t>2024-05</t>
  </si>
  <si>
    <t>2024-04</t>
  </si>
  <si>
    <t>2024-03</t>
  </si>
  <si>
    <t>2024-02</t>
  </si>
  <si>
    <t>2024-01</t>
  </si>
  <si>
    <t>2025-03</t>
  </si>
  <si>
    <t>Returns</t>
  </si>
  <si>
    <t>Shipments</t>
  </si>
  <si>
    <t>Total_Profit</t>
  </si>
  <si>
    <t>Month</t>
  </si>
  <si>
    <t>Total_Sales (Sum)</t>
  </si>
  <si>
    <t>Total_Sales (Avg)</t>
  </si>
  <si>
    <t>Total_Profit (Sum)</t>
  </si>
  <si>
    <t>Grand Total</t>
  </si>
  <si>
    <t>Sum of Total_Sales</t>
  </si>
  <si>
    <t>Total Sum of Total_Sales</t>
  </si>
  <si>
    <t>2024-07-14</t>
  </si>
  <si>
    <t>2024-09-02</t>
  </si>
  <si>
    <t>2024-12-25</t>
  </si>
  <si>
    <t>2024-07-04</t>
  </si>
  <si>
    <t>2024-04-13</t>
  </si>
  <si>
    <t>2025-02-18</t>
  </si>
  <si>
    <t>2024-04-17</t>
  </si>
  <si>
    <t>2025-03-18</t>
  </si>
  <si>
    <t>2025-04-24</t>
  </si>
  <si>
    <t>2024-05-27</t>
  </si>
  <si>
    <t>2024-09-15</t>
  </si>
  <si>
    <t>2025-05-10</t>
  </si>
  <si>
    <t>2024-01-21</t>
  </si>
  <si>
    <t>2024-12-05</t>
  </si>
  <si>
    <t>2025-01-06</t>
  </si>
  <si>
    <t>2024-12-26</t>
  </si>
  <si>
    <t>2024-03-11</t>
  </si>
  <si>
    <t>2024-09-27</t>
  </si>
  <si>
    <t>2024-03-04</t>
  </si>
  <si>
    <t>2024-12-07</t>
  </si>
  <si>
    <t>2024-11-13</t>
  </si>
  <si>
    <t>2025-04-20</t>
  </si>
  <si>
    <t>2024-06-17</t>
  </si>
  <si>
    <t>2024-01-30</t>
  </si>
  <si>
    <t>2024-05-13</t>
  </si>
  <si>
    <t>2024-05-07</t>
  </si>
  <si>
    <t>2025-04-16</t>
  </si>
  <si>
    <t>2024-09-28</t>
  </si>
  <si>
    <t>2024-04-23</t>
  </si>
  <si>
    <t>2024-12-12</t>
  </si>
  <si>
    <t>2025-04-17</t>
  </si>
  <si>
    <t>2024-03-05</t>
  </si>
  <si>
    <t>2024-10-03</t>
  </si>
  <si>
    <t>2024-04-14</t>
  </si>
  <si>
    <t>2024-10-17</t>
  </si>
  <si>
    <t>2024-04-15</t>
  </si>
  <si>
    <t>2025-02-28</t>
  </si>
  <si>
    <t>2025-02-04</t>
  </si>
  <si>
    <t>2025-02-22</t>
  </si>
  <si>
    <t>2024-10-20</t>
  </si>
  <si>
    <t>2024-02-06</t>
  </si>
  <si>
    <t>2025-01-03</t>
  </si>
  <si>
    <t>2024-09-16</t>
  </si>
  <si>
    <t>2024-09-20</t>
  </si>
  <si>
    <t>2024-06-16</t>
  </si>
  <si>
    <t>2024-10-19</t>
  </si>
  <si>
    <t>2025-03-15</t>
  </si>
  <si>
    <t>2025-01-24</t>
  </si>
  <si>
    <t>2025-05-13</t>
  </si>
  <si>
    <t>2024-06-12</t>
  </si>
  <si>
    <t>2024-04-04</t>
  </si>
  <si>
    <t>2025-02-10</t>
  </si>
  <si>
    <t>2024-02-18</t>
  </si>
  <si>
    <t>2024-06-01</t>
  </si>
  <si>
    <t>2024-01-07</t>
  </si>
  <si>
    <t>2025-01-22</t>
  </si>
  <si>
    <t>2024-11-18</t>
  </si>
  <si>
    <t>2024-12-23</t>
  </si>
  <si>
    <t>2024-08-14</t>
  </si>
  <si>
    <t>2024-02-03</t>
  </si>
  <si>
    <t>2024-02-17</t>
  </si>
  <si>
    <t>2025-01-04</t>
  </si>
  <si>
    <t>2024-09-11</t>
  </si>
  <si>
    <t>2024-06-27</t>
  </si>
  <si>
    <t>2024-12-18</t>
  </si>
  <si>
    <t>2024-01-01</t>
  </si>
  <si>
    <t>2024-08-25</t>
  </si>
  <si>
    <t>2024-06-14</t>
  </si>
  <si>
    <t>2024-05-12</t>
  </si>
  <si>
    <t>2024-02-28</t>
  </si>
  <si>
    <t>2025-05-15</t>
  </si>
  <si>
    <t>2024-07-03</t>
  </si>
  <si>
    <t>2024-01-10</t>
  </si>
  <si>
    <t>2024-02-24</t>
  </si>
  <si>
    <t>2024-07-09</t>
  </si>
  <si>
    <t>2025-02-17</t>
  </si>
  <si>
    <t>2024-07-21</t>
  </si>
  <si>
    <t>2024-02-25</t>
  </si>
  <si>
    <t>2025-04-22</t>
  </si>
  <si>
    <t>2024-05-31</t>
  </si>
  <si>
    <t>2025-01-23</t>
  </si>
  <si>
    <t>2024-02-13</t>
  </si>
  <si>
    <t>2025-04-02</t>
  </si>
  <si>
    <t>2024-01-14</t>
  </si>
  <si>
    <t>2024-10-10</t>
  </si>
  <si>
    <t>2024-01-17</t>
  </si>
  <si>
    <t>2025-04-15</t>
  </si>
  <si>
    <t>2024-07-25</t>
  </si>
  <si>
    <t>2024-01-19</t>
  </si>
  <si>
    <t>2024-06-22</t>
  </si>
  <si>
    <t>2025-04-05</t>
  </si>
  <si>
    <t>2024-09-19</t>
  </si>
  <si>
    <t>2024-12-27</t>
  </si>
  <si>
    <t>2024-08-28</t>
  </si>
  <si>
    <t>2024-06-11</t>
  </si>
  <si>
    <t>2024-04-25</t>
  </si>
  <si>
    <t>2024-12-19</t>
  </si>
  <si>
    <t>2024-07-19</t>
  </si>
  <si>
    <t>2024-11-30</t>
  </si>
  <si>
    <t>2024-03-08</t>
  </si>
  <si>
    <t>2024-02-16</t>
  </si>
  <si>
    <t>2025-02-13</t>
  </si>
  <si>
    <t>2024-07-13</t>
  </si>
  <si>
    <t>2024-08-21</t>
  </si>
  <si>
    <t>2024-08-02</t>
  </si>
  <si>
    <t>2025-01-28</t>
  </si>
  <si>
    <t>2024-05-16</t>
  </si>
  <si>
    <t>2025-03-16</t>
  </si>
  <si>
    <t>2024-01-15</t>
  </si>
  <si>
    <t>2024-08-29</t>
  </si>
  <si>
    <t>2024-03-12</t>
  </si>
  <si>
    <t>2024-11-03</t>
  </si>
  <si>
    <t>2025-01-14</t>
  </si>
  <si>
    <t>2024-09-29</t>
  </si>
  <si>
    <t>2025-02-16</t>
  </si>
  <si>
    <t>2024-03-14</t>
  </si>
  <si>
    <t>2024-09-25</t>
  </si>
  <si>
    <t>2025-03-02</t>
  </si>
  <si>
    <t>2024-02-01</t>
  </si>
  <si>
    <t>2024-01-20</t>
  </si>
  <si>
    <t>2024-09-07</t>
  </si>
  <si>
    <t>2024-08-07</t>
  </si>
  <si>
    <t>2024-05-25</t>
  </si>
  <si>
    <t>2024-05-02</t>
  </si>
  <si>
    <t>2025-05-05</t>
  </si>
  <si>
    <t>2024-03-17</t>
  </si>
  <si>
    <t>2025-02-27</t>
  </si>
  <si>
    <t>2024-10-14</t>
  </si>
  <si>
    <t>2024-12-22</t>
  </si>
  <si>
    <t>2024-12-30</t>
  </si>
  <si>
    <t>2025-01-11</t>
  </si>
  <si>
    <t>2025-05-08</t>
  </si>
  <si>
    <t>2024-04-29</t>
  </si>
  <si>
    <t>2025-03-06</t>
  </si>
  <si>
    <t>2024-07-11</t>
  </si>
  <si>
    <t>2025-01-12</t>
  </si>
  <si>
    <t>2024-04-05</t>
  </si>
  <si>
    <t>2025-03-24</t>
  </si>
  <si>
    <t>2024-07-17</t>
  </si>
  <si>
    <t>2024-05-11</t>
  </si>
  <si>
    <t>2025-02-19</t>
  </si>
  <si>
    <t>2025-03-08</t>
  </si>
  <si>
    <t>2024-10-12</t>
  </si>
  <si>
    <t>2025-03-19</t>
  </si>
  <si>
    <t>2024-09-04</t>
  </si>
  <si>
    <t>2024-08-18</t>
  </si>
  <si>
    <t>2024-09-24</t>
  </si>
  <si>
    <t>2024-08-15</t>
  </si>
  <si>
    <t>2024-03-09</t>
  </si>
  <si>
    <t>2024-10-27</t>
  </si>
  <si>
    <t>2024-09-10</t>
  </si>
  <si>
    <t>2024-12-09</t>
  </si>
  <si>
    <t>2024-09-03</t>
  </si>
  <si>
    <t>2024-10-02</t>
  </si>
  <si>
    <t>2024-07-01</t>
  </si>
  <si>
    <t>2024-08-31</t>
  </si>
  <si>
    <t>2024-03-26</t>
  </si>
  <si>
    <t>2024-07-08</t>
  </si>
  <si>
    <t>2024-03-29</t>
  </si>
  <si>
    <t>2024-08-22</t>
  </si>
  <si>
    <t>2025-03-27</t>
  </si>
  <si>
    <t>2024-06-04</t>
  </si>
  <si>
    <t>2024-11-02</t>
  </si>
  <si>
    <t>2024-12-21</t>
  </si>
  <si>
    <t>2025-04-21</t>
  </si>
  <si>
    <t>2024-07-12</t>
  </si>
  <si>
    <t>2024-11-16</t>
  </si>
  <si>
    <t>2025-01-30</t>
  </si>
  <si>
    <t>2025-01-25</t>
  </si>
  <si>
    <t>2024-04-19</t>
  </si>
  <si>
    <t>2024-01-25</t>
  </si>
  <si>
    <t>2024-05-03</t>
  </si>
  <si>
    <t>2024-05-23</t>
  </si>
  <si>
    <t>2024-06-29</t>
  </si>
  <si>
    <t>2025-05-14</t>
  </si>
  <si>
    <t>2024-08-24</t>
  </si>
  <si>
    <t>2024-05-24</t>
  </si>
  <si>
    <t>2024-10-06</t>
  </si>
  <si>
    <t>2025-04-27</t>
  </si>
  <si>
    <t>2024-12-17</t>
  </si>
  <si>
    <t>2025-03-17</t>
  </si>
  <si>
    <t>2024-04-09</t>
  </si>
  <si>
    <t>2025-04-30</t>
  </si>
  <si>
    <t>2024-12-31</t>
  </si>
  <si>
    <t>2024-03-31</t>
  </si>
  <si>
    <t>2024-05-04</t>
  </si>
  <si>
    <t>2024-09-09</t>
  </si>
  <si>
    <t>2024-01-05</t>
  </si>
  <si>
    <t>2024-06-26</t>
  </si>
  <si>
    <t>2024-09-23</t>
  </si>
  <si>
    <t>2024-01-13</t>
  </si>
  <si>
    <t>2025-01-08</t>
  </si>
  <si>
    <t>2024-02-09</t>
  </si>
  <si>
    <t>2024-06-28</t>
  </si>
  <si>
    <t>2025-02-23</t>
  </si>
  <si>
    <t>2024-05-05</t>
  </si>
  <si>
    <t>2024-11-05</t>
  </si>
  <si>
    <t>2025-05-01</t>
  </si>
  <si>
    <t>2025-02-03</t>
  </si>
  <si>
    <t>2024-07-26</t>
  </si>
  <si>
    <t>2025-05-12</t>
  </si>
  <si>
    <t>2024-11-20</t>
  </si>
  <si>
    <t>2025-05-11</t>
  </si>
  <si>
    <t>2025-03-29</t>
  </si>
  <si>
    <t>2025-03-07</t>
  </si>
  <si>
    <t>2024-11-29</t>
  </si>
  <si>
    <t>2025-02-21</t>
  </si>
  <si>
    <t>2024-10-01</t>
  </si>
  <si>
    <t>2024-11-07</t>
  </si>
  <si>
    <t>2024-03-23</t>
  </si>
  <si>
    <t>2025-05-07</t>
  </si>
  <si>
    <t>2024-06-07</t>
  </si>
  <si>
    <t>2024-10-22</t>
  </si>
  <si>
    <t>2024-12-15</t>
  </si>
  <si>
    <t>2024-11-12</t>
  </si>
  <si>
    <t>2025-04-11</t>
  </si>
  <si>
    <t>2024-11-22</t>
  </si>
  <si>
    <t>2024-03-06</t>
  </si>
  <si>
    <t>2024-07-05</t>
  </si>
  <si>
    <t>2025-04-03</t>
  </si>
  <si>
    <t>2024-02-15</t>
  </si>
  <si>
    <t>2024-05-19</t>
  </si>
  <si>
    <t>2024-10-05</t>
  </si>
  <si>
    <t>2024-02-29</t>
  </si>
  <si>
    <t>2025-03-22</t>
  </si>
  <si>
    <t>2024-04-07</t>
  </si>
  <si>
    <t>2024-08-26</t>
  </si>
  <si>
    <t>2025-04-29</t>
  </si>
  <si>
    <t>2025-03-28</t>
  </si>
  <si>
    <t>2024-04-20</t>
  </si>
  <si>
    <t>2025-04-09</t>
  </si>
  <si>
    <t>2024-03-30</t>
  </si>
  <si>
    <t>2025-04-08</t>
  </si>
  <si>
    <t>2024-03-21</t>
  </si>
  <si>
    <t>2024-03-16</t>
  </si>
  <si>
    <t>2024-12-03</t>
  </si>
  <si>
    <t>2024-11-21</t>
  </si>
  <si>
    <t>2024-02-26</t>
  </si>
  <si>
    <t>2024-10-31</t>
  </si>
  <si>
    <t>2024-07-30</t>
  </si>
  <si>
    <t>2024-11-01</t>
  </si>
  <si>
    <t>2024-02-12</t>
  </si>
  <si>
    <t>2024-06-23</t>
  </si>
  <si>
    <t>2024-10-15</t>
  </si>
  <si>
    <t>2024-09-14</t>
  </si>
  <si>
    <t>2024-05-06</t>
  </si>
  <si>
    <t>2025-02-09</t>
  </si>
  <si>
    <t>2024-03-03</t>
  </si>
  <si>
    <t>2024-03-27</t>
  </si>
  <si>
    <t>2024-10-08</t>
  </si>
  <si>
    <t>2024-06-15</t>
  </si>
  <si>
    <t>2024-12-10</t>
  </si>
  <si>
    <t>2024-12-29</t>
  </si>
  <si>
    <t>2025-04-07</t>
  </si>
  <si>
    <t>2025-01-13</t>
  </si>
  <si>
    <t>2024-03-18</t>
  </si>
  <si>
    <t>2024-07-27</t>
  </si>
  <si>
    <t>2025-04-13</t>
  </si>
  <si>
    <t>2024-05-14</t>
  </si>
  <si>
    <t>2024-07-24</t>
  </si>
  <si>
    <t>2025-04-12</t>
  </si>
  <si>
    <t>2024-02-07</t>
  </si>
  <si>
    <t>2024-07-29</t>
  </si>
  <si>
    <t>2024-11-15</t>
  </si>
  <si>
    <t>2025-01-07</t>
  </si>
  <si>
    <t>2024-09-30</t>
  </si>
  <si>
    <t>2024-10-26</t>
  </si>
  <si>
    <t>2024-09-22</t>
  </si>
  <si>
    <t>2024-04-02</t>
  </si>
  <si>
    <t>2024-09-12</t>
  </si>
  <si>
    <t>2024-06-25</t>
  </si>
  <si>
    <t>2024-10-25</t>
  </si>
  <si>
    <t>2024-08-01</t>
  </si>
  <si>
    <t>2024-07-28</t>
  </si>
  <si>
    <t>2025-03-01</t>
  </si>
  <si>
    <t>2024-07-07</t>
  </si>
  <si>
    <t>2024-06-02</t>
  </si>
  <si>
    <t>2024-01-06</t>
  </si>
  <si>
    <t>2025-03-21</t>
  </si>
  <si>
    <t>2024-11-24</t>
  </si>
  <si>
    <t>2024-01-02</t>
  </si>
  <si>
    <t>2024-10-04</t>
  </si>
  <si>
    <t>2024-06-03</t>
  </si>
  <si>
    <t>2025-03-03</t>
  </si>
  <si>
    <t>2024-08-11</t>
  </si>
  <si>
    <t>2025-03-20</t>
  </si>
  <si>
    <t>2024-07-20</t>
  </si>
  <si>
    <t>2024-09-08</t>
  </si>
  <si>
    <t>2025-04-18</t>
  </si>
  <si>
    <t>2024-11-06</t>
  </si>
  <si>
    <t>2024-01-08</t>
  </si>
  <si>
    <t>2024-07-23</t>
  </si>
  <si>
    <t>2024-11-26</t>
  </si>
  <si>
    <t>2024-02-27</t>
  </si>
  <si>
    <t>2024-12-06</t>
  </si>
  <si>
    <t>2024-05-29</t>
  </si>
  <si>
    <t>2024-08-27</t>
  </si>
  <si>
    <t>2025-01-27</t>
  </si>
  <si>
    <t>2024-05-01</t>
  </si>
  <si>
    <t>2024-11-10</t>
  </si>
  <si>
    <t>2024-10-13</t>
  </si>
  <si>
    <t>2024-04-27</t>
  </si>
  <si>
    <t>2024-07-15</t>
  </si>
  <si>
    <t>2024-08-23</t>
  </si>
  <si>
    <t>2024-02-14</t>
  </si>
  <si>
    <t>2025-03-25</t>
  </si>
  <si>
    <t>2025-04-23</t>
  </si>
  <si>
    <t>2024-09-21</t>
  </si>
  <si>
    <t>2024-12-08</t>
  </si>
  <si>
    <t>2024-09-13</t>
  </si>
  <si>
    <t>2024-06-13</t>
  </si>
  <si>
    <t>2025-02-26</t>
  </si>
  <si>
    <t>2025-02-15</t>
  </si>
  <si>
    <t>2025-02-14</t>
  </si>
  <si>
    <t>2025-01-20</t>
  </si>
  <si>
    <t>(blank)</t>
  </si>
  <si>
    <t>Summary (All Region_Code)</t>
  </si>
  <si>
    <t>Total_Profit (Avg)</t>
  </si>
  <si>
    <t>Order_Date (Monthwise)</t>
  </si>
  <si>
    <t>     c. Select the "Profit Margin % column -&gt; apply Conditional Formatting</t>
  </si>
  <si>
    <t>4. Check if the macro got recorded by going to -&gt; Developer -&gt; Macros</t>
  </si>
  <si>
    <t>MACROS Step by Step Process -</t>
  </si>
  <si>
    <t>TRADE PERFORMANCE DASHBOARD</t>
  </si>
  <si>
    <t>Total Orders</t>
  </si>
  <si>
    <t>Total Sales</t>
  </si>
  <si>
    <t>Total Profit</t>
  </si>
  <si>
    <t>Average Profit Margin</t>
  </si>
  <si>
    <t>Top Region By Sales</t>
  </si>
  <si>
    <t>Top Product By Profit</t>
  </si>
  <si>
    <t>Sales</t>
  </si>
  <si>
    <t>Regions</t>
  </si>
  <si>
    <t>Order Priority</t>
  </si>
  <si>
    <t>SUMMARY METRICS</t>
  </si>
  <si>
    <t>Categories (Sumifs)</t>
  </si>
  <si>
    <t>Categories (Averageifs)</t>
  </si>
  <si>
    <t>Total Average of Profit_Margin</t>
  </si>
  <si>
    <t>Average of Profit_Margin</t>
  </si>
  <si>
    <t>Year-Month</t>
  </si>
  <si>
    <t>Avg. Profit Margin</t>
  </si>
  <si>
    <t>Avg. Shipping Cost</t>
  </si>
  <si>
    <t>1. Go to Developer Tab, top left side of the ribbon there is an option "Record Macro". </t>
  </si>
  <si>
    <t>2. Give macro a name, hit "Ok" then follow steps below:</t>
  </si>
  <si>
    <t>     b. Apply formatting changes color, text alignment, style etc. to the table.</t>
  </si>
  <si>
    <t>     d. Conditional Formatting rule if Profit Margin &gt; 25% then format it Green(Fill)</t>
  </si>
  <si>
    <t>3. Stop macro recording by going in "Developer" tab, top left side of ribbon "Stop".</t>
  </si>
  <si>
    <t>5. To create the assign button, go to -&gt; Developer tab -&gt; Insert,form controls, buttons.</t>
  </si>
  <si>
    <t>6. Select button option, drag it and assign Macro to it. Edit button as required.</t>
  </si>
  <si>
    <t>7. Save file in .xlsm format for macro to work.</t>
  </si>
  <si>
    <t>Final Macro Output</t>
  </si>
  <si>
    <t xml:space="preserve">     a. Select the data range, convert it into a table by CTRL + L.</t>
  </si>
  <si>
    <t xml:space="preserve">
</t>
  </si>
  <si>
    <r>
      <rPr>
        <b/>
        <sz val="12"/>
        <color theme="1"/>
        <rFont val="Calibri"/>
        <family val="2"/>
        <scheme val="minor"/>
      </rPr>
      <t>Note</t>
    </r>
    <r>
      <rPr>
        <sz val="11"/>
        <color theme="1"/>
        <rFont val="Calibri"/>
        <family val="2"/>
        <scheme val="minor"/>
      </rPr>
      <t xml:space="preserve"> - </t>
    </r>
    <r>
      <rPr>
        <b/>
        <sz val="11"/>
        <color theme="1"/>
        <rFont val="Calibri"/>
        <family val="2"/>
        <scheme val="minor"/>
      </rPr>
      <t>1.</t>
    </r>
    <r>
      <rPr>
        <sz val="11"/>
        <color theme="1"/>
        <rFont val="Calibri"/>
        <family val="2"/>
        <scheme val="minor"/>
      </rPr>
      <t xml:space="preserve"> If macro output formatting appears misaligned, please close and reopen the file 1-2 times and run again, because entire file was built in </t>
    </r>
    <r>
      <rPr>
        <b/>
        <sz val="11"/>
        <color theme="1"/>
        <rFont val="Calibri"/>
        <family val="2"/>
        <scheme val="minor"/>
      </rPr>
      <t>2013 MS Excel</t>
    </r>
    <r>
      <rPr>
        <sz val="11"/>
        <color theme="1"/>
        <rFont val="Calibri"/>
        <family val="2"/>
        <scheme val="minor"/>
      </rPr>
      <t xml:space="preserve"> may require 1-2 reopen on newer versions for formatting to render correctly due to version compatibility. </t>
    </r>
    <r>
      <rPr>
        <b/>
        <sz val="11"/>
        <color theme="1"/>
        <rFont val="Calibri"/>
        <family val="2"/>
        <scheme val="minor"/>
      </rPr>
      <t>This is Microsoft Compatibility issue not a error from my side.</t>
    </r>
    <r>
      <rPr>
        <sz val="11"/>
        <color theme="1"/>
        <rFont val="Calibri"/>
        <family val="2"/>
        <scheme val="minor"/>
      </rPr>
      <t xml:space="preserve"> All logic, formulas, macros and dashboard function as intended.                           </t>
    </r>
    <r>
      <rPr>
        <b/>
        <sz val="11"/>
        <color theme="1"/>
        <rFont val="Calibri"/>
        <family val="2"/>
        <scheme val="minor"/>
      </rPr>
      <t xml:space="preserve">2. </t>
    </r>
    <r>
      <rPr>
        <sz val="11"/>
        <color theme="1"/>
        <rFont val="Calibri"/>
        <family val="2"/>
        <scheme val="minor"/>
      </rPr>
      <t>Windows might show security error because Macros is created in older (2013 Version), Kindly ignore it and run the macros. This is again compatibility issue from Windows 10/11 &amp; MS Office New Versions. No harmful substance is in the file.</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</si>
</sst>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yyyy"/>
    <numFmt numFmtId="165" formatCode="[$$-409]#,##0.00"/>
  </numFmts>
  <fonts count="19" x14ac:knownFonts="1">
    <font>
      <sz val="11"/>
      <color theme="1"/>
      <name val="Calibri"/>
      <family val="2"/>
      <scheme val="minor"/>
    </font>
    <font>
      <b/>
      <sz val="11"/>
      <color theme="1"/>
      <name val="Calibri"/>
      <family val="2"/>
      <scheme val="minor"/>
    </font>
    <font>
      <b/>
      <sz val="11"/>
      <name val="Calibri"/>
      <family val="2"/>
    </font>
    <font>
      <b/>
      <sz val="12"/>
      <name val="Calibri"/>
      <family val="2"/>
    </font>
    <font>
      <sz val="12"/>
      <color theme="1"/>
      <name val="Calibri"/>
      <family val="2"/>
      <scheme val="minor"/>
    </font>
    <font>
      <sz val="11"/>
      <name val="Calibri"/>
      <family val="2"/>
    </font>
    <font>
      <b/>
      <sz val="11"/>
      <color rgb="FF000000"/>
      <name val="Calibri"/>
      <family val="2"/>
    </font>
    <font>
      <b/>
      <sz val="11"/>
      <color rgb="FFFFFFFF"/>
      <name val="Calibri"/>
      <family val="2"/>
    </font>
    <font>
      <b/>
      <sz val="12"/>
      <color theme="1"/>
      <name val="Calibri"/>
      <family val="2"/>
      <scheme val="minor"/>
    </font>
    <font>
      <sz val="11"/>
      <name val="Arial"/>
      <family val="2"/>
    </font>
    <font>
      <sz val="12"/>
      <name val="Calibri"/>
      <family val="2"/>
    </font>
    <font>
      <sz val="11"/>
      <color rgb="FF000000"/>
      <name val="Arial"/>
      <family val="2"/>
    </font>
    <font>
      <b/>
      <sz val="11"/>
      <color theme="1" tint="4.9989318521683403E-2"/>
      <name val="Calibri"/>
      <family val="2"/>
      <scheme val="minor"/>
    </font>
    <font>
      <b/>
      <sz val="12"/>
      <color theme="0"/>
      <name val="Segoe UI"/>
      <family val="2"/>
    </font>
    <font>
      <b/>
      <sz val="24"/>
      <color theme="0"/>
      <name val="Segoe UI"/>
      <family val="2"/>
    </font>
    <font>
      <b/>
      <sz val="13"/>
      <color rgb="FF1F3864"/>
      <name val="Segoe UI"/>
      <family val="2"/>
    </font>
    <font>
      <b/>
      <sz val="12"/>
      <color theme="3" tint="-0.499984740745262"/>
      <name val="Calibri"/>
      <family val="2"/>
    </font>
    <font>
      <sz val="12"/>
      <color theme="3" tint="-0.499984740745262"/>
      <name val="Calibri"/>
      <family val="2"/>
      <scheme val="minor"/>
    </font>
    <font>
      <b/>
      <sz val="12"/>
      <color theme="1" tint="4.9989318521683403E-2"/>
      <name val="Calibri"/>
      <family val="2"/>
      <scheme val="minor"/>
    </font>
  </fonts>
  <fills count="7">
    <fill>
      <patternFill patternType="none"/>
    </fill>
    <fill>
      <patternFill patternType="gray125"/>
    </fill>
    <fill>
      <patternFill patternType="solid">
        <fgColor rgb="FF4F81BD"/>
      </patternFill>
    </fill>
    <fill>
      <patternFill patternType="solid">
        <fgColor rgb="FF1F3864"/>
        <bgColor indexed="64"/>
      </patternFill>
    </fill>
    <fill>
      <patternFill patternType="solid">
        <fgColor rgb="FF2E75B6"/>
        <bgColor indexed="64"/>
      </patternFill>
    </fill>
    <fill>
      <patternFill patternType="solid">
        <fgColor rgb="FFEBF5FB"/>
        <bgColor indexed="64"/>
      </patternFill>
    </fill>
    <fill>
      <patternFill patternType="solid">
        <fgColor theme="3" tint="0.39997558519241921"/>
        <bgColor indexed="64"/>
      </patternFill>
    </fill>
  </fills>
  <borders count="3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right/>
      <top style="thin">
        <color theme="6" tint="0.39997558519241921"/>
      </top>
      <bottom style="thin">
        <color theme="6" tint="0.3999755851924192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s>
  <cellStyleXfs count="1">
    <xf numFmtId="0" fontId="0" fillId="0" borderId="0"/>
  </cellStyleXfs>
  <cellXfs count="190">
    <xf numFmtId="0" fontId="0" fillId="0" borderId="0" xfId="0"/>
    <xf numFmtId="0" fontId="0" fillId="0" borderId="0" xfId="0" applyAlignment="1">
      <alignment horizontal="left" vertical="center"/>
    </xf>
    <xf numFmtId="165" fontId="0" fillId="0" borderId="0" xfId="0" applyNumberFormat="1" applyAlignment="1">
      <alignment horizontal="center" vertical="center"/>
    </xf>
    <xf numFmtId="0" fontId="1" fillId="0" borderId="1" xfId="0" applyFont="1" applyBorder="1" applyAlignment="1">
      <alignment horizontal="center" vertical="top"/>
    </xf>
    <xf numFmtId="0" fontId="0" fillId="0" borderId="0" xfId="0" applyFont="1"/>
    <xf numFmtId="2" fontId="0" fillId="0" borderId="0" xfId="0" applyNumberFormat="1"/>
    <xf numFmtId="9" fontId="0" fillId="0" borderId="0" xfId="0" applyNumberFormat="1"/>
    <xf numFmtId="0" fontId="1" fillId="0" borderId="2" xfId="0" applyFont="1" applyBorder="1" applyAlignment="1">
      <alignment horizontal="center" vertical="top"/>
    </xf>
    <xf numFmtId="0" fontId="0" fillId="0" borderId="0" xfId="0" applyAlignment="1">
      <alignment horizontal="left"/>
    </xf>
    <xf numFmtId="14" fontId="1" fillId="0" borderId="2" xfId="0" applyNumberFormat="1" applyFont="1" applyBorder="1" applyAlignment="1">
      <alignment horizontal="center" vertical="top"/>
    </xf>
    <xf numFmtId="14" fontId="0" fillId="0" borderId="0" xfId="0" applyNumberFormat="1"/>
    <xf numFmtId="2" fontId="1" fillId="0" borderId="2" xfId="0" applyNumberFormat="1" applyFont="1" applyBorder="1" applyAlignment="1">
      <alignment horizontal="center" vertical="top"/>
    </xf>
    <xf numFmtId="0" fontId="2" fillId="0" borderId="1" xfId="0" applyFont="1" applyBorder="1" applyAlignment="1">
      <alignment horizontal="center" vertical="top"/>
    </xf>
    <xf numFmtId="0" fontId="5" fillId="0" borderId="0" xfId="0" applyFont="1" applyBorder="1" applyAlignment="1">
      <alignment horizontal="right" vertical="center"/>
    </xf>
    <xf numFmtId="0" fontId="0" fillId="0" borderId="0" xfId="0" applyFont="1" applyBorder="1" applyAlignment="1">
      <alignment horizontal="right" vertical="center"/>
    </xf>
    <xf numFmtId="9" fontId="0" fillId="0" borderId="0" xfId="0" applyNumberFormat="1" applyFont="1" applyBorder="1" applyAlignment="1">
      <alignment horizontal="right" vertical="center"/>
    </xf>
    <xf numFmtId="0" fontId="0" fillId="0" borderId="0" xfId="0" applyBorder="1"/>
    <xf numFmtId="0" fontId="7" fillId="2" borderId="0" xfId="0" applyFont="1" applyFill="1" applyAlignment="1">
      <alignment horizontal="left" wrapText="1"/>
    </xf>
    <xf numFmtId="0" fontId="7" fillId="2" borderId="0" xfId="0" applyFont="1" applyFill="1" applyAlignment="1">
      <alignment horizontal="left"/>
    </xf>
    <xf numFmtId="14" fontId="0" fillId="0" borderId="0" xfId="0" applyNumberFormat="1" applyAlignment="1">
      <alignment horizontal="left" vertical="center"/>
    </xf>
    <xf numFmtId="0" fontId="0" fillId="0" borderId="0" xfId="0" applyAlignment="1">
      <alignment horizontal="center"/>
    </xf>
    <xf numFmtId="2" fontId="0" fillId="0" borderId="0" xfId="0" applyNumberFormat="1"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0" fillId="0" borderId="1" xfId="0"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xf>
    <xf numFmtId="165" fontId="0" fillId="0" borderId="1" xfId="0" applyNumberFormat="1" applyBorder="1" applyAlignment="1">
      <alignment horizontal="center"/>
    </xf>
    <xf numFmtId="165" fontId="0" fillId="0" borderId="1" xfId="0" applyNumberFormat="1" applyBorder="1" applyAlignment="1">
      <alignment horizontal="center" vertical="center"/>
    </xf>
    <xf numFmtId="165" fontId="0" fillId="0" borderId="1" xfId="0" applyNumberFormat="1" applyFont="1" applyBorder="1" applyAlignment="1">
      <alignment horizontal="center" vertical="center"/>
    </xf>
    <xf numFmtId="0" fontId="1" fillId="0" borderId="8" xfId="0" applyFont="1" applyBorder="1" applyAlignment="1">
      <alignment horizontal="center" vertical="center"/>
    </xf>
    <xf numFmtId="0" fontId="1" fillId="0" borderId="9" xfId="0" applyFont="1" applyBorder="1" applyAlignment="1">
      <alignment horizontal="center" vertical="center"/>
    </xf>
    <xf numFmtId="165" fontId="0" fillId="0" borderId="10" xfId="0" applyNumberFormat="1" applyBorder="1" applyAlignment="1">
      <alignment horizontal="center"/>
    </xf>
    <xf numFmtId="165" fontId="0" fillId="0" borderId="11" xfId="0" applyNumberFormat="1" applyBorder="1" applyAlignment="1">
      <alignment horizontal="center"/>
    </xf>
    <xf numFmtId="165" fontId="0" fillId="0" borderId="12" xfId="0" applyNumberFormat="1" applyBorder="1" applyAlignment="1">
      <alignment horizontal="center"/>
    </xf>
    <xf numFmtId="165" fontId="0" fillId="0" borderId="7" xfId="0" applyNumberFormat="1" applyBorder="1" applyAlignment="1">
      <alignment horizontal="center"/>
    </xf>
    <xf numFmtId="165" fontId="0" fillId="0" borderId="3" xfId="0" applyNumberFormat="1" applyBorder="1" applyAlignment="1">
      <alignment horizontal="center"/>
    </xf>
    <xf numFmtId="0" fontId="1" fillId="0" borderId="0" xfId="0" applyFont="1" applyBorder="1" applyAlignment="1">
      <alignment horizontal="center" vertical="center"/>
    </xf>
    <xf numFmtId="0" fontId="0" fillId="0" borderId="0" xfId="0" applyBorder="1" applyAlignment="1"/>
    <xf numFmtId="0" fontId="0" fillId="0" borderId="13" xfId="0" applyBorder="1" applyAlignment="1">
      <alignment horizontal="center"/>
    </xf>
    <xf numFmtId="165" fontId="0" fillId="0" borderId="14" xfId="0" applyNumberFormat="1" applyBorder="1" applyAlignment="1">
      <alignment horizontal="center"/>
    </xf>
    <xf numFmtId="0" fontId="0" fillId="0" borderId="4" xfId="0" applyBorder="1" applyAlignment="1">
      <alignment horizontal="center"/>
    </xf>
    <xf numFmtId="0" fontId="10" fillId="0" borderId="6"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0" fillId="0" borderId="13" xfId="0" applyFont="1" applyBorder="1" applyAlignment="1">
      <alignment horizontal="left" vertical="center"/>
    </xf>
    <xf numFmtId="0" fontId="0" fillId="0" borderId="1" xfId="0" applyFont="1" applyBorder="1" applyAlignment="1">
      <alignment horizontal="left" vertical="center"/>
    </xf>
    <xf numFmtId="0" fontId="0" fillId="0" borderId="4" xfId="0" applyFont="1" applyBorder="1" applyAlignment="1">
      <alignment horizontal="left" vertical="center"/>
    </xf>
    <xf numFmtId="0" fontId="0" fillId="0" borderId="7" xfId="0" applyFont="1" applyBorder="1" applyAlignment="1">
      <alignment horizontal="left" vertical="center"/>
    </xf>
    <xf numFmtId="9" fontId="0" fillId="0" borderId="14" xfId="0" applyNumberFormat="1" applyFont="1" applyBorder="1" applyAlignment="1">
      <alignment horizontal="center" vertical="center"/>
    </xf>
    <xf numFmtId="9" fontId="0" fillId="0" borderId="3" xfId="0" applyNumberFormat="1" applyFont="1" applyBorder="1" applyAlignment="1">
      <alignment horizontal="center" vertical="center"/>
    </xf>
    <xf numFmtId="0" fontId="0" fillId="0" borderId="0" xfId="0" applyFont="1" applyBorder="1" applyAlignment="1">
      <alignment horizontal="right"/>
    </xf>
    <xf numFmtId="2" fontId="1" fillId="0" borderId="1" xfId="0" applyNumberFormat="1" applyFont="1" applyBorder="1" applyAlignment="1">
      <alignment horizontal="center" vertical="center"/>
    </xf>
    <xf numFmtId="0" fontId="1" fillId="0" borderId="1" xfId="0" applyFont="1" applyBorder="1" applyAlignment="1">
      <alignment horizontal="center" vertical="center"/>
    </xf>
    <xf numFmtId="0" fontId="0" fillId="0" borderId="0" xfId="0" applyFill="1" applyBorder="1"/>
    <xf numFmtId="0" fontId="11" fillId="0" borderId="0" xfId="0" applyFont="1" applyFill="1" applyBorder="1" applyAlignment="1"/>
    <xf numFmtId="0" fontId="1" fillId="0" borderId="0" xfId="0" applyFont="1"/>
    <xf numFmtId="165" fontId="0" fillId="0" borderId="0" xfId="0" applyNumberFormat="1"/>
    <xf numFmtId="0" fontId="0" fillId="0" borderId="18" xfId="0" applyFont="1" applyBorder="1" applyAlignment="1">
      <alignment horizontal="left" vertical="center"/>
    </xf>
    <xf numFmtId="0" fontId="0" fillId="0" borderId="18" xfId="0" applyFont="1" applyBorder="1" applyAlignment="1">
      <alignment horizontal="center" vertical="center"/>
    </xf>
    <xf numFmtId="165" fontId="0" fillId="0" borderId="0" xfId="0" applyNumberFormat="1" applyAlignment="1">
      <alignment horizontal="center"/>
    </xf>
    <xf numFmtId="0" fontId="1" fillId="0" borderId="1" xfId="0" applyFont="1" applyBorder="1"/>
    <xf numFmtId="10" fontId="0" fillId="0" borderId="1" xfId="0" applyNumberFormat="1" applyBorder="1"/>
    <xf numFmtId="164" fontId="0" fillId="0" borderId="0" xfId="0" applyNumberFormat="1" applyAlignment="1">
      <alignment horizontal="center" vertical="center"/>
    </xf>
    <xf numFmtId="2" fontId="0" fillId="0" borderId="0" xfId="0" applyNumberFormat="1" applyAlignment="1">
      <alignment horizontal="center" vertical="center"/>
    </xf>
    <xf numFmtId="9" fontId="0" fillId="0" borderId="0" xfId="0" applyNumberFormat="1" applyAlignment="1">
      <alignment horizontal="center" vertical="center"/>
    </xf>
    <xf numFmtId="1" fontId="0" fillId="0" borderId="0" xfId="0" applyNumberFormat="1" applyAlignment="1">
      <alignment horizontal="center" vertical="center"/>
    </xf>
    <xf numFmtId="1" fontId="0" fillId="0" borderId="0" xfId="0" applyNumberFormat="1"/>
    <xf numFmtId="0" fontId="0" fillId="0" borderId="0" xfId="0" applyFont="1" applyBorder="1" applyAlignment="1">
      <alignment horizontal="center" vertical="center"/>
    </xf>
    <xf numFmtId="0" fontId="12" fillId="0" borderId="0" xfId="0" applyFont="1" applyAlignment="1">
      <alignment horizont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4"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0" fillId="0" borderId="0" xfId="0" applyBorder="1" applyAlignment="1">
      <alignment horizontal="center" vertical="center"/>
    </xf>
    <xf numFmtId="0" fontId="0" fillId="0" borderId="0" xfId="0" applyBorder="1" applyAlignment="1">
      <alignment horizontal="center"/>
    </xf>
    <xf numFmtId="2" fontId="0" fillId="0" borderId="0" xfId="0" applyNumberFormat="1" applyBorder="1" applyAlignment="1">
      <alignment horizontal="center"/>
    </xf>
    <xf numFmtId="0" fontId="0" fillId="0" borderId="24" xfId="0" applyBorder="1" applyAlignment="1">
      <alignment horizontal="center" vertical="center"/>
    </xf>
    <xf numFmtId="0" fontId="0" fillId="0" borderId="8" xfId="0" applyBorder="1" applyAlignment="1">
      <alignment horizontal="center"/>
    </xf>
    <xf numFmtId="165" fontId="0" fillId="0" borderId="9" xfId="0" applyNumberFormat="1" applyBorder="1" applyAlignment="1">
      <alignment horizontal="center" vertical="center"/>
    </xf>
    <xf numFmtId="0" fontId="0" fillId="0" borderId="10" xfId="0" applyBorder="1" applyAlignment="1">
      <alignment horizontal="center"/>
    </xf>
    <xf numFmtId="165" fontId="0" fillId="0" borderId="12" xfId="0" applyNumberFormat="1" applyBorder="1" applyAlignment="1">
      <alignment horizontal="center" vertical="center"/>
    </xf>
    <xf numFmtId="0" fontId="0" fillId="0" borderId="24" xfId="0" applyFont="1" applyBorder="1" applyAlignment="1">
      <alignment horizontal="center" vertical="center"/>
    </xf>
    <xf numFmtId="165" fontId="0" fillId="0" borderId="9" xfId="0" applyNumberFormat="1" applyFont="1" applyBorder="1" applyAlignment="1">
      <alignment horizontal="center" vertical="center"/>
    </xf>
    <xf numFmtId="165" fontId="0" fillId="0" borderId="12" xfId="0" applyNumberFormat="1" applyFont="1" applyBorder="1" applyAlignment="1">
      <alignment horizontal="center" vertical="center"/>
    </xf>
    <xf numFmtId="10" fontId="0" fillId="0" borderId="0" xfId="0" applyNumberFormat="1"/>
    <xf numFmtId="0" fontId="0" fillId="0" borderId="0" xfId="0" pivotButton="1"/>
    <xf numFmtId="0" fontId="0" fillId="0" borderId="0" xfId="0" applyNumberFormat="1"/>
    <xf numFmtId="0" fontId="0" fillId="0" borderId="28" xfId="0" applyBorder="1"/>
    <xf numFmtId="0" fontId="0" fillId="0" borderId="29" xfId="0" applyBorder="1"/>
    <xf numFmtId="0" fontId="0" fillId="0" borderId="30" xfId="0" applyBorder="1"/>
    <xf numFmtId="0" fontId="0" fillId="0" borderId="31" xfId="0" applyBorder="1"/>
    <xf numFmtId="0" fontId="0" fillId="0" borderId="32" xfId="0" applyBorder="1"/>
    <xf numFmtId="0" fontId="13" fillId="0" borderId="28" xfId="0" applyFont="1" applyBorder="1" applyAlignment="1">
      <alignment horizontal="center" vertical="center"/>
    </xf>
    <xf numFmtId="0" fontId="13" fillId="0" borderId="0" xfId="0" applyFont="1" applyBorder="1" applyAlignment="1">
      <alignment horizontal="center" vertical="center"/>
    </xf>
    <xf numFmtId="0" fontId="13" fillId="0" borderId="29" xfId="0" applyFont="1" applyBorder="1" applyAlignment="1">
      <alignment horizontal="center" vertical="center"/>
    </xf>
    <xf numFmtId="0" fontId="13" fillId="0" borderId="0" xfId="0" applyFont="1" applyAlignment="1">
      <alignment horizontal="center" vertical="center"/>
    </xf>
    <xf numFmtId="0" fontId="15" fillId="0" borderId="28" xfId="0" applyFont="1" applyBorder="1" applyAlignment="1">
      <alignment horizontal="center" vertical="center"/>
    </xf>
    <xf numFmtId="0" fontId="15" fillId="0" borderId="0" xfId="0" applyFont="1" applyBorder="1" applyAlignment="1">
      <alignment horizontal="center" vertical="center"/>
    </xf>
    <xf numFmtId="0" fontId="15" fillId="0" borderId="29" xfId="0" applyFont="1" applyBorder="1" applyAlignment="1">
      <alignment horizontal="center" vertical="center"/>
    </xf>
    <xf numFmtId="0" fontId="15" fillId="0" borderId="0" xfId="0" applyFont="1" applyAlignment="1">
      <alignment horizontal="center" vertical="center"/>
    </xf>
    <xf numFmtId="0" fontId="3" fillId="0" borderId="2" xfId="0" applyFont="1" applyBorder="1" applyAlignment="1">
      <alignment horizontal="center" vertical="center"/>
    </xf>
    <xf numFmtId="164" fontId="3" fillId="0" borderId="2" xfId="0" applyNumberFormat="1" applyFont="1" applyBorder="1" applyAlignment="1">
      <alignment horizontal="center" vertical="center"/>
    </xf>
    <xf numFmtId="165" fontId="3" fillId="0" borderId="2" xfId="0" applyNumberFormat="1" applyFont="1" applyBorder="1" applyAlignment="1">
      <alignment horizontal="center" vertical="center"/>
    </xf>
    <xf numFmtId="2" fontId="3" fillId="0" borderId="2" xfId="0" applyNumberFormat="1" applyFont="1" applyBorder="1" applyAlignment="1">
      <alignment horizontal="center" vertical="center"/>
    </xf>
    <xf numFmtId="0" fontId="4" fillId="0" borderId="0" xfId="0" applyFont="1" applyAlignment="1">
      <alignment horizontal="center"/>
    </xf>
    <xf numFmtId="0" fontId="4" fillId="0" borderId="0" xfId="0" applyFont="1" applyAlignment="1">
      <alignment horizontal="center" vertical="center"/>
    </xf>
    <xf numFmtId="1" fontId="3" fillId="0" borderId="2" xfId="0" applyNumberFormat="1" applyFont="1" applyBorder="1" applyAlignment="1">
      <alignment horizontal="center" vertical="center"/>
    </xf>
    <xf numFmtId="0" fontId="3" fillId="0" borderId="0" xfId="0" applyFont="1" applyBorder="1" applyAlignment="1">
      <alignment horizontal="center" vertical="center"/>
    </xf>
    <xf numFmtId="0" fontId="8" fillId="6" borderId="19" xfId="0" applyFont="1" applyFill="1" applyBorder="1" applyAlignment="1">
      <alignment horizontal="center" vertical="center"/>
    </xf>
    <xf numFmtId="0" fontId="0" fillId="0" borderId="20" xfId="0" applyBorder="1" applyAlignment="1">
      <alignment horizontal="center" vertical="center"/>
    </xf>
    <xf numFmtId="0" fontId="1" fillId="6" borderId="20" xfId="0" applyFont="1" applyFill="1" applyBorder="1" applyAlignment="1">
      <alignment horizontal="center" vertical="center"/>
    </xf>
    <xf numFmtId="9" fontId="0" fillId="0" borderId="20" xfId="0" applyNumberFormat="1" applyBorder="1" applyAlignment="1">
      <alignment horizontal="center" vertical="center"/>
    </xf>
    <xf numFmtId="9" fontId="0" fillId="0" borderId="21" xfId="0" applyNumberFormat="1" applyBorder="1" applyAlignment="1">
      <alignment horizontal="center" vertical="center"/>
    </xf>
    <xf numFmtId="2" fontId="16" fillId="0" borderId="2" xfId="0" applyNumberFormat="1" applyFont="1" applyBorder="1" applyAlignment="1">
      <alignment horizontal="center" vertical="center"/>
    </xf>
    <xf numFmtId="165" fontId="16" fillId="0" borderId="2" xfId="0" applyNumberFormat="1" applyFont="1" applyBorder="1" applyAlignment="1">
      <alignment horizontal="center" vertical="center"/>
    </xf>
    <xf numFmtId="9" fontId="17" fillId="0" borderId="0" xfId="0" applyNumberFormat="1" applyFont="1" applyAlignment="1">
      <alignment horizontal="center"/>
    </xf>
    <xf numFmtId="0" fontId="17" fillId="0" borderId="0" xfId="0" applyFont="1" applyAlignment="1">
      <alignment horizontal="center"/>
    </xf>
    <xf numFmtId="0" fontId="12" fillId="6" borderId="6" xfId="0" applyFont="1" applyFill="1" applyBorder="1" applyAlignment="1">
      <alignment horizontal="center" vertical="center"/>
    </xf>
    <xf numFmtId="0" fontId="12" fillId="6" borderId="2" xfId="0" applyFont="1" applyFill="1" applyBorder="1" applyAlignment="1">
      <alignment horizontal="center" vertical="center"/>
    </xf>
    <xf numFmtId="0" fontId="18" fillId="6" borderId="5" xfId="0" applyFont="1" applyFill="1" applyBorder="1" applyAlignment="1">
      <alignment horizontal="center" vertical="center"/>
    </xf>
    <xf numFmtId="0" fontId="8" fillId="0" borderId="6" xfId="0" applyFont="1" applyBorder="1" applyAlignment="1">
      <alignment horizontal="center" vertical="center"/>
    </xf>
    <xf numFmtId="0" fontId="8" fillId="0" borderId="2" xfId="0" applyFont="1" applyBorder="1" applyAlignment="1">
      <alignment horizontal="center" vertical="center"/>
    </xf>
    <xf numFmtId="0" fontId="8" fillId="0" borderId="5" xfId="0" applyFont="1" applyBorder="1" applyAlignment="1">
      <alignment horizontal="center" vertical="center"/>
    </xf>
    <xf numFmtId="0" fontId="8" fillId="0" borderId="6"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5" xfId="0" applyFont="1" applyFill="1" applyBorder="1" applyAlignment="1">
      <alignment horizontal="center" vertical="center"/>
    </xf>
    <xf numFmtId="14" fontId="9" fillId="0" borderId="13" xfId="0" applyNumberFormat="1" applyFont="1" applyFill="1" applyBorder="1" applyAlignment="1">
      <alignment horizontal="center" vertical="center"/>
    </xf>
    <xf numFmtId="165" fontId="9" fillId="0" borderId="1" xfId="0" applyNumberFormat="1" applyFont="1" applyFill="1" applyBorder="1" applyAlignment="1">
      <alignment horizontal="center" vertical="center"/>
    </xf>
    <xf numFmtId="165" fontId="9" fillId="0" borderId="14" xfId="0" applyNumberFormat="1" applyFont="1" applyFill="1" applyBorder="1" applyAlignment="1">
      <alignment horizontal="center" vertical="center"/>
    </xf>
    <xf numFmtId="14" fontId="9" fillId="0" borderId="4" xfId="0" applyNumberFormat="1" applyFont="1" applyFill="1" applyBorder="1" applyAlignment="1">
      <alignment horizontal="center" vertical="center"/>
    </xf>
    <xf numFmtId="165" fontId="9" fillId="0" borderId="7" xfId="0" applyNumberFormat="1" applyFont="1" applyFill="1" applyBorder="1" applyAlignment="1">
      <alignment horizontal="center" vertical="center"/>
    </xf>
    <xf numFmtId="165" fontId="9" fillId="0" borderId="3" xfId="0" applyNumberFormat="1" applyFont="1" applyFill="1" applyBorder="1" applyAlignment="1">
      <alignment horizontal="center" vertical="center"/>
    </xf>
    <xf numFmtId="0" fontId="0" fillId="0" borderId="0" xfId="0" applyFill="1" applyBorder="1" applyAlignment="1">
      <alignment vertical="top" wrapText="1"/>
    </xf>
    <xf numFmtId="0" fontId="0" fillId="0" borderId="25" xfId="0" applyBorder="1"/>
    <xf numFmtId="0" fontId="0" fillId="0" borderId="26" xfId="0" applyBorder="1"/>
    <xf numFmtId="0" fontId="0" fillId="0" borderId="27" xfId="0" applyBorder="1"/>
    <xf numFmtId="0" fontId="0" fillId="0" borderId="28" xfId="0" applyFill="1" applyBorder="1" applyAlignment="1">
      <alignment vertical="top" wrapText="1"/>
    </xf>
    <xf numFmtId="0" fontId="0" fillId="0" borderId="29" xfId="0" applyFill="1" applyBorder="1" applyAlignment="1">
      <alignment vertical="top" wrapText="1"/>
    </xf>
    <xf numFmtId="0" fontId="0" fillId="0" borderId="30" xfId="0" applyFill="1" applyBorder="1" applyAlignment="1">
      <alignment vertical="top" wrapText="1"/>
    </xf>
    <xf numFmtId="0" fontId="0" fillId="0" borderId="31" xfId="0" applyFill="1" applyBorder="1" applyAlignment="1">
      <alignment vertical="top" wrapText="1"/>
    </xf>
    <xf numFmtId="2" fontId="1" fillId="0" borderId="23" xfId="0" applyNumberFormat="1" applyFont="1" applyBorder="1" applyAlignment="1">
      <alignment horizontal="center"/>
    </xf>
    <xf numFmtId="2" fontId="1" fillId="0" borderId="23" xfId="0" applyNumberFormat="1" applyFont="1" applyBorder="1" applyAlignment="1">
      <alignment horizontal="center" vertical="center"/>
    </xf>
    <xf numFmtId="0" fontId="1" fillId="0" borderId="22" xfId="0" applyFont="1" applyBorder="1" applyAlignment="1">
      <alignment horizontal="center" vertical="center"/>
    </xf>
    <xf numFmtId="0" fontId="1" fillId="0" borderId="8" xfId="0" applyFont="1" applyBorder="1" applyAlignment="1">
      <alignment horizontal="center" vertical="center"/>
    </xf>
    <xf numFmtId="0" fontId="8" fillId="6" borderId="15" xfId="0" applyFont="1" applyFill="1" applyBorder="1" applyAlignment="1">
      <alignment horizontal="center" vertical="center"/>
    </xf>
    <xf numFmtId="0" fontId="8" fillId="6" borderId="16" xfId="0" applyFont="1" applyFill="1" applyBorder="1" applyAlignment="1">
      <alignment horizontal="center" vertical="center"/>
    </xf>
    <xf numFmtId="0" fontId="8" fillId="6" borderId="17" xfId="0" applyFont="1" applyFill="1" applyBorder="1" applyAlignment="1">
      <alignment horizontal="center" vertical="center"/>
    </xf>
    <xf numFmtId="0" fontId="0" fillId="0" borderId="25" xfId="0" applyFill="1" applyBorder="1" applyAlignment="1">
      <alignment horizontal="left" vertical="top" wrapText="1"/>
    </xf>
    <xf numFmtId="0" fontId="0" fillId="0" borderId="26" xfId="0" applyFill="1" applyBorder="1" applyAlignment="1">
      <alignment horizontal="left" vertical="top" wrapText="1"/>
    </xf>
    <xf numFmtId="0" fontId="0" fillId="0" borderId="27" xfId="0" applyFill="1" applyBorder="1" applyAlignment="1">
      <alignment horizontal="left" vertical="top" wrapText="1"/>
    </xf>
    <xf numFmtId="0" fontId="0" fillId="0" borderId="28" xfId="0" applyFill="1" applyBorder="1" applyAlignment="1">
      <alignment horizontal="left" vertical="top" wrapText="1"/>
    </xf>
    <xf numFmtId="0" fontId="0" fillId="0" borderId="0" xfId="0" applyFill="1" applyBorder="1" applyAlignment="1">
      <alignment horizontal="left" vertical="top" wrapText="1"/>
    </xf>
    <xf numFmtId="0" fontId="0" fillId="0" borderId="29" xfId="0" applyFill="1" applyBorder="1" applyAlignment="1">
      <alignment horizontal="left" vertical="top" wrapText="1"/>
    </xf>
    <xf numFmtId="0" fontId="0" fillId="0" borderId="30" xfId="0" applyFill="1" applyBorder="1" applyAlignment="1">
      <alignment horizontal="left" vertical="top" wrapText="1"/>
    </xf>
    <xf numFmtId="0" fontId="0" fillId="0" borderId="31" xfId="0" applyFill="1" applyBorder="1" applyAlignment="1">
      <alignment horizontal="left" vertical="top" wrapText="1"/>
    </xf>
    <xf numFmtId="0" fontId="0" fillId="0" borderId="32" xfId="0" applyFill="1" applyBorder="1" applyAlignment="1">
      <alignment horizontal="left" vertical="top" wrapText="1"/>
    </xf>
    <xf numFmtId="0" fontId="8" fillId="0" borderId="31" xfId="0" applyFont="1" applyFill="1" applyBorder="1" applyAlignment="1">
      <alignment horizontal="center"/>
    </xf>
    <xf numFmtId="0" fontId="8" fillId="0" borderId="32" xfId="0" applyFont="1" applyFill="1" applyBorder="1" applyAlignment="1">
      <alignment horizontal="center"/>
    </xf>
    <xf numFmtId="0" fontId="0" fillId="0" borderId="8" xfId="0" applyBorder="1" applyAlignment="1">
      <alignment horizontal="left" vertical="center"/>
    </xf>
    <xf numFmtId="0" fontId="0" fillId="0" borderId="1" xfId="0" applyBorder="1" applyAlignment="1">
      <alignment horizontal="left" vertical="center"/>
    </xf>
    <xf numFmtId="0" fontId="0" fillId="0" borderId="9" xfId="0" applyBorder="1" applyAlignment="1">
      <alignment horizontal="left" vertical="center"/>
    </xf>
    <xf numFmtId="0" fontId="0" fillId="0" borderId="8" xfId="0" applyBorder="1" applyAlignment="1">
      <alignment horizontal="left"/>
    </xf>
    <xf numFmtId="0" fontId="0" fillId="0" borderId="1" xfId="0" applyBorder="1" applyAlignment="1">
      <alignment horizontal="left"/>
    </xf>
    <xf numFmtId="0" fontId="0" fillId="0" borderId="9" xfId="0" applyBorder="1" applyAlignment="1">
      <alignment horizontal="left"/>
    </xf>
    <xf numFmtId="0" fontId="0" fillId="0" borderId="33" xfId="0" applyFont="1" applyFill="1" applyBorder="1" applyAlignment="1">
      <alignment horizontal="left" vertical="center"/>
    </xf>
    <xf numFmtId="0" fontId="0" fillId="0" borderId="7" xfId="0" applyFont="1" applyFill="1" applyBorder="1" applyAlignment="1">
      <alignment horizontal="left" vertical="center"/>
    </xf>
    <xf numFmtId="0" fontId="0" fillId="0" borderId="34" xfId="0" applyFont="1" applyFill="1" applyBorder="1" applyAlignment="1">
      <alignment horizontal="left" vertical="center"/>
    </xf>
    <xf numFmtId="0" fontId="8" fillId="0" borderId="22"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24" xfId="0" applyFont="1" applyFill="1" applyBorder="1" applyAlignment="1">
      <alignment horizontal="center" vertical="center"/>
    </xf>
    <xf numFmtId="0" fontId="14" fillId="3" borderId="25" xfId="0" applyFont="1" applyFill="1" applyBorder="1" applyAlignment="1">
      <alignment horizontal="center" vertical="center"/>
    </xf>
    <xf numFmtId="0" fontId="14" fillId="3" borderId="26" xfId="0" applyFont="1" applyFill="1" applyBorder="1" applyAlignment="1">
      <alignment horizontal="center" vertical="center"/>
    </xf>
    <xf numFmtId="0" fontId="14" fillId="3" borderId="27" xfId="0" applyFont="1" applyFill="1" applyBorder="1" applyAlignment="1">
      <alignment horizontal="center" vertical="center"/>
    </xf>
    <xf numFmtId="0" fontId="14" fillId="3" borderId="28" xfId="0" applyFont="1" applyFill="1" applyBorder="1" applyAlignment="1">
      <alignment horizontal="center" vertical="center"/>
    </xf>
    <xf numFmtId="0" fontId="14" fillId="3" borderId="0" xfId="0" applyFont="1" applyFill="1" applyBorder="1" applyAlignment="1">
      <alignment horizontal="center" vertical="center"/>
    </xf>
    <xf numFmtId="0" fontId="14" fillId="3" borderId="29" xfId="0" applyFont="1" applyFill="1" applyBorder="1" applyAlignment="1">
      <alignment horizontal="center" vertical="center"/>
    </xf>
    <xf numFmtId="0" fontId="13" fillId="4" borderId="3" xfId="0" applyFont="1" applyFill="1" applyBorder="1" applyAlignment="1">
      <alignment horizontal="center" vertical="center" wrapText="1"/>
    </xf>
    <xf numFmtId="0" fontId="13" fillId="4" borderId="4" xfId="0" applyFont="1" applyFill="1" applyBorder="1" applyAlignment="1">
      <alignment horizontal="center" vertical="center" wrapText="1"/>
    </xf>
    <xf numFmtId="165" fontId="15" fillId="5" borderId="5" xfId="0" applyNumberFormat="1" applyFont="1" applyFill="1" applyBorder="1" applyAlignment="1">
      <alignment horizontal="center" vertical="center"/>
    </xf>
    <xf numFmtId="165" fontId="15" fillId="5" borderId="6" xfId="0" applyNumberFormat="1" applyFont="1" applyFill="1" applyBorder="1" applyAlignment="1">
      <alignment horizontal="center" vertical="center"/>
    </xf>
    <xf numFmtId="0" fontId="15" fillId="5" borderId="5" xfId="0" applyFont="1" applyFill="1" applyBorder="1" applyAlignment="1">
      <alignment horizontal="center" vertical="center" wrapText="1"/>
    </xf>
    <xf numFmtId="0" fontId="15" fillId="5" borderId="6" xfId="0" applyFont="1" applyFill="1" applyBorder="1" applyAlignment="1">
      <alignment horizontal="center" vertical="center" wrapText="1"/>
    </xf>
    <xf numFmtId="0" fontId="15" fillId="5" borderId="5" xfId="0" applyFont="1" applyFill="1" applyBorder="1" applyAlignment="1">
      <alignment horizontal="center" vertical="center"/>
    </xf>
    <xf numFmtId="0" fontId="15" fillId="5" borderId="6" xfId="0" applyFont="1" applyFill="1" applyBorder="1" applyAlignment="1">
      <alignment horizontal="center" vertical="center"/>
    </xf>
    <xf numFmtId="0" fontId="13" fillId="4" borderId="3" xfId="0" applyFont="1" applyFill="1" applyBorder="1" applyAlignment="1">
      <alignment horizontal="center" vertical="center"/>
    </xf>
    <xf numFmtId="0" fontId="13" fillId="4" borderId="4" xfId="0" applyFont="1" applyFill="1" applyBorder="1" applyAlignment="1">
      <alignment horizontal="center" vertical="center"/>
    </xf>
    <xf numFmtId="9" fontId="15" fillId="5" borderId="5" xfId="0" applyNumberFormat="1" applyFont="1" applyFill="1" applyBorder="1" applyAlignment="1">
      <alignment horizontal="center" vertical="center"/>
    </xf>
    <xf numFmtId="9" fontId="15" fillId="5" borderId="6" xfId="0" applyNumberFormat="1" applyFont="1" applyFill="1" applyBorder="1" applyAlignment="1">
      <alignment horizontal="center" vertical="center"/>
    </xf>
  </cellXfs>
  <cellStyles count="1">
    <cellStyle name="Normal" xfId="0" builtinId="0"/>
  </cellStyles>
  <dxfs count="97">
    <dxf>
      <numFmt numFmtId="2" formatCode="0.00"/>
    </dxf>
    <dxf>
      <numFmt numFmtId="2" formatCode="0.00"/>
    </dxf>
    <dxf>
      <numFmt numFmtId="19" formatCode="dd/mm/yyyy"/>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scheme val="minor"/>
      </font>
      <alignment horizontal="center" vertical="top"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Calibri"/>
        <scheme val="minor"/>
      </font>
      <numFmt numFmtId="13" formatCode="0%"/>
      <alignment horizontal="center" vertical="center"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1"/>
        <color theme="1"/>
        <name val="Calibri"/>
        <scheme val="minor"/>
      </font>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alignment horizontal="left" vertical="center" textRotation="0" wrapText="0" indent="0" justifyLastLine="0" shrinkToFit="0" readingOrder="0"/>
      <border diagonalUp="0" diagonalDown="0" outline="0">
        <left/>
        <right style="thin">
          <color auto="1"/>
        </right>
        <top style="thin">
          <color auto="1"/>
        </top>
        <bottom style="thin">
          <color auto="1"/>
        </bottom>
      </border>
    </dxf>
    <dxf>
      <border outline="0">
        <top style="thin">
          <color indexed="64"/>
        </top>
      </border>
    </dxf>
    <dxf>
      <border outline="0">
        <left style="thin">
          <color auto="1"/>
        </left>
        <right style="thin">
          <color auto="1"/>
        </right>
        <top style="thin">
          <color auto="1"/>
        </top>
        <bottom style="thin">
          <color auto="1"/>
        </bottom>
      </border>
    </dxf>
    <dxf>
      <border outline="0">
        <bottom style="thin">
          <color indexed="64"/>
        </bottom>
      </border>
    </dxf>
    <dxf>
      <font>
        <b val="0"/>
        <i val="0"/>
        <strike val="0"/>
        <condense val="0"/>
        <extend val="0"/>
        <outline val="0"/>
        <shadow val="0"/>
        <u val="none"/>
        <vertAlign val="baseline"/>
        <sz val="12"/>
        <color auto="1"/>
        <name val="Calibri"/>
        <scheme val="none"/>
      </font>
      <alignment horizontal="center" vertical="center" textRotation="0" wrapText="0" indent="0" justifyLastLine="0" shrinkToFit="0" readingOrder="0"/>
      <border diagonalUp="0" diagonalDown="0" outline="0">
        <left style="thin">
          <color auto="1"/>
        </left>
        <right style="thin">
          <color auto="1"/>
        </right>
        <top/>
        <bottom/>
      </border>
    </dxf>
    <dxf>
      <font>
        <color rgb="FF006100"/>
      </font>
      <fill>
        <patternFill>
          <fgColor indexed="64"/>
          <bgColor rgb="FFC6EFCE"/>
        </patternFill>
      </fill>
    </dxf>
    <dxf>
      <numFmt numFmtId="165" formatCode="[$$-409]#,##0.00"/>
      <alignment horizontal="center" vertical="bottom" textRotation="0" wrapText="0" indent="0" justifyLastLine="0" shrinkToFit="0" readingOrder="0"/>
      <border diagonalUp="0" diagonalDown="0">
        <left style="thin">
          <color auto="1"/>
        </left>
        <right/>
        <top style="thin">
          <color auto="1"/>
        </top>
        <bottom style="thin">
          <color auto="1"/>
        </bottom>
        <vertical/>
        <horizontal/>
      </border>
    </dxf>
    <dxf>
      <numFmt numFmtId="165" formatCode="[$$-409]#,##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409]#,##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409]#,##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409]#,##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bottom"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indexed="64"/>
        </top>
      </border>
    </dxf>
    <dxf>
      <border outline="0">
        <left style="medium">
          <color indexed="64"/>
        </left>
        <right style="medium">
          <color indexed="64"/>
        </right>
        <top style="medium">
          <color indexed="64"/>
        </top>
        <bottom style="medium">
          <color indexed="64"/>
        </bottom>
      </border>
    </dxf>
    <dxf>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1"/>
        <name val="Calibri"/>
        <scheme val="minor"/>
      </font>
      <alignment horizontal="center" vertical="center"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auto="1"/>
        <name val="Arial"/>
        <scheme val="none"/>
      </font>
      <numFmt numFmtId="165" formatCode="[$$-409]#,##0.00"/>
      <fill>
        <patternFill patternType="none">
          <fgColor indexed="64"/>
          <bgColor indexed="65"/>
        </patternFill>
      </fill>
      <alignment horizontal="center" vertical="center" textRotation="0" wrapText="0"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1"/>
        <color auto="1"/>
        <name val="Arial"/>
        <scheme val="none"/>
      </font>
      <numFmt numFmtId="165" formatCode="[$$-409]#,##0.00"/>
      <fill>
        <patternFill patternType="none">
          <fgColor indexed="64"/>
          <bgColor indexed="65"/>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auto="1"/>
        <name val="Arial"/>
        <scheme val="none"/>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dxf>
    <dxf>
      <border outline="0">
        <top style="thin">
          <color indexed="64"/>
        </top>
      </border>
    </dxf>
    <dxf>
      <border outline="0">
        <left style="medium">
          <color indexed="64"/>
        </left>
        <right style="medium">
          <color indexed="64"/>
        </right>
        <top style="medium">
          <color indexed="64"/>
        </top>
        <bottom style="medium">
          <color indexed="64"/>
        </bottom>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auto="1"/>
        </left>
        <right style="thin">
          <color auto="1"/>
        </right>
        <top/>
        <bottom/>
      </border>
    </dxf>
    <dxf>
      <alignment horizontal="center" vertical="center" textRotation="0" wrapText="0" indent="0" justifyLastLine="0" shrinkToFit="0" readingOrder="0"/>
      <border diagonalUp="0" diagonalDown="0" outline="0">
        <left style="thin">
          <color auto="1"/>
        </left>
        <right/>
        <top style="thin">
          <color auto="1"/>
        </top>
        <bottom style="thin">
          <color auto="1"/>
        </bottom>
      </border>
    </dxf>
    <dxf>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alignment horizontal="center" vertical="center" textRotation="0" wrapText="0" indent="0" justifyLastLine="0" shrinkToFit="0" readingOrder="0"/>
      <border diagonalUp="0" diagonalDown="0" outline="0">
        <left/>
        <right style="thin">
          <color auto="1"/>
        </right>
        <top style="thin">
          <color auto="1"/>
        </top>
        <bottom style="thin">
          <color auto="1"/>
        </bottom>
      </border>
    </dxf>
    <dxf>
      <border outline="0">
        <top style="thin">
          <color indexed="64"/>
        </top>
      </border>
    </dxf>
    <dxf>
      <border outline="0">
        <left style="medium">
          <color indexed="64"/>
        </left>
        <right style="medium">
          <color indexed="64"/>
        </right>
        <top style="medium">
          <color indexed="64"/>
        </top>
        <bottom style="medium">
          <color indexed="64"/>
        </bottom>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tint="4.9989318521683403E-2"/>
        <name val="Calibri"/>
        <scheme val="minor"/>
      </font>
      <fill>
        <patternFill patternType="solid">
          <fgColor indexed="64"/>
          <bgColor theme="8" tint="0.39997558519241921"/>
        </patternFill>
      </fill>
      <alignment horizontal="center" vertical="center" textRotation="0" wrapText="0" indent="0" justifyLastLine="0" shrinkToFit="0" readingOrder="0"/>
      <border diagonalUp="0" diagonalDown="0" outline="0">
        <left style="thin">
          <color auto="1"/>
        </left>
        <right style="thin">
          <color auto="1"/>
        </right>
        <top/>
        <bottom/>
      </border>
    </dxf>
    <dxf>
      <numFmt numFmtId="0" formatCode="General"/>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65" formatCode="[$$-409]#,##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2"/>
        <color theme="3" tint="-0.499984740745262"/>
        <name val="Calibri"/>
      </font>
      <alignment horizontal="center" textRotation="0" wrapText="0" indent="0" justifyLastLine="0" shrinkToFit="0" readingOrder="0"/>
    </dxf>
    <dxf>
      <fill>
        <patternFill>
          <bgColor theme="9"/>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2"/>
        <color theme="1"/>
        <name val="Calibri"/>
        <scheme val="minor"/>
      </font>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409]#,##0.00"/>
      <alignment horizontal="center" vertical="center" textRotation="0" wrapText="0" indent="0" justifyLastLine="0" shrinkToFit="0" readingOrder="0"/>
    </dxf>
    <dxf>
      <numFmt numFmtId="165" formatCode="[$$-409]#,##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5" formatCode="[$$-409]#,##0.0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mmm/yyyy"/>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auto="1"/>
        </top>
      </border>
    </dxf>
    <dxf>
      <alignment horizontal="center" vertical="center" textRotation="0" wrapText="0" indent="0" justifyLastLine="0" shrinkToFit="0" readingOrder="0"/>
    </dxf>
    <dxf>
      <border outline="0">
        <bottom style="thin">
          <color auto="1"/>
        </bottom>
      </border>
    </dxf>
    <dxf>
      <font>
        <b/>
        <i val="0"/>
        <strike val="0"/>
        <condense val="0"/>
        <extend val="0"/>
        <outline val="0"/>
        <shadow val="0"/>
        <u val="none"/>
        <vertAlign val="baseline"/>
        <sz val="12"/>
        <color auto="1"/>
        <name val="Calibri"/>
        <scheme val="none"/>
      </font>
      <alignment horizontal="center" vertical="center" textRotation="0" wrapText="0" indent="0" justifyLastLine="0" shrinkToFit="0" readingOrder="0"/>
      <border diagonalUp="0" diagonalDown="0" outline="0">
        <left style="thin">
          <color auto="1"/>
        </left>
        <right style="thin">
          <color auto="1"/>
        </right>
        <top/>
        <bottom/>
      </border>
    </dxf>
    <dxf>
      <font>
        <color rgb="FF9C0006"/>
      </font>
      <fill>
        <patternFill>
          <bgColor rgb="FFFFC7CE"/>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409]#,##0.00"/>
      <alignment horizontal="center" vertical="center" textRotation="0" wrapText="0" indent="0" justifyLastLine="0" shrinkToFit="0" readingOrder="0"/>
    </dxf>
    <dxf>
      <numFmt numFmtId="165" formatCode="[$$-409]#,##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165" formatCode="[$$-409]#,##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mmm/yyyy"/>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auto="1"/>
        </top>
      </border>
    </dxf>
    <dxf>
      <alignment horizontal="center" vertical="center" textRotation="0" wrapText="0" indent="0" justifyLastLine="0" shrinkToFit="0" readingOrder="0"/>
    </dxf>
    <dxf>
      <border outline="0">
        <bottom style="thin">
          <color auto="1"/>
        </bottom>
      </border>
    </dxf>
    <dxf>
      <font>
        <b/>
        <i val="0"/>
        <strike val="0"/>
        <condense val="0"/>
        <extend val="0"/>
        <outline val="0"/>
        <shadow val="0"/>
        <u val="none"/>
        <vertAlign val="baseline"/>
        <sz val="12"/>
        <color auto="1"/>
        <name val="Calibri"/>
        <scheme val="none"/>
      </font>
      <alignment horizontal="center" vertical="center" textRotation="0" wrapText="0" indent="0" justifyLastLine="0" shrinkToFit="0" readingOrder="0"/>
      <border diagonalUp="0" diagonalDown="0" outline="0">
        <left style="thin">
          <color auto="1"/>
        </left>
        <right style="thin">
          <color auto="1"/>
        </right>
        <top/>
        <bottom/>
      </border>
    </dxf>
    <dxf>
      <font>
        <color rgb="FF9C0006"/>
      </font>
      <fill>
        <patternFill>
          <bgColor rgb="FFFFC7CE"/>
        </patternFill>
      </fill>
    </dxf>
  </dxfs>
  <tableStyles count="0" defaultTableStyle="TableStyleMedium2" defaultPivotStyle="PivotStyleMedium9"/>
  <colors>
    <mruColors>
      <color rgb="FFA9C6E8"/>
      <color rgb="FFD6E4F7"/>
      <color rgb="FF1F3864"/>
      <color rgb="FF2E75B6"/>
      <color rgb="FFBDC3C7"/>
      <color rgb="FF5B9BD5"/>
      <color rgb="FF2C3E50"/>
      <color rgb="FFAED6F1"/>
      <color rgb="FFBDC9D9"/>
      <color rgb="FFFAFF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latin typeface="Segoe UI" panose="020B0502040204020203" pitchFamily="34" charset="0"/>
                <a:cs typeface="Segoe UI" panose="020B0502040204020203" pitchFamily="34" charset="0"/>
              </a:rPr>
              <a:t>Monthly</a:t>
            </a:r>
            <a:r>
              <a:rPr lang="en-IN" b="1" baseline="0">
                <a:latin typeface="Segoe UI" panose="020B0502040204020203" pitchFamily="34" charset="0"/>
                <a:cs typeface="Segoe UI" panose="020B0502040204020203" pitchFamily="34" charset="0"/>
              </a:rPr>
              <a:t> Sales &amp; Profit Trend</a:t>
            </a:r>
            <a:endParaRPr lang="en-IN" b="1">
              <a:latin typeface="Segoe UI" panose="020B0502040204020203" pitchFamily="34" charset="0"/>
              <a:cs typeface="Segoe UI" panose="020B0502040204020203" pitchFamily="34" charset="0"/>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'Comparative Charts'!$B$1</c:f>
              <c:strCache>
                <c:ptCount val="1"/>
                <c:pt idx="0">
                  <c:v>Total_Sales</c:v>
                </c:pt>
              </c:strCache>
            </c:strRef>
          </c:tx>
          <c:spPr>
            <a:ln w="28575" cap="rnd">
              <a:solidFill>
                <a:schemeClr val="accent1"/>
              </a:solidFill>
              <a:round/>
            </a:ln>
            <a:effectLst/>
          </c:spPr>
          <c:marker>
            <c:symbol val="none"/>
          </c:marker>
          <c:cat>
            <c:strRef>
              <c:f>'Comparative Charts'!$A$2:$A$18</c:f>
              <c:strCache>
                <c:ptCount val="17"/>
                <c:pt idx="0">
                  <c:v>2024-01</c:v>
                </c:pt>
                <c:pt idx="1">
                  <c:v>2024-02</c:v>
                </c:pt>
                <c:pt idx="2">
                  <c:v>2024-03</c:v>
                </c:pt>
                <c:pt idx="3">
                  <c:v>2024-04</c:v>
                </c:pt>
                <c:pt idx="4">
                  <c:v>2024-05</c:v>
                </c:pt>
                <c:pt idx="5">
                  <c:v>2024-06</c:v>
                </c:pt>
                <c:pt idx="6">
                  <c:v>2024-07</c:v>
                </c:pt>
                <c:pt idx="7">
                  <c:v>2024-08</c:v>
                </c:pt>
                <c:pt idx="8">
                  <c:v>2024-09</c:v>
                </c:pt>
                <c:pt idx="9">
                  <c:v>2024-10</c:v>
                </c:pt>
                <c:pt idx="10">
                  <c:v>2024-11</c:v>
                </c:pt>
                <c:pt idx="11">
                  <c:v>2024-12</c:v>
                </c:pt>
                <c:pt idx="12">
                  <c:v>2025-01</c:v>
                </c:pt>
                <c:pt idx="13">
                  <c:v>2025-02</c:v>
                </c:pt>
                <c:pt idx="14">
                  <c:v>2025-03</c:v>
                </c:pt>
                <c:pt idx="15">
                  <c:v>2025-04</c:v>
                </c:pt>
                <c:pt idx="16">
                  <c:v>2025-05</c:v>
                </c:pt>
              </c:strCache>
            </c:strRef>
          </c:cat>
          <c:val>
            <c:numRef>
              <c:f>'Comparative Charts'!$B$2:$B$18</c:f>
              <c:numCache>
                <c:formatCode>[$$-409]#,##0.00</c:formatCode>
                <c:ptCount val="17"/>
                <c:pt idx="0">
                  <c:v>23642.31</c:v>
                </c:pt>
                <c:pt idx="1">
                  <c:v>29912</c:v>
                </c:pt>
                <c:pt idx="2">
                  <c:v>27450.58</c:v>
                </c:pt>
                <c:pt idx="3">
                  <c:v>13108.03</c:v>
                </c:pt>
                <c:pt idx="4">
                  <c:v>25044.65</c:v>
                </c:pt>
                <c:pt idx="5">
                  <c:v>38692.6</c:v>
                </c:pt>
                <c:pt idx="6">
                  <c:v>30288.91</c:v>
                </c:pt>
                <c:pt idx="7">
                  <c:v>28579.07</c:v>
                </c:pt>
                <c:pt idx="8">
                  <c:v>31738.73</c:v>
                </c:pt>
                <c:pt idx="9">
                  <c:v>25371.88</c:v>
                </c:pt>
                <c:pt idx="10">
                  <c:v>31766.41</c:v>
                </c:pt>
                <c:pt idx="11">
                  <c:v>39119.29</c:v>
                </c:pt>
                <c:pt idx="12">
                  <c:v>23958.62</c:v>
                </c:pt>
                <c:pt idx="13">
                  <c:v>24475.24</c:v>
                </c:pt>
                <c:pt idx="14">
                  <c:v>32154.880000000001</c:v>
                </c:pt>
                <c:pt idx="15">
                  <c:v>36539.25</c:v>
                </c:pt>
                <c:pt idx="16">
                  <c:v>9732.4599999999991</c:v>
                </c:pt>
              </c:numCache>
            </c:numRef>
          </c:val>
          <c:smooth val="0"/>
        </c:ser>
        <c:ser>
          <c:idx val="1"/>
          <c:order val="1"/>
          <c:tx>
            <c:strRef>
              <c:f>'Comparative Charts'!$C$1</c:f>
              <c:strCache>
                <c:ptCount val="1"/>
                <c:pt idx="0">
                  <c:v>Profit</c:v>
                </c:pt>
              </c:strCache>
            </c:strRef>
          </c:tx>
          <c:spPr>
            <a:ln w="28575" cap="rnd">
              <a:solidFill>
                <a:schemeClr val="accent2"/>
              </a:solidFill>
              <a:round/>
            </a:ln>
            <a:effectLst/>
          </c:spPr>
          <c:marker>
            <c:symbol val="none"/>
          </c:marker>
          <c:cat>
            <c:strRef>
              <c:f>'Comparative Charts'!$A$2:$A$18</c:f>
              <c:strCache>
                <c:ptCount val="17"/>
                <c:pt idx="0">
                  <c:v>2024-01</c:v>
                </c:pt>
                <c:pt idx="1">
                  <c:v>2024-02</c:v>
                </c:pt>
                <c:pt idx="2">
                  <c:v>2024-03</c:v>
                </c:pt>
                <c:pt idx="3">
                  <c:v>2024-04</c:v>
                </c:pt>
                <c:pt idx="4">
                  <c:v>2024-05</c:v>
                </c:pt>
                <c:pt idx="5">
                  <c:v>2024-06</c:v>
                </c:pt>
                <c:pt idx="6">
                  <c:v>2024-07</c:v>
                </c:pt>
                <c:pt idx="7">
                  <c:v>2024-08</c:v>
                </c:pt>
                <c:pt idx="8">
                  <c:v>2024-09</c:v>
                </c:pt>
                <c:pt idx="9">
                  <c:v>2024-10</c:v>
                </c:pt>
                <c:pt idx="10">
                  <c:v>2024-11</c:v>
                </c:pt>
                <c:pt idx="11">
                  <c:v>2024-12</c:v>
                </c:pt>
                <c:pt idx="12">
                  <c:v>2025-01</c:v>
                </c:pt>
                <c:pt idx="13">
                  <c:v>2025-02</c:v>
                </c:pt>
                <c:pt idx="14">
                  <c:v>2025-03</c:v>
                </c:pt>
                <c:pt idx="15">
                  <c:v>2025-04</c:v>
                </c:pt>
                <c:pt idx="16">
                  <c:v>2025-05</c:v>
                </c:pt>
              </c:strCache>
            </c:strRef>
          </c:cat>
          <c:val>
            <c:numRef>
              <c:f>'Comparative Charts'!$C$2:$C$18</c:f>
              <c:numCache>
                <c:formatCode>[$$-409]#,##0.00</c:formatCode>
                <c:ptCount val="17"/>
                <c:pt idx="0">
                  <c:v>6054.28</c:v>
                </c:pt>
                <c:pt idx="1">
                  <c:v>9234.0300000000007</c:v>
                </c:pt>
                <c:pt idx="2">
                  <c:v>7448.97</c:v>
                </c:pt>
                <c:pt idx="3">
                  <c:v>4040.24</c:v>
                </c:pt>
                <c:pt idx="4">
                  <c:v>6249.32</c:v>
                </c:pt>
                <c:pt idx="5">
                  <c:v>11775.91</c:v>
                </c:pt>
                <c:pt idx="6">
                  <c:v>8441.19</c:v>
                </c:pt>
                <c:pt idx="7">
                  <c:v>7976.39</c:v>
                </c:pt>
                <c:pt idx="8">
                  <c:v>8387.18</c:v>
                </c:pt>
                <c:pt idx="9">
                  <c:v>7552.51</c:v>
                </c:pt>
                <c:pt idx="10">
                  <c:v>7763.13</c:v>
                </c:pt>
                <c:pt idx="11">
                  <c:v>10480.9</c:v>
                </c:pt>
                <c:pt idx="12">
                  <c:v>7054.74</c:v>
                </c:pt>
                <c:pt idx="13">
                  <c:v>6905.52</c:v>
                </c:pt>
                <c:pt idx="14">
                  <c:v>10348.18</c:v>
                </c:pt>
                <c:pt idx="15">
                  <c:v>10237.879999999999</c:v>
                </c:pt>
                <c:pt idx="16">
                  <c:v>2579.2199999999998</c:v>
                </c:pt>
              </c:numCache>
            </c:numRef>
          </c:val>
          <c:smooth val="0"/>
        </c:ser>
        <c:dLbls>
          <c:showLegendKey val="0"/>
          <c:showVal val="0"/>
          <c:showCatName val="0"/>
          <c:showSerName val="0"/>
          <c:showPercent val="0"/>
          <c:showBubbleSize val="0"/>
        </c:dLbls>
        <c:smooth val="0"/>
        <c:axId val="158776256"/>
        <c:axId val="257191448"/>
      </c:lineChart>
      <c:catAx>
        <c:axId val="1587762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100">
                    <a:latin typeface="Segoe UI" panose="020B0502040204020203" pitchFamily="34" charset="0"/>
                    <a:cs typeface="Segoe UI" panose="020B0502040204020203" pitchFamily="34" charset="0"/>
                  </a:rPr>
                  <a:t>Months</a:t>
                </a:r>
                <a:endParaRPr lang="en-IN">
                  <a:latin typeface="Segoe UI" panose="020B0502040204020203" pitchFamily="34" charset="0"/>
                  <a:cs typeface="Segoe UI" panose="020B0502040204020203" pitchFamily="34" charset="0"/>
                </a:endParaRPr>
              </a:p>
            </c:rich>
          </c:tx>
          <c:layout>
            <c:manualLayout>
              <c:xMode val="edge"/>
              <c:yMode val="edge"/>
              <c:x val="0.47810791666666669"/>
              <c:y val="0.818112222222222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191448"/>
        <c:crosses val="autoZero"/>
        <c:auto val="1"/>
        <c:lblAlgn val="ctr"/>
        <c:lblOffset val="100"/>
        <c:noMultiLvlLbl val="0"/>
      </c:catAx>
      <c:valAx>
        <c:axId val="257191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100">
                    <a:latin typeface="Segoe UI" panose="020B0502040204020203" pitchFamily="34" charset="0"/>
                    <a:cs typeface="Segoe UI" panose="020B0502040204020203" pitchFamily="34" charset="0"/>
                  </a:rPr>
                  <a:t>Amount in $</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7762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latin typeface="Segoe UI" panose="020B0502040204020203" pitchFamily="34" charset="0"/>
                <a:cs typeface="Segoe UI" panose="020B0502040204020203" pitchFamily="34" charset="0"/>
              </a:rPr>
              <a:t>Total</a:t>
            </a:r>
            <a:r>
              <a:rPr lang="en-IN" b="1" baseline="0">
                <a:latin typeface="Segoe UI" panose="020B0502040204020203" pitchFamily="34" charset="0"/>
                <a:cs typeface="Segoe UI" panose="020B0502040204020203" pitchFamily="34" charset="0"/>
              </a:rPr>
              <a:t> Sales By Region (Category Wise)</a:t>
            </a:r>
            <a:endParaRPr lang="en-IN" b="1">
              <a:latin typeface="Segoe UI" panose="020B0502040204020203" pitchFamily="34" charset="0"/>
              <a:cs typeface="Segoe UI" panose="020B0502040204020203" pitchFamily="34" charset="0"/>
            </a:endParaRP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'Comparative Charts'!$B$28</c:f>
              <c:strCache>
                <c:ptCount val="1"/>
                <c:pt idx="0">
                  <c:v>Accessories</c:v>
                </c:pt>
              </c:strCache>
            </c:strRef>
          </c:tx>
          <c:spPr>
            <a:solidFill>
              <a:schemeClr val="accent1"/>
            </a:solidFill>
            <a:ln>
              <a:noFill/>
            </a:ln>
            <a:effectLst/>
          </c:spPr>
          <c:invertIfNegative val="0"/>
          <c:cat>
            <c:strRef>
              <c:f>'Comparative Charts'!$A$29:$A$34</c:f>
              <c:strCache>
                <c:ptCount val="6"/>
                <c:pt idx="0">
                  <c:v>NA</c:v>
                </c:pt>
                <c:pt idx="1">
                  <c:v>EU</c:v>
                </c:pt>
                <c:pt idx="2">
                  <c:v>AS</c:v>
                </c:pt>
                <c:pt idx="3">
                  <c:v>AF</c:v>
                </c:pt>
                <c:pt idx="4">
                  <c:v>SA</c:v>
                </c:pt>
                <c:pt idx="5">
                  <c:v>OC</c:v>
                </c:pt>
              </c:strCache>
            </c:strRef>
          </c:cat>
          <c:val>
            <c:numRef>
              <c:f>'Comparative Charts'!$B$29:$B$34</c:f>
              <c:numCache>
                <c:formatCode>[$$-409]#,##0.00</c:formatCode>
                <c:ptCount val="6"/>
                <c:pt idx="0">
                  <c:v>24079.71</c:v>
                </c:pt>
                <c:pt idx="1">
                  <c:v>30642.080000000002</c:v>
                </c:pt>
                <c:pt idx="2">
                  <c:v>33225.639999999992</c:v>
                </c:pt>
                <c:pt idx="3">
                  <c:v>6956.41</c:v>
                </c:pt>
                <c:pt idx="4">
                  <c:v>8480.99</c:v>
                </c:pt>
                <c:pt idx="5">
                  <c:v>6810.06</c:v>
                </c:pt>
              </c:numCache>
            </c:numRef>
          </c:val>
        </c:ser>
        <c:ser>
          <c:idx val="1"/>
          <c:order val="1"/>
          <c:tx>
            <c:strRef>
              <c:f>'Comparative Charts'!$C$28</c:f>
              <c:strCache>
                <c:ptCount val="1"/>
                <c:pt idx="0">
                  <c:v>Apparel</c:v>
                </c:pt>
              </c:strCache>
            </c:strRef>
          </c:tx>
          <c:spPr>
            <a:solidFill>
              <a:schemeClr val="accent2"/>
            </a:solidFill>
            <a:ln>
              <a:noFill/>
            </a:ln>
            <a:effectLst/>
          </c:spPr>
          <c:invertIfNegative val="0"/>
          <c:cat>
            <c:strRef>
              <c:f>'Comparative Charts'!$A$29:$A$34</c:f>
              <c:strCache>
                <c:ptCount val="6"/>
                <c:pt idx="0">
                  <c:v>NA</c:v>
                </c:pt>
                <c:pt idx="1">
                  <c:v>EU</c:v>
                </c:pt>
                <c:pt idx="2">
                  <c:v>AS</c:v>
                </c:pt>
                <c:pt idx="3">
                  <c:v>AF</c:v>
                </c:pt>
                <c:pt idx="4">
                  <c:v>SA</c:v>
                </c:pt>
                <c:pt idx="5">
                  <c:v>OC</c:v>
                </c:pt>
              </c:strCache>
            </c:strRef>
          </c:cat>
          <c:val>
            <c:numRef>
              <c:f>'Comparative Charts'!$C$29:$C$34</c:f>
              <c:numCache>
                <c:formatCode>[$$-409]#,##0.00</c:formatCode>
                <c:ptCount val="6"/>
                <c:pt idx="0">
                  <c:v>9625.9699999999993</c:v>
                </c:pt>
                <c:pt idx="1">
                  <c:v>11433.35</c:v>
                </c:pt>
                <c:pt idx="2">
                  <c:v>30263.43</c:v>
                </c:pt>
                <c:pt idx="3">
                  <c:v>6721.25</c:v>
                </c:pt>
                <c:pt idx="4">
                  <c:v>2134.23</c:v>
                </c:pt>
                <c:pt idx="5">
                  <c:v>12174.14</c:v>
                </c:pt>
              </c:numCache>
            </c:numRef>
          </c:val>
        </c:ser>
        <c:ser>
          <c:idx val="2"/>
          <c:order val="2"/>
          <c:tx>
            <c:strRef>
              <c:f>'Comparative Charts'!$D$28</c:f>
              <c:strCache>
                <c:ptCount val="1"/>
                <c:pt idx="0">
                  <c:v>Electronics</c:v>
                </c:pt>
              </c:strCache>
            </c:strRef>
          </c:tx>
          <c:spPr>
            <a:solidFill>
              <a:schemeClr val="accent3"/>
            </a:solidFill>
            <a:ln>
              <a:noFill/>
            </a:ln>
            <a:effectLst/>
          </c:spPr>
          <c:invertIfNegative val="0"/>
          <c:cat>
            <c:strRef>
              <c:f>'Comparative Charts'!$A$29:$A$34</c:f>
              <c:strCache>
                <c:ptCount val="6"/>
                <c:pt idx="0">
                  <c:v>NA</c:v>
                </c:pt>
                <c:pt idx="1">
                  <c:v>EU</c:v>
                </c:pt>
                <c:pt idx="2">
                  <c:v>AS</c:v>
                </c:pt>
                <c:pt idx="3">
                  <c:v>AF</c:v>
                </c:pt>
                <c:pt idx="4">
                  <c:v>SA</c:v>
                </c:pt>
                <c:pt idx="5">
                  <c:v>OC</c:v>
                </c:pt>
              </c:strCache>
            </c:strRef>
          </c:cat>
          <c:val>
            <c:numRef>
              <c:f>'Comparative Charts'!$D$29:$D$34</c:f>
              <c:numCache>
                <c:formatCode>[$$-409]#,##0.00</c:formatCode>
                <c:ptCount val="6"/>
                <c:pt idx="0">
                  <c:v>22495.010000000002</c:v>
                </c:pt>
                <c:pt idx="1">
                  <c:v>25086.150000000005</c:v>
                </c:pt>
                <c:pt idx="2">
                  <c:v>34174.130000000005</c:v>
                </c:pt>
                <c:pt idx="3">
                  <c:v>7452.9400000000005</c:v>
                </c:pt>
                <c:pt idx="4">
                  <c:v>16927.670000000002</c:v>
                </c:pt>
                <c:pt idx="5">
                  <c:v>8892.01</c:v>
                </c:pt>
              </c:numCache>
            </c:numRef>
          </c:val>
        </c:ser>
        <c:ser>
          <c:idx val="3"/>
          <c:order val="3"/>
          <c:tx>
            <c:strRef>
              <c:f>'Comparative Charts'!$E$28</c:f>
              <c:strCache>
                <c:ptCount val="1"/>
                <c:pt idx="0">
                  <c:v>Home Decor</c:v>
                </c:pt>
              </c:strCache>
            </c:strRef>
          </c:tx>
          <c:spPr>
            <a:solidFill>
              <a:schemeClr val="accent4"/>
            </a:solidFill>
            <a:ln>
              <a:noFill/>
            </a:ln>
            <a:effectLst/>
          </c:spPr>
          <c:invertIfNegative val="0"/>
          <c:cat>
            <c:strRef>
              <c:f>'Comparative Charts'!$A$29:$A$34</c:f>
              <c:strCache>
                <c:ptCount val="6"/>
                <c:pt idx="0">
                  <c:v>NA</c:v>
                </c:pt>
                <c:pt idx="1">
                  <c:v>EU</c:v>
                </c:pt>
                <c:pt idx="2">
                  <c:v>AS</c:v>
                </c:pt>
                <c:pt idx="3">
                  <c:v>AF</c:v>
                </c:pt>
                <c:pt idx="4">
                  <c:v>SA</c:v>
                </c:pt>
                <c:pt idx="5">
                  <c:v>OC</c:v>
                </c:pt>
              </c:strCache>
            </c:strRef>
          </c:cat>
          <c:val>
            <c:numRef>
              <c:f>'Comparative Charts'!$E$29:$E$34</c:f>
              <c:numCache>
                <c:formatCode>[$$-409]#,##0.00</c:formatCode>
                <c:ptCount val="6"/>
                <c:pt idx="0">
                  <c:v>26924.320000000003</c:v>
                </c:pt>
                <c:pt idx="1">
                  <c:v>33685.94</c:v>
                </c:pt>
                <c:pt idx="2">
                  <c:v>51860.89</c:v>
                </c:pt>
                <c:pt idx="3">
                  <c:v>8364.44</c:v>
                </c:pt>
                <c:pt idx="4">
                  <c:v>2088.92</c:v>
                </c:pt>
                <c:pt idx="5">
                  <c:v>6972.93</c:v>
                </c:pt>
              </c:numCache>
            </c:numRef>
          </c:val>
        </c:ser>
        <c:ser>
          <c:idx val="4"/>
          <c:order val="4"/>
          <c:tx>
            <c:strRef>
              <c:f>'Comparative Charts'!$F$28</c:f>
              <c:strCache>
                <c:ptCount val="1"/>
                <c:pt idx="0">
                  <c:v>Textiles</c:v>
                </c:pt>
              </c:strCache>
            </c:strRef>
          </c:tx>
          <c:spPr>
            <a:solidFill>
              <a:schemeClr val="accent5"/>
            </a:solidFill>
            <a:ln>
              <a:noFill/>
            </a:ln>
            <a:effectLst/>
          </c:spPr>
          <c:invertIfNegative val="0"/>
          <c:cat>
            <c:strRef>
              <c:f>'Comparative Charts'!$A$29:$A$34</c:f>
              <c:strCache>
                <c:ptCount val="6"/>
                <c:pt idx="0">
                  <c:v>NA</c:v>
                </c:pt>
                <c:pt idx="1">
                  <c:v>EU</c:v>
                </c:pt>
                <c:pt idx="2">
                  <c:v>AS</c:v>
                </c:pt>
                <c:pt idx="3">
                  <c:v>AF</c:v>
                </c:pt>
                <c:pt idx="4">
                  <c:v>SA</c:v>
                </c:pt>
                <c:pt idx="5">
                  <c:v>OC</c:v>
                </c:pt>
              </c:strCache>
            </c:strRef>
          </c:cat>
          <c:val>
            <c:numRef>
              <c:f>'Comparative Charts'!$F$29:$F$34</c:f>
              <c:numCache>
                <c:formatCode>[$$-409]#,##0.00</c:formatCode>
                <c:ptCount val="6"/>
                <c:pt idx="0">
                  <c:v>3820.0600000000004</c:v>
                </c:pt>
                <c:pt idx="1">
                  <c:v>14367.099999999999</c:v>
                </c:pt>
                <c:pt idx="2">
                  <c:v>21644.309999999998</c:v>
                </c:pt>
                <c:pt idx="3">
                  <c:v>0</c:v>
                </c:pt>
                <c:pt idx="4">
                  <c:v>5232.22</c:v>
                </c:pt>
                <c:pt idx="5">
                  <c:v>2168.3200000000002</c:v>
                </c:pt>
              </c:numCache>
            </c:numRef>
          </c:val>
        </c:ser>
        <c:dLbls>
          <c:showLegendKey val="0"/>
          <c:showVal val="0"/>
          <c:showCatName val="0"/>
          <c:showSerName val="0"/>
          <c:showPercent val="0"/>
          <c:showBubbleSize val="0"/>
        </c:dLbls>
        <c:gapWidth val="219"/>
        <c:overlap val="-27"/>
        <c:axId val="299927768"/>
        <c:axId val="299928152"/>
      </c:barChart>
      <c:catAx>
        <c:axId val="2999277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100">
                    <a:latin typeface="Segoe UI" panose="020B0502040204020203" pitchFamily="34" charset="0"/>
                    <a:cs typeface="Segoe UI" panose="020B0502040204020203" pitchFamily="34" charset="0"/>
                  </a:rPr>
                  <a:t>Region</a:t>
                </a:r>
                <a:endParaRPr lang="en-IN">
                  <a:latin typeface="Segoe UI" panose="020B0502040204020203" pitchFamily="34" charset="0"/>
                  <a:cs typeface="Segoe UI" panose="020B0502040204020203" pitchFamily="34" charset="0"/>
                </a:endParaRP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928152"/>
        <c:crosses val="autoZero"/>
        <c:auto val="1"/>
        <c:lblAlgn val="ctr"/>
        <c:lblOffset val="100"/>
        <c:noMultiLvlLbl val="0"/>
      </c:catAx>
      <c:valAx>
        <c:axId val="299928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100">
                    <a:latin typeface="Segoe UI" panose="020B0502040204020203" pitchFamily="34" charset="0"/>
                    <a:cs typeface="Segoe UI" panose="020B0502040204020203" pitchFamily="34" charset="0"/>
                  </a:rPr>
                  <a:t>Amount in $</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927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sz="1400" b="1">
                <a:solidFill>
                  <a:srgbClr val="2C3E50"/>
                </a:solidFill>
                <a:latin typeface="Segoe UI" panose="020B0502040204020203" pitchFamily="34" charset="0"/>
                <a:cs typeface="Segoe UI" panose="020B0502040204020203" pitchFamily="34" charset="0"/>
              </a:rPr>
              <a:t>Region Wise Sales &amp; Profit</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tx>
            <c:strRef>
              <c:f>'Supporting Analysis'!$D$3</c:f>
              <c:strCache>
                <c:ptCount val="1"/>
                <c:pt idx="0">
                  <c:v>Total_Sales (Sum)</c:v>
                </c:pt>
              </c:strCache>
            </c:strRef>
          </c:tx>
          <c:spPr>
            <a:solidFill>
              <a:srgbClr val="1F3864"/>
            </a:solidFill>
            <a:ln>
              <a:noFill/>
            </a:ln>
            <a:effectLst>
              <a:outerShdw blurRad="40000" dist="23000" dir="5400000" rotWithShape="0">
                <a:srgbClr val="000000">
                  <a:alpha val="35000"/>
                </a:srgbClr>
              </a:outerShdw>
            </a:effectLst>
          </c:spPr>
          <c:invertIfNegative val="0"/>
          <c:cat>
            <c:strRef>
              <c:f>'Supporting Analysis'!$C$4:$C$9</c:f>
              <c:strCache>
                <c:ptCount val="6"/>
                <c:pt idx="0">
                  <c:v>NA</c:v>
                </c:pt>
                <c:pt idx="1">
                  <c:v>EU</c:v>
                </c:pt>
                <c:pt idx="2">
                  <c:v>AS</c:v>
                </c:pt>
                <c:pt idx="3">
                  <c:v>AF</c:v>
                </c:pt>
                <c:pt idx="4">
                  <c:v>SA</c:v>
                </c:pt>
                <c:pt idx="5">
                  <c:v>OC</c:v>
                </c:pt>
              </c:strCache>
            </c:strRef>
          </c:cat>
          <c:val>
            <c:numRef>
              <c:f>'Supporting Analysis'!$D$4:$D$9</c:f>
              <c:numCache>
                <c:formatCode>[$$-409]#,##0.00</c:formatCode>
                <c:ptCount val="6"/>
                <c:pt idx="0">
                  <c:v>86945.07</c:v>
                </c:pt>
                <c:pt idx="1">
                  <c:v>115214.62</c:v>
                </c:pt>
                <c:pt idx="2">
                  <c:v>171168.4</c:v>
                </c:pt>
                <c:pt idx="3">
                  <c:v>29495.040000000001</c:v>
                </c:pt>
                <c:pt idx="4">
                  <c:v>34864.03</c:v>
                </c:pt>
                <c:pt idx="5">
                  <c:v>37017.46</c:v>
                </c:pt>
              </c:numCache>
            </c:numRef>
          </c:val>
        </c:ser>
        <c:ser>
          <c:idx val="1"/>
          <c:order val="1"/>
          <c:tx>
            <c:strRef>
              <c:f>'Supporting Analysis'!$E$3</c:f>
              <c:strCache>
                <c:ptCount val="1"/>
                <c:pt idx="0">
                  <c:v>Total_Profit (Sum)</c:v>
                </c:pt>
              </c:strCache>
            </c:strRef>
          </c:tx>
          <c:spPr>
            <a:solidFill>
              <a:srgbClr val="A9C6E8"/>
            </a:solidFill>
            <a:ln>
              <a:noFill/>
            </a:ln>
            <a:effectLst>
              <a:outerShdw blurRad="40000" dist="23000" dir="5400000" rotWithShape="0">
                <a:srgbClr val="000000">
                  <a:alpha val="35000"/>
                </a:srgbClr>
              </a:outerShdw>
            </a:effectLst>
          </c:spPr>
          <c:invertIfNegative val="0"/>
          <c:cat>
            <c:strRef>
              <c:f>'Supporting Analysis'!$C$4:$C$9</c:f>
              <c:strCache>
                <c:ptCount val="6"/>
                <c:pt idx="0">
                  <c:v>NA</c:v>
                </c:pt>
                <c:pt idx="1">
                  <c:v>EU</c:v>
                </c:pt>
                <c:pt idx="2">
                  <c:v>AS</c:v>
                </c:pt>
                <c:pt idx="3">
                  <c:v>AF</c:v>
                </c:pt>
                <c:pt idx="4">
                  <c:v>SA</c:v>
                </c:pt>
                <c:pt idx="5">
                  <c:v>OC</c:v>
                </c:pt>
              </c:strCache>
            </c:strRef>
          </c:cat>
          <c:val>
            <c:numRef>
              <c:f>'Supporting Analysis'!$E$4:$E$9</c:f>
              <c:numCache>
                <c:formatCode>[$$-409]#,##0.00</c:formatCode>
                <c:ptCount val="6"/>
                <c:pt idx="0">
                  <c:v>24053.24</c:v>
                </c:pt>
                <c:pt idx="1">
                  <c:v>32134.75</c:v>
                </c:pt>
                <c:pt idx="2">
                  <c:v>47915.859999999993</c:v>
                </c:pt>
                <c:pt idx="3">
                  <c:v>8967.32</c:v>
                </c:pt>
                <c:pt idx="4">
                  <c:v>10336.530000000001</c:v>
                </c:pt>
                <c:pt idx="5">
                  <c:v>10162.700000000001</c:v>
                </c:pt>
              </c:numCache>
            </c:numRef>
          </c:val>
        </c:ser>
        <c:dLbls>
          <c:showLegendKey val="0"/>
          <c:showVal val="0"/>
          <c:showCatName val="0"/>
          <c:showSerName val="0"/>
          <c:showPercent val="0"/>
          <c:showBubbleSize val="0"/>
        </c:dLbls>
        <c:gapWidth val="100"/>
        <c:overlap val="-24"/>
        <c:axId val="299963400"/>
        <c:axId val="299532056"/>
      </c:barChart>
      <c:catAx>
        <c:axId val="299963400"/>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sz="1100" b="0">
                    <a:solidFill>
                      <a:srgbClr val="2C3E50"/>
                    </a:solidFill>
                    <a:latin typeface="Segoe UI" panose="020B0502040204020203" pitchFamily="34" charset="0"/>
                    <a:cs typeface="Segoe UI" panose="020B0502040204020203" pitchFamily="34" charset="0"/>
                  </a:rPr>
                  <a:t>Regions</a:t>
                </a:r>
                <a:endParaRPr lang="en-IN" sz="1050" b="0">
                  <a:solidFill>
                    <a:srgbClr val="2C3E50"/>
                  </a:solidFill>
                  <a:latin typeface="Segoe UI" panose="020B0502040204020203" pitchFamily="34" charset="0"/>
                  <a:cs typeface="Segoe UI" panose="020B0502040204020203" pitchFamily="34" charset="0"/>
                </a:endParaRPr>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99532056"/>
        <c:crosses val="autoZero"/>
        <c:auto val="1"/>
        <c:lblAlgn val="ctr"/>
        <c:lblOffset val="100"/>
        <c:noMultiLvlLbl val="0"/>
      </c:catAx>
      <c:valAx>
        <c:axId val="299532056"/>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sz="1100" b="0">
                    <a:solidFill>
                      <a:srgbClr val="2C3E50"/>
                    </a:solidFill>
                    <a:latin typeface="Segoe UI" panose="020B0502040204020203" pitchFamily="34" charset="0"/>
                    <a:cs typeface="Segoe UI" panose="020B0502040204020203" pitchFamily="34" charset="0"/>
                  </a:rPr>
                  <a:t>Amount in $</a:t>
                </a:r>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999634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rgbClr val="BDC3C7"/>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sz="1400">
                <a:solidFill>
                  <a:srgbClr val="2C3E50"/>
                </a:solidFill>
                <a:latin typeface="Segoe UI" panose="020B0502040204020203" pitchFamily="34" charset="0"/>
                <a:cs typeface="Segoe UI" panose="020B0502040204020203" pitchFamily="34" charset="0"/>
              </a:rPr>
              <a:t>Monthly Sales &amp; Profit Trend</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lineChart>
        <c:grouping val="standard"/>
        <c:varyColors val="0"/>
        <c:ser>
          <c:idx val="0"/>
          <c:order val="0"/>
          <c:tx>
            <c:strRef>
              <c:f>'Comparative Charts'!$B$1</c:f>
              <c:strCache>
                <c:ptCount val="1"/>
                <c:pt idx="0">
                  <c:v>Total_Sales</c:v>
                </c:pt>
              </c:strCache>
            </c:strRef>
          </c:tx>
          <c:spPr>
            <a:ln w="31750" cap="rnd">
              <a:solidFill>
                <a:srgbClr val="1F3864"/>
              </a:solidFill>
              <a:round/>
            </a:ln>
            <a:effectLst>
              <a:outerShdw blurRad="40000" dist="23000" dir="5400000" rotWithShape="0">
                <a:srgbClr val="000000">
                  <a:alpha val="35000"/>
                </a:srgbClr>
              </a:outerShdw>
            </a:effectLst>
          </c:spPr>
          <c:marker>
            <c:symbol val="none"/>
          </c:marker>
          <c:cat>
            <c:strRef>
              <c:f>'Comparative Charts'!$A$2:$A$18</c:f>
              <c:strCache>
                <c:ptCount val="17"/>
                <c:pt idx="0">
                  <c:v>2024-01</c:v>
                </c:pt>
                <c:pt idx="1">
                  <c:v>2024-02</c:v>
                </c:pt>
                <c:pt idx="2">
                  <c:v>2024-03</c:v>
                </c:pt>
                <c:pt idx="3">
                  <c:v>2024-04</c:v>
                </c:pt>
                <c:pt idx="4">
                  <c:v>2024-05</c:v>
                </c:pt>
                <c:pt idx="5">
                  <c:v>2024-06</c:v>
                </c:pt>
                <c:pt idx="6">
                  <c:v>2024-07</c:v>
                </c:pt>
                <c:pt idx="7">
                  <c:v>2024-08</c:v>
                </c:pt>
                <c:pt idx="8">
                  <c:v>2024-09</c:v>
                </c:pt>
                <c:pt idx="9">
                  <c:v>2024-10</c:v>
                </c:pt>
                <c:pt idx="10">
                  <c:v>2024-11</c:v>
                </c:pt>
                <c:pt idx="11">
                  <c:v>2024-12</c:v>
                </c:pt>
                <c:pt idx="12">
                  <c:v>2025-01</c:v>
                </c:pt>
                <c:pt idx="13">
                  <c:v>2025-02</c:v>
                </c:pt>
                <c:pt idx="14">
                  <c:v>2025-03</c:v>
                </c:pt>
                <c:pt idx="15">
                  <c:v>2025-04</c:v>
                </c:pt>
                <c:pt idx="16">
                  <c:v>2025-05</c:v>
                </c:pt>
              </c:strCache>
            </c:strRef>
          </c:cat>
          <c:val>
            <c:numRef>
              <c:f>'Comparative Charts'!$B$2:$B$18</c:f>
              <c:numCache>
                <c:formatCode>[$$-409]#,##0.00</c:formatCode>
                <c:ptCount val="17"/>
                <c:pt idx="0">
                  <c:v>23642.31</c:v>
                </c:pt>
                <c:pt idx="1">
                  <c:v>29912</c:v>
                </c:pt>
                <c:pt idx="2">
                  <c:v>27450.58</c:v>
                </c:pt>
                <c:pt idx="3">
                  <c:v>13108.03</c:v>
                </c:pt>
                <c:pt idx="4">
                  <c:v>25044.65</c:v>
                </c:pt>
                <c:pt idx="5">
                  <c:v>38692.6</c:v>
                </c:pt>
                <c:pt idx="6">
                  <c:v>30288.91</c:v>
                </c:pt>
                <c:pt idx="7">
                  <c:v>28579.07</c:v>
                </c:pt>
                <c:pt idx="8">
                  <c:v>31738.73</c:v>
                </c:pt>
                <c:pt idx="9">
                  <c:v>25371.88</c:v>
                </c:pt>
                <c:pt idx="10">
                  <c:v>31766.41</c:v>
                </c:pt>
                <c:pt idx="11">
                  <c:v>39119.29</c:v>
                </c:pt>
                <c:pt idx="12">
                  <c:v>23958.62</c:v>
                </c:pt>
                <c:pt idx="13">
                  <c:v>24475.24</c:v>
                </c:pt>
                <c:pt idx="14">
                  <c:v>32154.880000000001</c:v>
                </c:pt>
                <c:pt idx="15">
                  <c:v>36539.25</c:v>
                </c:pt>
                <c:pt idx="16">
                  <c:v>9732.4599999999991</c:v>
                </c:pt>
              </c:numCache>
            </c:numRef>
          </c:val>
          <c:smooth val="0"/>
        </c:ser>
        <c:ser>
          <c:idx val="1"/>
          <c:order val="1"/>
          <c:tx>
            <c:strRef>
              <c:f>'Comparative Charts'!$C$1</c:f>
              <c:strCache>
                <c:ptCount val="1"/>
                <c:pt idx="0">
                  <c:v>Profit</c:v>
                </c:pt>
              </c:strCache>
            </c:strRef>
          </c:tx>
          <c:spPr>
            <a:ln w="31750" cap="rnd">
              <a:solidFill>
                <a:srgbClr val="A9C6E8"/>
              </a:solidFill>
              <a:round/>
            </a:ln>
            <a:effectLst>
              <a:outerShdw blurRad="40000" dist="23000" dir="5400000" rotWithShape="0">
                <a:srgbClr val="000000">
                  <a:alpha val="35000"/>
                </a:srgbClr>
              </a:outerShdw>
            </a:effectLst>
          </c:spPr>
          <c:marker>
            <c:symbol val="none"/>
          </c:marker>
          <c:cat>
            <c:strRef>
              <c:f>'Comparative Charts'!$A$2:$A$18</c:f>
              <c:strCache>
                <c:ptCount val="17"/>
                <c:pt idx="0">
                  <c:v>2024-01</c:v>
                </c:pt>
                <c:pt idx="1">
                  <c:v>2024-02</c:v>
                </c:pt>
                <c:pt idx="2">
                  <c:v>2024-03</c:v>
                </c:pt>
                <c:pt idx="3">
                  <c:v>2024-04</c:v>
                </c:pt>
                <c:pt idx="4">
                  <c:v>2024-05</c:v>
                </c:pt>
                <c:pt idx="5">
                  <c:v>2024-06</c:v>
                </c:pt>
                <c:pt idx="6">
                  <c:v>2024-07</c:v>
                </c:pt>
                <c:pt idx="7">
                  <c:v>2024-08</c:v>
                </c:pt>
                <c:pt idx="8">
                  <c:v>2024-09</c:v>
                </c:pt>
                <c:pt idx="9">
                  <c:v>2024-10</c:v>
                </c:pt>
                <c:pt idx="10">
                  <c:v>2024-11</c:v>
                </c:pt>
                <c:pt idx="11">
                  <c:v>2024-12</c:v>
                </c:pt>
                <c:pt idx="12">
                  <c:v>2025-01</c:v>
                </c:pt>
                <c:pt idx="13">
                  <c:v>2025-02</c:v>
                </c:pt>
                <c:pt idx="14">
                  <c:v>2025-03</c:v>
                </c:pt>
                <c:pt idx="15">
                  <c:v>2025-04</c:v>
                </c:pt>
                <c:pt idx="16">
                  <c:v>2025-05</c:v>
                </c:pt>
              </c:strCache>
            </c:strRef>
          </c:cat>
          <c:val>
            <c:numRef>
              <c:f>'Comparative Charts'!$C$2:$C$18</c:f>
              <c:numCache>
                <c:formatCode>[$$-409]#,##0.00</c:formatCode>
                <c:ptCount val="17"/>
                <c:pt idx="0">
                  <c:v>6054.28</c:v>
                </c:pt>
                <c:pt idx="1">
                  <c:v>9234.0300000000007</c:v>
                </c:pt>
                <c:pt idx="2">
                  <c:v>7448.97</c:v>
                </c:pt>
                <c:pt idx="3">
                  <c:v>4040.24</c:v>
                </c:pt>
                <c:pt idx="4">
                  <c:v>6249.32</c:v>
                </c:pt>
                <c:pt idx="5">
                  <c:v>11775.91</c:v>
                </c:pt>
                <c:pt idx="6">
                  <c:v>8441.19</c:v>
                </c:pt>
                <c:pt idx="7">
                  <c:v>7976.39</c:v>
                </c:pt>
                <c:pt idx="8">
                  <c:v>8387.18</c:v>
                </c:pt>
                <c:pt idx="9">
                  <c:v>7552.51</c:v>
                </c:pt>
                <c:pt idx="10">
                  <c:v>7763.13</c:v>
                </c:pt>
                <c:pt idx="11">
                  <c:v>10480.9</c:v>
                </c:pt>
                <c:pt idx="12">
                  <c:v>7054.74</c:v>
                </c:pt>
                <c:pt idx="13">
                  <c:v>6905.52</c:v>
                </c:pt>
                <c:pt idx="14">
                  <c:v>10348.18</c:v>
                </c:pt>
                <c:pt idx="15">
                  <c:v>10237.879999999999</c:v>
                </c:pt>
                <c:pt idx="16">
                  <c:v>2579.2199999999998</c:v>
                </c:pt>
              </c:numCache>
            </c:numRef>
          </c:val>
          <c:smooth val="0"/>
        </c:ser>
        <c:dLbls>
          <c:showLegendKey val="0"/>
          <c:showVal val="0"/>
          <c:showCatName val="0"/>
          <c:showSerName val="0"/>
          <c:showPercent val="0"/>
          <c:showBubbleSize val="0"/>
        </c:dLbls>
        <c:smooth val="0"/>
        <c:axId val="299532440"/>
        <c:axId val="300594120"/>
      </c:lineChart>
      <c:catAx>
        <c:axId val="29953244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r>
                  <a:rPr lang="en-IN" sz="1100" b="0">
                    <a:solidFill>
                      <a:srgbClr val="2C3E50"/>
                    </a:solidFill>
                    <a:latin typeface="Segoe UI" panose="020B0502040204020203" pitchFamily="34" charset="0"/>
                    <a:cs typeface="Segoe UI" panose="020B0502040204020203" pitchFamily="34" charset="0"/>
                  </a:rPr>
                  <a:t>Months</a:t>
                </a:r>
                <a:endParaRPr lang="en-IN" b="0">
                  <a:solidFill>
                    <a:srgbClr val="2C3E50"/>
                  </a:solidFill>
                  <a:latin typeface="Segoe UI" panose="020B0502040204020203" pitchFamily="34" charset="0"/>
                  <a:cs typeface="Segoe UI" panose="020B0502040204020203" pitchFamily="34" charset="0"/>
                </a:endParaRPr>
              </a:p>
            </c:rich>
          </c:tx>
          <c:layout>
            <c:manualLayout>
              <c:xMode val="edge"/>
              <c:yMode val="edge"/>
              <c:x val="0.4744265305385012"/>
              <c:y val="0.85107921933598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00594120"/>
        <c:crosses val="autoZero"/>
        <c:auto val="1"/>
        <c:lblAlgn val="ctr"/>
        <c:lblOffset val="100"/>
        <c:noMultiLvlLbl val="0"/>
      </c:catAx>
      <c:valAx>
        <c:axId val="30059412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2"/>
                    </a:solidFill>
                    <a:latin typeface="+mn-lt"/>
                    <a:ea typeface="+mn-ea"/>
                    <a:cs typeface="+mn-cs"/>
                  </a:defRPr>
                </a:pPr>
                <a:r>
                  <a:rPr lang="en-IN" sz="1100" b="0">
                    <a:solidFill>
                      <a:srgbClr val="2C3E50"/>
                    </a:solidFill>
                    <a:latin typeface="Segoe UI" panose="020B0502040204020203" pitchFamily="34" charset="0"/>
                    <a:cs typeface="Segoe UI" panose="020B0502040204020203" pitchFamily="34" charset="0"/>
                  </a:rPr>
                  <a:t>Amount in $</a:t>
                </a:r>
              </a:p>
            </c:rich>
          </c:tx>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itle>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995324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rgbClr val="BDC3C7"/>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sz="1400">
                <a:solidFill>
                  <a:srgbClr val="2C3E50"/>
                </a:solidFill>
                <a:latin typeface="Segoe UI" panose="020B0502040204020203" pitchFamily="34" charset="0"/>
                <a:cs typeface="Segoe UI" panose="020B0502040204020203" pitchFamily="34" charset="0"/>
              </a:rPr>
              <a:t>Sales By Category</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0.37682925692135022"/>
          <c:y val="0.21573529500423935"/>
          <c:w val="0.38761573208801731"/>
          <c:h val="0.64932364774765738"/>
        </c:manualLayout>
      </c:layout>
      <c:pieChart>
        <c:varyColors val="1"/>
        <c:ser>
          <c:idx val="0"/>
          <c:order val="0"/>
          <c:dPt>
            <c:idx val="0"/>
            <c:bubble3D val="0"/>
            <c:spPr>
              <a:solidFill>
                <a:srgbClr val="1F3864"/>
              </a:solidFill>
              <a:ln>
                <a:noFill/>
              </a:ln>
              <a:effectLst>
                <a:outerShdw blurRad="40000" dist="23000" dir="5400000" rotWithShape="0">
                  <a:srgbClr val="000000">
                    <a:alpha val="35000"/>
                  </a:srgbClr>
                </a:outerShdw>
              </a:effectLst>
            </c:spPr>
          </c:dPt>
          <c:dPt>
            <c:idx val="1"/>
            <c:bubble3D val="0"/>
            <c:spPr>
              <a:solidFill>
                <a:srgbClr val="2E75B6"/>
              </a:solidFill>
              <a:ln>
                <a:noFill/>
              </a:ln>
              <a:effectLst>
                <a:outerShdw blurRad="40000" dist="23000" dir="5400000" rotWithShape="0">
                  <a:srgbClr val="000000">
                    <a:alpha val="35000"/>
                  </a:srgbClr>
                </a:outerShdw>
              </a:effectLst>
            </c:spPr>
          </c:dPt>
          <c:dPt>
            <c:idx val="2"/>
            <c:bubble3D val="0"/>
            <c:spPr>
              <a:solidFill>
                <a:srgbClr val="5B9BD5"/>
              </a:solidFill>
              <a:ln>
                <a:noFill/>
              </a:ln>
              <a:effectLst>
                <a:outerShdw blurRad="40000" dist="23000" dir="5400000" rotWithShape="0">
                  <a:srgbClr val="000000">
                    <a:alpha val="35000"/>
                  </a:srgbClr>
                </a:outerShdw>
              </a:effectLst>
            </c:spPr>
          </c:dPt>
          <c:dPt>
            <c:idx val="3"/>
            <c:bubble3D val="0"/>
            <c:spPr>
              <a:solidFill>
                <a:srgbClr val="A9C6E8"/>
              </a:solidFill>
              <a:ln>
                <a:noFill/>
              </a:ln>
              <a:effectLst>
                <a:outerShdw blurRad="40000" dist="23000" dir="5400000" rotWithShape="0">
                  <a:srgbClr val="000000">
                    <a:alpha val="35000"/>
                  </a:srgbClr>
                </a:outerShdw>
              </a:effectLst>
            </c:spPr>
          </c:dPt>
          <c:dPt>
            <c:idx val="4"/>
            <c:bubble3D val="0"/>
            <c:spPr>
              <a:solidFill>
                <a:srgbClr val="D6E4F7"/>
              </a:solidFill>
              <a:ln>
                <a:noFill/>
              </a:ln>
              <a:effectLst>
                <a:outerShdw blurRad="40000" dist="23000" dir="5400000" rotWithShape="0">
                  <a:srgbClr val="000000">
                    <a:alpha val="35000"/>
                  </a:srgbClr>
                </a:outerShdw>
              </a:effectLst>
            </c:spPr>
          </c:dPt>
          <c:dLbls>
            <c:dLbl>
              <c:idx val="0"/>
              <c:layout>
                <c:manualLayout>
                  <c:x val="1.5200395620236713E-2"/>
                  <c:y val="-2.0748758472558148E-2"/>
                </c:manualLayout>
              </c:layout>
              <c:dLblPos val="bestFit"/>
              <c:showLegendKey val="1"/>
              <c:showVal val="0"/>
              <c:showCatName val="1"/>
              <c:showSerName val="0"/>
              <c:showPercent val="1"/>
              <c:showBubbleSize val="0"/>
              <c:separator>
</c:separator>
              <c:extLst>
                <c:ext xmlns:c15="http://schemas.microsoft.com/office/drawing/2012/chart" uri="{CE6537A1-D6FC-4f65-9D91-7224C49458BB}">
                  <c15:layout/>
                </c:ext>
              </c:extLst>
            </c:dLbl>
            <c:dLbl>
              <c:idx val="1"/>
              <c:layout>
                <c:manualLayout>
                  <c:x val="3.1877405949256345E-2"/>
                  <c:y val="-6.3912948381452325E-2"/>
                </c:manualLayout>
              </c:layout>
              <c:dLblPos val="bestFit"/>
              <c:showLegendKey val="1"/>
              <c:showVal val="0"/>
              <c:showCatName val="1"/>
              <c:showSerName val="0"/>
              <c:showPercent val="1"/>
              <c:showBubbleSize val="0"/>
              <c:separator>
</c:separator>
              <c:extLst>
                <c:ext xmlns:c15="http://schemas.microsoft.com/office/drawing/2012/chart" uri="{CE6537A1-D6FC-4f65-9D91-7224C49458BB}">
                  <c15:layout/>
                </c:ext>
              </c:extLst>
            </c:dLbl>
            <c:dLbl>
              <c:idx val="2"/>
              <c:layout>
                <c:manualLayout>
                  <c:x val="3.2277631703144793E-2"/>
                  <c:y val="2.049586569280033E-2"/>
                </c:manualLayout>
              </c:layout>
              <c:dLblPos val="bestFit"/>
              <c:showLegendKey val="1"/>
              <c:showVal val="0"/>
              <c:showCatName val="1"/>
              <c:showSerName val="0"/>
              <c:showPercent val="1"/>
              <c:showBubbleSize val="0"/>
              <c:separator>
</c:separator>
              <c:extLst>
                <c:ext xmlns:c15="http://schemas.microsoft.com/office/drawing/2012/chart" uri="{CE6537A1-D6FC-4f65-9D91-7224C49458BB}">
                  <c15:layout/>
                </c:ext>
              </c:extLst>
            </c:dLbl>
            <c:dLbl>
              <c:idx val="3"/>
              <c:layout>
                <c:manualLayout>
                  <c:x val="-4.1370648099692896E-2"/>
                  <c:y val="0.15553142197573439"/>
                </c:manualLayout>
              </c:layout>
              <c:dLblPos val="bestFit"/>
              <c:showLegendKey val="1"/>
              <c:showVal val="0"/>
              <c:showCatName val="1"/>
              <c:showSerName val="0"/>
              <c:showPercent val="1"/>
              <c:showBubbleSize val="0"/>
              <c:separator>
</c:separator>
              <c:extLst>
                <c:ext xmlns:c15="http://schemas.microsoft.com/office/drawing/2012/chart" uri="{CE6537A1-D6FC-4f65-9D91-7224C49458BB}">
                  <c15:layout/>
                </c:ext>
              </c:extLst>
            </c:dLbl>
            <c:dLbl>
              <c:idx val="4"/>
              <c:layout>
                <c:manualLayout>
                  <c:x val="-1.1704528742585596E-2"/>
                  <c:y val="-3.2149545618220643E-2"/>
                </c:manualLayout>
              </c:layout>
              <c:dLblPos val="bestFit"/>
              <c:showLegendKey val="1"/>
              <c:showVal val="0"/>
              <c:showCatName val="1"/>
              <c:showSerName val="0"/>
              <c:showPercent val="1"/>
              <c:showBubbleSize val="0"/>
              <c:separator>
</c:separator>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1"/>
            <c:showVal val="0"/>
            <c:showCatName val="1"/>
            <c:showSerName val="0"/>
            <c:showPercent val="1"/>
            <c:showBubbleSize val="0"/>
            <c:separator>
</c:separator>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'Supporting Analysis'!$I$31:$I$35</c:f>
              <c:strCache>
                <c:ptCount val="5"/>
                <c:pt idx="0">
                  <c:v>Accessories</c:v>
                </c:pt>
                <c:pt idx="1">
                  <c:v>Apparel</c:v>
                </c:pt>
                <c:pt idx="2">
                  <c:v>Electronics</c:v>
                </c:pt>
                <c:pt idx="3">
                  <c:v>Home Decor</c:v>
                </c:pt>
                <c:pt idx="4">
                  <c:v>Textiles</c:v>
                </c:pt>
              </c:strCache>
            </c:strRef>
          </c:cat>
          <c:val>
            <c:numRef>
              <c:f>'Supporting Analysis'!$J$31:$J$35</c:f>
              <c:numCache>
                <c:formatCode>[$$-409]#,##0.00</c:formatCode>
                <c:ptCount val="5"/>
                <c:pt idx="0">
                  <c:v>110194.89</c:v>
                </c:pt>
                <c:pt idx="1">
                  <c:v>72352.37</c:v>
                </c:pt>
                <c:pt idx="2">
                  <c:v>115027.91</c:v>
                </c:pt>
                <c:pt idx="3">
                  <c:v>129897.44</c:v>
                </c:pt>
                <c:pt idx="4">
                  <c:v>47232.01</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layout>
        <c:manualLayout>
          <c:xMode val="edge"/>
          <c:yMode val="edge"/>
          <c:x val="3.7352941176470589E-2"/>
          <c:y val="8.3645502645502648E-2"/>
          <c:w val="0.20055784313725492"/>
          <c:h val="0.451473544973545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rgbClr val="BDC3C7"/>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400">
                <a:solidFill>
                  <a:srgbClr val="2C3E50"/>
                </a:solidFill>
                <a:latin typeface="Segoe UI" panose="020B0502040204020203" pitchFamily="34" charset="0"/>
                <a:cs typeface="Segoe UI" panose="020B0502040204020203" pitchFamily="34" charset="0"/>
              </a:rPr>
              <a:t>Top 5</a:t>
            </a:r>
            <a:r>
              <a:rPr lang="en-US" sz="1400" baseline="0">
                <a:solidFill>
                  <a:srgbClr val="2C3E50"/>
                </a:solidFill>
                <a:latin typeface="Segoe UI" panose="020B0502040204020203" pitchFamily="34" charset="0"/>
                <a:cs typeface="Segoe UI" panose="020B0502040204020203" pitchFamily="34" charset="0"/>
              </a:rPr>
              <a:t> </a:t>
            </a:r>
            <a:r>
              <a:rPr lang="en-US" sz="1400">
                <a:solidFill>
                  <a:srgbClr val="2C3E50"/>
                </a:solidFill>
                <a:latin typeface="Segoe UI" panose="020B0502040204020203" pitchFamily="34" charset="0"/>
                <a:cs typeface="Segoe UI" panose="020B0502040204020203" pitchFamily="34" charset="0"/>
              </a:rPr>
              <a:t>Products By Sales</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bar"/>
        <c:grouping val="clustered"/>
        <c:varyColors val="0"/>
        <c:ser>
          <c:idx val="0"/>
          <c:order val="0"/>
          <c:tx>
            <c:strRef>
              <c:f>'Supporting Analysis'!$D$48</c:f>
              <c:strCache>
                <c:ptCount val="1"/>
                <c:pt idx="0">
                  <c:v>Sales</c:v>
                </c:pt>
              </c:strCache>
            </c:strRef>
          </c:tx>
          <c:spPr>
            <a:solidFill>
              <a:srgbClr val="2E75B6"/>
            </a:solidFill>
            <a:ln>
              <a:noFill/>
            </a:ln>
            <a:effectLst>
              <a:outerShdw blurRad="40000" dist="23000" dir="5400000" rotWithShape="0">
                <a:srgbClr val="000000">
                  <a:alpha val="35000"/>
                </a:srgbClr>
              </a:outerShdw>
            </a:effectLst>
          </c:spPr>
          <c:invertIfNegative val="0"/>
          <c:cat>
            <c:strRef>
              <c:f>'Supporting Analysis'!$C$49:$C$53</c:f>
              <c:strCache>
                <c:ptCount val="5"/>
                <c:pt idx="0">
                  <c:v>Denim Jacket</c:v>
                </c:pt>
                <c:pt idx="1">
                  <c:v>Travel Backpack</c:v>
                </c:pt>
                <c:pt idx="2">
                  <c:v>Table Lamp</c:v>
                </c:pt>
                <c:pt idx="3">
                  <c:v>Cotton Bedsheet</c:v>
                </c:pt>
                <c:pt idx="4">
                  <c:v>Bluetooth Speaker</c:v>
                </c:pt>
              </c:strCache>
            </c:strRef>
          </c:cat>
          <c:val>
            <c:numRef>
              <c:f>'Supporting Analysis'!$D$49:$D$53</c:f>
              <c:numCache>
                <c:formatCode>[$$-409]#,##0.00</c:formatCode>
                <c:ptCount val="5"/>
                <c:pt idx="0">
                  <c:v>72352.37000000001</c:v>
                </c:pt>
                <c:pt idx="1">
                  <c:v>70597.12000000001</c:v>
                </c:pt>
                <c:pt idx="2">
                  <c:v>52792.43</c:v>
                </c:pt>
                <c:pt idx="3">
                  <c:v>47232.010000000009</c:v>
                </c:pt>
                <c:pt idx="4">
                  <c:v>44578.25</c:v>
                </c:pt>
              </c:numCache>
            </c:numRef>
          </c:val>
        </c:ser>
        <c:dLbls>
          <c:showLegendKey val="0"/>
          <c:showVal val="0"/>
          <c:showCatName val="0"/>
          <c:showSerName val="0"/>
          <c:showPercent val="0"/>
          <c:showBubbleSize val="0"/>
        </c:dLbls>
        <c:gapWidth val="100"/>
        <c:axId val="300747224"/>
        <c:axId val="300742520"/>
      </c:barChart>
      <c:catAx>
        <c:axId val="300747224"/>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2"/>
                    </a:solidFill>
                    <a:latin typeface="+mn-lt"/>
                    <a:ea typeface="+mn-ea"/>
                    <a:cs typeface="+mn-cs"/>
                  </a:defRPr>
                </a:pPr>
                <a:r>
                  <a:rPr lang="en-IN" sz="1100" b="0">
                    <a:solidFill>
                      <a:srgbClr val="2C3E50"/>
                    </a:solidFill>
                    <a:latin typeface="Segoe UI" panose="020B0502040204020203" pitchFamily="34" charset="0"/>
                    <a:cs typeface="Segoe UI" panose="020B0502040204020203" pitchFamily="34" charset="0"/>
                  </a:rPr>
                  <a:t>Products</a:t>
                </a:r>
              </a:p>
            </c:rich>
          </c:tx>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00742520"/>
        <c:crosses val="autoZero"/>
        <c:auto val="1"/>
        <c:lblAlgn val="ctr"/>
        <c:lblOffset val="100"/>
        <c:noMultiLvlLbl val="0"/>
      </c:catAx>
      <c:valAx>
        <c:axId val="300742520"/>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r>
                  <a:rPr lang="en-IN" sz="1100" b="0">
                    <a:solidFill>
                      <a:srgbClr val="2C3E50"/>
                    </a:solidFill>
                    <a:latin typeface="Segoe UI" panose="020B0502040204020203" pitchFamily="34" charset="0"/>
                    <a:cs typeface="Segoe UI" panose="020B0502040204020203" pitchFamily="34" charset="0"/>
                  </a:rPr>
                  <a:t>Amount in $</a:t>
                </a:r>
              </a:p>
            </c:rich>
          </c:tx>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itle>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00747224"/>
        <c:crosses val="autoZero"/>
        <c:crossBetween val="between"/>
      </c:valAx>
      <c:spPr>
        <a:noFill/>
        <a:ln>
          <a:noFill/>
        </a:ln>
        <a:effectLst/>
      </c:spPr>
    </c:plotArea>
    <c:plotVisOnly val="1"/>
    <c:dispBlanksAs val="gap"/>
    <c:showDLblsOverMax val="0"/>
  </c:chart>
  <c:spPr>
    <a:solidFill>
      <a:schemeClr val="bg1"/>
    </a:solidFill>
    <a:ln w="12700" cap="flat" cmpd="sng" algn="ctr">
      <a:solidFill>
        <a:srgbClr val="BDC3C7"/>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400">
                <a:solidFill>
                  <a:srgbClr val="2C3E50"/>
                </a:solidFill>
                <a:latin typeface="Segoe UI" panose="020B0502040204020203" pitchFamily="34" charset="0"/>
                <a:cs typeface="Segoe UI" panose="020B0502040204020203" pitchFamily="34" charset="0"/>
              </a:rPr>
              <a:t>Average Profit Margin By Region</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stacked"/>
        <c:varyColors val="0"/>
        <c:ser>
          <c:idx val="0"/>
          <c:order val="0"/>
          <c:tx>
            <c:strRef>
              <c:f>'Supporting Analysis'!$P$64</c:f>
              <c:strCache>
                <c:ptCount val="1"/>
                <c:pt idx="0">
                  <c:v>Average Profit Margin</c:v>
                </c:pt>
              </c:strCache>
            </c:strRef>
          </c:tx>
          <c:spPr>
            <a:solidFill>
              <a:srgbClr val="2E75B6"/>
            </a:solidFill>
            <a:ln>
              <a:noFill/>
            </a:ln>
            <a:effectLst>
              <a:outerShdw blurRad="40000" dist="23000" dir="5400000" rotWithShape="0">
                <a:srgbClr val="000000">
                  <a:alpha val="35000"/>
                </a:srgbClr>
              </a:outerShdw>
            </a:effectLst>
          </c:spPr>
          <c:invertIfNegative val="0"/>
          <c:cat>
            <c:strRef>
              <c:f>'Supporting Analysis'!$O$65:$O$70</c:f>
              <c:strCache>
                <c:ptCount val="6"/>
                <c:pt idx="0">
                  <c:v>NA</c:v>
                </c:pt>
                <c:pt idx="1">
                  <c:v>EU</c:v>
                </c:pt>
                <c:pt idx="2">
                  <c:v>AS</c:v>
                </c:pt>
                <c:pt idx="3">
                  <c:v>AF</c:v>
                </c:pt>
                <c:pt idx="4">
                  <c:v>SA</c:v>
                </c:pt>
                <c:pt idx="5">
                  <c:v>OC</c:v>
                </c:pt>
              </c:strCache>
            </c:strRef>
          </c:cat>
          <c:val>
            <c:numRef>
              <c:f>'Supporting Analysis'!$P$65:$P$70</c:f>
              <c:numCache>
                <c:formatCode>0.00%</c:formatCode>
                <c:ptCount val="6"/>
                <c:pt idx="0">
                  <c:v>0.26854646749217259</c:v>
                </c:pt>
                <c:pt idx="1">
                  <c:v>0.27512997100174685</c:v>
                </c:pt>
                <c:pt idx="2">
                  <c:v>0.27023591536060088</c:v>
                </c:pt>
                <c:pt idx="3">
                  <c:v>0.29066277278231434</c:v>
                </c:pt>
                <c:pt idx="4">
                  <c:v>0.27734290368891584</c:v>
                </c:pt>
                <c:pt idx="5">
                  <c:v>0.2635977089513406</c:v>
                </c:pt>
              </c:numCache>
            </c:numRef>
          </c:val>
        </c:ser>
        <c:dLbls>
          <c:showLegendKey val="0"/>
          <c:showVal val="0"/>
          <c:showCatName val="0"/>
          <c:showSerName val="0"/>
          <c:showPercent val="0"/>
          <c:showBubbleSize val="0"/>
        </c:dLbls>
        <c:gapWidth val="150"/>
        <c:overlap val="100"/>
        <c:axId val="300740952"/>
        <c:axId val="300744872"/>
      </c:barChart>
      <c:catAx>
        <c:axId val="30074095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r>
                  <a:rPr lang="en-IN" sz="1100" b="0">
                    <a:solidFill>
                      <a:srgbClr val="2C3E50"/>
                    </a:solidFill>
                    <a:latin typeface="Segoe UI" panose="020B0502040204020203" pitchFamily="34" charset="0"/>
                    <a:cs typeface="Segoe UI" panose="020B0502040204020203" pitchFamily="34" charset="0"/>
                  </a:rPr>
                  <a:t>Regions</a:t>
                </a:r>
              </a:p>
            </c:rich>
          </c:tx>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00744872"/>
        <c:crosses val="autoZero"/>
        <c:auto val="1"/>
        <c:lblAlgn val="ctr"/>
        <c:lblOffset val="100"/>
        <c:noMultiLvlLbl val="0"/>
      </c:catAx>
      <c:valAx>
        <c:axId val="3007448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2"/>
                    </a:solidFill>
                    <a:latin typeface="+mn-lt"/>
                    <a:ea typeface="+mn-ea"/>
                    <a:cs typeface="+mn-cs"/>
                  </a:defRPr>
                </a:pPr>
                <a:r>
                  <a:rPr lang="en-IN" sz="1100" b="0">
                    <a:solidFill>
                      <a:srgbClr val="2C3E50"/>
                    </a:solidFill>
                    <a:latin typeface="Segoe UI" panose="020B0502040204020203" pitchFamily="34" charset="0"/>
                    <a:cs typeface="Segoe UI" panose="020B0502040204020203" pitchFamily="34" charset="0"/>
                  </a:rPr>
                  <a:t>Percentage</a:t>
                </a:r>
              </a:p>
            </c:rich>
          </c:tx>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00740952"/>
        <c:crosses val="autoZero"/>
        <c:crossBetween val="between"/>
      </c:valAx>
      <c:spPr>
        <a:noFill/>
        <a:ln>
          <a:noFill/>
        </a:ln>
        <a:effectLst/>
      </c:spPr>
    </c:plotArea>
    <c:plotVisOnly val="1"/>
    <c:dispBlanksAs val="gap"/>
    <c:showDLblsOverMax val="0"/>
  </c:chart>
  <c:spPr>
    <a:solidFill>
      <a:schemeClr val="bg1"/>
    </a:solidFill>
    <a:ln w="12700" cap="flat" cmpd="sng" algn="ctr">
      <a:solidFill>
        <a:srgbClr val="BDC3C7"/>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400">
                <a:solidFill>
                  <a:srgbClr val="2C3E50"/>
                </a:solidFill>
                <a:latin typeface="Segoe UI" panose="020B0502040204020203" pitchFamily="34" charset="0"/>
                <a:cs typeface="Segoe UI" panose="020B0502040204020203" pitchFamily="34" charset="0"/>
              </a:rPr>
              <a:t>Shipping Cost Vs Profit</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tx>
            <c:strRef>
              <c:f>'Formulas &amp; Business Metrics'!$K$1</c:f>
              <c:strCache>
                <c:ptCount val="1"/>
                <c:pt idx="0">
                  <c:v>Profit</c:v>
                </c:pt>
              </c:strCache>
            </c:strRef>
          </c:tx>
          <c:spPr>
            <a:ln w="25400" cap="rnd">
              <a:noFill/>
              <a:round/>
            </a:ln>
            <a:effectLst>
              <a:outerShdw blurRad="40000" dist="23000" dir="5400000" rotWithShape="0">
                <a:srgbClr val="000000">
                  <a:alpha val="35000"/>
                </a:srgbClr>
              </a:outerShdw>
            </a:effectLst>
          </c:spPr>
          <c:marker>
            <c:symbol val="circle"/>
            <c:size val="5"/>
            <c:spPr>
              <a:solidFill>
                <a:srgbClr val="2E75B6"/>
              </a:solidFill>
              <a:ln w="9525">
                <a:solidFill>
                  <a:schemeClr val="accent1"/>
                </a:solidFill>
                <a:round/>
              </a:ln>
              <a:effectLst>
                <a:outerShdw blurRad="40000" dist="23000" dir="5400000" rotWithShape="0">
                  <a:srgbClr val="000000">
                    <a:alpha val="35000"/>
                  </a:srgbClr>
                </a:outerShdw>
              </a:effectLst>
            </c:spPr>
          </c:marker>
          <c:trendline>
            <c:spPr>
              <a:ln w="9525" cap="rnd">
                <a:solidFill>
                  <a:schemeClr val="accent1"/>
                </a:solidFill>
              </a:ln>
              <a:effectLst/>
            </c:spPr>
            <c:trendlineType val="linear"/>
            <c:dispRSqr val="0"/>
            <c:dispEq val="0"/>
          </c:trendline>
          <c:trendline>
            <c:spPr>
              <a:ln w="9525" cap="rnd">
                <a:solidFill>
                  <a:srgbClr val="C00000"/>
                </a:solidFill>
              </a:ln>
              <a:effectLst/>
            </c:spPr>
            <c:trendlineType val="linear"/>
            <c:dispRSqr val="0"/>
            <c:dispEq val="0"/>
          </c:trendline>
          <c:xVal>
            <c:numRef>
              <c:f>'Formulas &amp; Business Metrics'!$J$2:$J$501</c:f>
              <c:numCache>
                <c:formatCode>[$$-409]#,##0.00</c:formatCode>
                <c:ptCount val="500"/>
                <c:pt idx="0">
                  <c:v>49.36</c:v>
                </c:pt>
                <c:pt idx="1">
                  <c:v>59.59</c:v>
                </c:pt>
                <c:pt idx="2">
                  <c:v>73.95</c:v>
                </c:pt>
                <c:pt idx="3">
                  <c:v>11.39</c:v>
                </c:pt>
                <c:pt idx="4">
                  <c:v>65.94</c:v>
                </c:pt>
                <c:pt idx="5">
                  <c:v>15.36</c:v>
                </c:pt>
                <c:pt idx="6">
                  <c:v>6.98</c:v>
                </c:pt>
                <c:pt idx="7">
                  <c:v>13.03</c:v>
                </c:pt>
                <c:pt idx="8">
                  <c:v>61.3</c:v>
                </c:pt>
                <c:pt idx="9">
                  <c:v>28.89</c:v>
                </c:pt>
                <c:pt idx="10">
                  <c:v>55.15</c:v>
                </c:pt>
                <c:pt idx="11">
                  <c:v>140.29</c:v>
                </c:pt>
                <c:pt idx="12">
                  <c:v>140.4</c:v>
                </c:pt>
                <c:pt idx="13">
                  <c:v>30.04</c:v>
                </c:pt>
                <c:pt idx="14">
                  <c:v>29.87</c:v>
                </c:pt>
                <c:pt idx="15">
                  <c:v>49.68</c:v>
                </c:pt>
                <c:pt idx="16">
                  <c:v>102.31</c:v>
                </c:pt>
                <c:pt idx="17">
                  <c:v>14.45</c:v>
                </c:pt>
                <c:pt idx="18">
                  <c:v>31.39</c:v>
                </c:pt>
                <c:pt idx="19">
                  <c:v>73.400000000000006</c:v>
                </c:pt>
                <c:pt idx="20">
                  <c:v>17.18</c:v>
                </c:pt>
                <c:pt idx="21">
                  <c:v>5.26</c:v>
                </c:pt>
                <c:pt idx="22">
                  <c:v>49.07</c:v>
                </c:pt>
                <c:pt idx="23">
                  <c:v>74.650000000000006</c:v>
                </c:pt>
                <c:pt idx="24">
                  <c:v>56.47</c:v>
                </c:pt>
                <c:pt idx="25">
                  <c:v>11.12</c:v>
                </c:pt>
                <c:pt idx="26">
                  <c:v>63.72</c:v>
                </c:pt>
                <c:pt idx="27">
                  <c:v>8.08</c:v>
                </c:pt>
                <c:pt idx="28">
                  <c:v>150.83000000000001</c:v>
                </c:pt>
                <c:pt idx="29">
                  <c:v>2.81</c:v>
                </c:pt>
                <c:pt idx="30">
                  <c:v>4.04</c:v>
                </c:pt>
                <c:pt idx="31">
                  <c:v>20.54</c:v>
                </c:pt>
                <c:pt idx="32">
                  <c:v>57.2</c:v>
                </c:pt>
                <c:pt idx="33">
                  <c:v>81.150000000000006</c:v>
                </c:pt>
                <c:pt idx="34">
                  <c:v>6.59</c:v>
                </c:pt>
                <c:pt idx="35">
                  <c:v>17.89</c:v>
                </c:pt>
                <c:pt idx="36">
                  <c:v>21.4</c:v>
                </c:pt>
                <c:pt idx="37">
                  <c:v>8.66</c:v>
                </c:pt>
                <c:pt idx="38">
                  <c:v>69.319999999999993</c:v>
                </c:pt>
                <c:pt idx="39">
                  <c:v>58.22</c:v>
                </c:pt>
                <c:pt idx="40">
                  <c:v>33.26</c:v>
                </c:pt>
                <c:pt idx="41">
                  <c:v>60.07</c:v>
                </c:pt>
                <c:pt idx="42">
                  <c:v>21.23</c:v>
                </c:pt>
                <c:pt idx="43">
                  <c:v>166.81</c:v>
                </c:pt>
                <c:pt idx="44">
                  <c:v>13.39</c:v>
                </c:pt>
                <c:pt idx="45">
                  <c:v>83.55</c:v>
                </c:pt>
                <c:pt idx="46">
                  <c:v>22.74</c:v>
                </c:pt>
                <c:pt idx="47">
                  <c:v>12</c:v>
                </c:pt>
                <c:pt idx="48">
                  <c:v>81.099999999999994</c:v>
                </c:pt>
                <c:pt idx="49">
                  <c:v>13.86</c:v>
                </c:pt>
                <c:pt idx="50">
                  <c:v>71.22</c:v>
                </c:pt>
                <c:pt idx="51">
                  <c:v>80.12</c:v>
                </c:pt>
                <c:pt idx="52">
                  <c:v>144.32</c:v>
                </c:pt>
                <c:pt idx="53">
                  <c:v>49.93</c:v>
                </c:pt>
                <c:pt idx="54">
                  <c:v>11.84</c:v>
                </c:pt>
                <c:pt idx="55">
                  <c:v>35.65</c:v>
                </c:pt>
                <c:pt idx="56">
                  <c:v>50.12</c:v>
                </c:pt>
                <c:pt idx="57">
                  <c:v>68.44</c:v>
                </c:pt>
                <c:pt idx="58">
                  <c:v>54.49</c:v>
                </c:pt>
                <c:pt idx="59">
                  <c:v>61</c:v>
                </c:pt>
                <c:pt idx="60">
                  <c:v>166.91</c:v>
                </c:pt>
                <c:pt idx="61">
                  <c:v>56.29</c:v>
                </c:pt>
                <c:pt idx="62">
                  <c:v>132.74</c:v>
                </c:pt>
                <c:pt idx="63">
                  <c:v>69.33</c:v>
                </c:pt>
                <c:pt idx="64">
                  <c:v>2.52</c:v>
                </c:pt>
                <c:pt idx="65">
                  <c:v>43.01</c:v>
                </c:pt>
                <c:pt idx="66">
                  <c:v>115.04</c:v>
                </c:pt>
                <c:pt idx="67">
                  <c:v>16.89</c:v>
                </c:pt>
                <c:pt idx="68">
                  <c:v>20.22</c:v>
                </c:pt>
                <c:pt idx="69">
                  <c:v>36.76</c:v>
                </c:pt>
                <c:pt idx="70">
                  <c:v>111.7</c:v>
                </c:pt>
                <c:pt idx="71">
                  <c:v>50.82</c:v>
                </c:pt>
                <c:pt idx="72">
                  <c:v>25.56</c:v>
                </c:pt>
                <c:pt idx="73">
                  <c:v>40.130000000000003</c:v>
                </c:pt>
                <c:pt idx="74">
                  <c:v>65.98</c:v>
                </c:pt>
                <c:pt idx="75">
                  <c:v>56.45</c:v>
                </c:pt>
                <c:pt idx="76">
                  <c:v>44.56</c:v>
                </c:pt>
                <c:pt idx="77">
                  <c:v>96.77</c:v>
                </c:pt>
                <c:pt idx="78">
                  <c:v>43.55</c:v>
                </c:pt>
                <c:pt idx="79">
                  <c:v>81.599999999999994</c:v>
                </c:pt>
                <c:pt idx="80">
                  <c:v>37.590000000000003</c:v>
                </c:pt>
                <c:pt idx="81">
                  <c:v>32.4</c:v>
                </c:pt>
                <c:pt idx="82">
                  <c:v>32.79</c:v>
                </c:pt>
                <c:pt idx="83">
                  <c:v>43.87</c:v>
                </c:pt>
                <c:pt idx="84">
                  <c:v>48.55</c:v>
                </c:pt>
                <c:pt idx="85">
                  <c:v>68.55</c:v>
                </c:pt>
                <c:pt idx="86">
                  <c:v>45.6</c:v>
                </c:pt>
                <c:pt idx="87">
                  <c:v>80.55</c:v>
                </c:pt>
                <c:pt idx="88">
                  <c:v>13.53</c:v>
                </c:pt>
                <c:pt idx="89">
                  <c:v>7.75</c:v>
                </c:pt>
                <c:pt idx="90">
                  <c:v>38.729999999999997</c:v>
                </c:pt>
                <c:pt idx="91">
                  <c:v>85.73</c:v>
                </c:pt>
                <c:pt idx="92">
                  <c:v>5.6</c:v>
                </c:pt>
                <c:pt idx="93">
                  <c:v>26.51</c:v>
                </c:pt>
                <c:pt idx="94">
                  <c:v>61.06</c:v>
                </c:pt>
                <c:pt idx="95">
                  <c:v>93.95</c:v>
                </c:pt>
                <c:pt idx="96">
                  <c:v>112.91</c:v>
                </c:pt>
                <c:pt idx="97">
                  <c:v>1.26</c:v>
                </c:pt>
                <c:pt idx="98">
                  <c:v>47.88</c:v>
                </c:pt>
                <c:pt idx="99">
                  <c:v>61.97</c:v>
                </c:pt>
                <c:pt idx="100">
                  <c:v>13.21</c:v>
                </c:pt>
                <c:pt idx="101">
                  <c:v>46.25</c:v>
                </c:pt>
                <c:pt idx="102">
                  <c:v>15.68</c:v>
                </c:pt>
                <c:pt idx="103">
                  <c:v>24.66</c:v>
                </c:pt>
                <c:pt idx="104">
                  <c:v>51.15</c:v>
                </c:pt>
                <c:pt idx="105">
                  <c:v>7.56</c:v>
                </c:pt>
                <c:pt idx="106">
                  <c:v>19.7</c:v>
                </c:pt>
                <c:pt idx="107">
                  <c:v>69.3</c:v>
                </c:pt>
                <c:pt idx="108">
                  <c:v>8.84</c:v>
                </c:pt>
                <c:pt idx="109">
                  <c:v>15.87</c:v>
                </c:pt>
                <c:pt idx="110">
                  <c:v>88.54</c:v>
                </c:pt>
                <c:pt idx="111">
                  <c:v>13.22</c:v>
                </c:pt>
                <c:pt idx="112">
                  <c:v>61.72</c:v>
                </c:pt>
                <c:pt idx="113">
                  <c:v>7.15</c:v>
                </c:pt>
                <c:pt idx="114">
                  <c:v>32.799999999999997</c:v>
                </c:pt>
                <c:pt idx="115">
                  <c:v>31.41</c:v>
                </c:pt>
                <c:pt idx="116">
                  <c:v>33.049999999999997</c:v>
                </c:pt>
                <c:pt idx="117">
                  <c:v>6.95</c:v>
                </c:pt>
                <c:pt idx="118">
                  <c:v>92.09</c:v>
                </c:pt>
                <c:pt idx="119">
                  <c:v>15.49</c:v>
                </c:pt>
                <c:pt idx="120">
                  <c:v>3.78</c:v>
                </c:pt>
                <c:pt idx="121">
                  <c:v>31.92</c:v>
                </c:pt>
                <c:pt idx="122">
                  <c:v>48.08</c:v>
                </c:pt>
                <c:pt idx="123">
                  <c:v>60.43</c:v>
                </c:pt>
                <c:pt idx="124">
                  <c:v>4.04</c:v>
                </c:pt>
                <c:pt idx="125">
                  <c:v>74.260000000000005</c:v>
                </c:pt>
                <c:pt idx="126">
                  <c:v>94.34</c:v>
                </c:pt>
                <c:pt idx="127">
                  <c:v>37.369999999999997</c:v>
                </c:pt>
                <c:pt idx="128">
                  <c:v>67.08</c:v>
                </c:pt>
                <c:pt idx="129">
                  <c:v>50.96</c:v>
                </c:pt>
                <c:pt idx="130">
                  <c:v>75.84</c:v>
                </c:pt>
                <c:pt idx="131">
                  <c:v>62.93</c:v>
                </c:pt>
                <c:pt idx="132">
                  <c:v>54.06</c:v>
                </c:pt>
                <c:pt idx="133">
                  <c:v>37.01</c:v>
                </c:pt>
                <c:pt idx="134">
                  <c:v>150.34</c:v>
                </c:pt>
                <c:pt idx="135">
                  <c:v>0.63</c:v>
                </c:pt>
                <c:pt idx="136">
                  <c:v>95.61</c:v>
                </c:pt>
                <c:pt idx="137">
                  <c:v>27.02</c:v>
                </c:pt>
                <c:pt idx="138">
                  <c:v>10.23</c:v>
                </c:pt>
                <c:pt idx="139">
                  <c:v>33.15</c:v>
                </c:pt>
                <c:pt idx="140">
                  <c:v>106.4</c:v>
                </c:pt>
                <c:pt idx="141">
                  <c:v>54.86</c:v>
                </c:pt>
                <c:pt idx="142">
                  <c:v>6.97</c:v>
                </c:pt>
                <c:pt idx="143">
                  <c:v>22.68</c:v>
                </c:pt>
                <c:pt idx="144">
                  <c:v>7.82</c:v>
                </c:pt>
                <c:pt idx="145">
                  <c:v>28.6</c:v>
                </c:pt>
                <c:pt idx="146">
                  <c:v>15.95</c:v>
                </c:pt>
                <c:pt idx="147">
                  <c:v>166.22</c:v>
                </c:pt>
                <c:pt idx="148">
                  <c:v>116.75</c:v>
                </c:pt>
                <c:pt idx="149">
                  <c:v>18.78</c:v>
                </c:pt>
                <c:pt idx="150">
                  <c:v>109.24</c:v>
                </c:pt>
                <c:pt idx="151">
                  <c:v>110.1</c:v>
                </c:pt>
                <c:pt idx="152">
                  <c:v>15.55</c:v>
                </c:pt>
                <c:pt idx="153">
                  <c:v>29.93</c:v>
                </c:pt>
                <c:pt idx="154">
                  <c:v>72.150000000000006</c:v>
                </c:pt>
                <c:pt idx="155">
                  <c:v>63.94</c:v>
                </c:pt>
                <c:pt idx="156">
                  <c:v>21.62</c:v>
                </c:pt>
                <c:pt idx="157">
                  <c:v>26.99</c:v>
                </c:pt>
                <c:pt idx="158">
                  <c:v>34.28</c:v>
                </c:pt>
                <c:pt idx="159">
                  <c:v>104.7</c:v>
                </c:pt>
                <c:pt idx="160">
                  <c:v>10.210000000000001</c:v>
                </c:pt>
                <c:pt idx="161">
                  <c:v>16.59</c:v>
                </c:pt>
                <c:pt idx="162">
                  <c:v>77.17</c:v>
                </c:pt>
                <c:pt idx="163">
                  <c:v>26.73</c:v>
                </c:pt>
                <c:pt idx="164">
                  <c:v>3.35</c:v>
                </c:pt>
                <c:pt idx="165">
                  <c:v>10.23</c:v>
                </c:pt>
                <c:pt idx="166">
                  <c:v>38.42</c:v>
                </c:pt>
                <c:pt idx="167">
                  <c:v>13.21</c:v>
                </c:pt>
                <c:pt idx="168">
                  <c:v>68.599999999999994</c:v>
                </c:pt>
                <c:pt idx="169">
                  <c:v>2.61</c:v>
                </c:pt>
                <c:pt idx="170">
                  <c:v>14.4</c:v>
                </c:pt>
                <c:pt idx="171">
                  <c:v>0.65</c:v>
                </c:pt>
                <c:pt idx="172">
                  <c:v>51.06</c:v>
                </c:pt>
                <c:pt idx="173">
                  <c:v>43.92</c:v>
                </c:pt>
                <c:pt idx="174">
                  <c:v>63.85</c:v>
                </c:pt>
                <c:pt idx="175">
                  <c:v>28.4</c:v>
                </c:pt>
                <c:pt idx="176">
                  <c:v>35.340000000000003</c:v>
                </c:pt>
                <c:pt idx="177">
                  <c:v>22.03</c:v>
                </c:pt>
                <c:pt idx="178">
                  <c:v>33.51</c:v>
                </c:pt>
                <c:pt idx="179">
                  <c:v>15.18</c:v>
                </c:pt>
                <c:pt idx="180">
                  <c:v>32.340000000000003</c:v>
                </c:pt>
                <c:pt idx="181">
                  <c:v>128.4</c:v>
                </c:pt>
                <c:pt idx="182">
                  <c:v>54.68</c:v>
                </c:pt>
                <c:pt idx="183">
                  <c:v>4.66</c:v>
                </c:pt>
                <c:pt idx="184">
                  <c:v>74.569999999999993</c:v>
                </c:pt>
                <c:pt idx="185">
                  <c:v>3.73</c:v>
                </c:pt>
                <c:pt idx="186">
                  <c:v>80.150000000000006</c:v>
                </c:pt>
                <c:pt idx="187">
                  <c:v>18.47</c:v>
                </c:pt>
                <c:pt idx="188">
                  <c:v>103.06</c:v>
                </c:pt>
                <c:pt idx="189">
                  <c:v>80.13</c:v>
                </c:pt>
                <c:pt idx="190">
                  <c:v>25.8</c:v>
                </c:pt>
                <c:pt idx="191">
                  <c:v>47.88</c:v>
                </c:pt>
                <c:pt idx="192">
                  <c:v>60.06</c:v>
                </c:pt>
                <c:pt idx="193">
                  <c:v>40</c:v>
                </c:pt>
                <c:pt idx="194">
                  <c:v>2.34</c:v>
                </c:pt>
                <c:pt idx="195">
                  <c:v>89.85</c:v>
                </c:pt>
                <c:pt idx="196">
                  <c:v>160.11000000000001</c:v>
                </c:pt>
                <c:pt idx="197">
                  <c:v>102.52</c:v>
                </c:pt>
                <c:pt idx="198">
                  <c:v>17.29</c:v>
                </c:pt>
                <c:pt idx="199">
                  <c:v>18.260000000000002</c:v>
                </c:pt>
                <c:pt idx="200">
                  <c:v>89.26</c:v>
                </c:pt>
                <c:pt idx="201">
                  <c:v>6.3</c:v>
                </c:pt>
                <c:pt idx="202">
                  <c:v>40.090000000000003</c:v>
                </c:pt>
                <c:pt idx="203">
                  <c:v>93.92</c:v>
                </c:pt>
                <c:pt idx="204">
                  <c:v>35.81</c:v>
                </c:pt>
                <c:pt idx="205">
                  <c:v>15.95</c:v>
                </c:pt>
                <c:pt idx="206">
                  <c:v>26.93</c:v>
                </c:pt>
                <c:pt idx="207">
                  <c:v>9.17</c:v>
                </c:pt>
                <c:pt idx="208">
                  <c:v>10.3</c:v>
                </c:pt>
                <c:pt idx="209">
                  <c:v>30.6</c:v>
                </c:pt>
                <c:pt idx="210">
                  <c:v>31.88</c:v>
                </c:pt>
                <c:pt idx="211">
                  <c:v>77.05</c:v>
                </c:pt>
                <c:pt idx="212">
                  <c:v>1.45</c:v>
                </c:pt>
                <c:pt idx="213">
                  <c:v>148.41</c:v>
                </c:pt>
                <c:pt idx="214">
                  <c:v>13.36</c:v>
                </c:pt>
                <c:pt idx="215">
                  <c:v>19.52</c:v>
                </c:pt>
                <c:pt idx="216">
                  <c:v>62.4</c:v>
                </c:pt>
                <c:pt idx="217">
                  <c:v>50.38</c:v>
                </c:pt>
                <c:pt idx="218">
                  <c:v>29.02</c:v>
                </c:pt>
                <c:pt idx="219">
                  <c:v>21.34</c:v>
                </c:pt>
                <c:pt idx="220">
                  <c:v>89.65</c:v>
                </c:pt>
                <c:pt idx="221">
                  <c:v>38.32</c:v>
                </c:pt>
                <c:pt idx="222">
                  <c:v>27.16</c:v>
                </c:pt>
                <c:pt idx="223">
                  <c:v>92.92</c:v>
                </c:pt>
                <c:pt idx="224">
                  <c:v>66.8</c:v>
                </c:pt>
                <c:pt idx="225">
                  <c:v>50.02</c:v>
                </c:pt>
                <c:pt idx="226">
                  <c:v>124.47</c:v>
                </c:pt>
                <c:pt idx="227">
                  <c:v>18.739999999999998</c:v>
                </c:pt>
                <c:pt idx="228">
                  <c:v>19.11</c:v>
                </c:pt>
                <c:pt idx="229">
                  <c:v>4.46</c:v>
                </c:pt>
                <c:pt idx="230">
                  <c:v>17.2</c:v>
                </c:pt>
                <c:pt idx="231">
                  <c:v>29.88</c:v>
                </c:pt>
                <c:pt idx="232">
                  <c:v>78.03</c:v>
                </c:pt>
                <c:pt idx="233">
                  <c:v>31.5</c:v>
                </c:pt>
                <c:pt idx="234">
                  <c:v>99.86</c:v>
                </c:pt>
                <c:pt idx="235">
                  <c:v>36.65</c:v>
                </c:pt>
                <c:pt idx="236">
                  <c:v>38.770000000000003</c:v>
                </c:pt>
                <c:pt idx="237">
                  <c:v>82.09</c:v>
                </c:pt>
                <c:pt idx="238">
                  <c:v>54.09</c:v>
                </c:pt>
                <c:pt idx="239">
                  <c:v>47.45</c:v>
                </c:pt>
                <c:pt idx="240">
                  <c:v>50.88</c:v>
                </c:pt>
                <c:pt idx="241">
                  <c:v>22.23</c:v>
                </c:pt>
                <c:pt idx="242">
                  <c:v>147.38999999999999</c:v>
                </c:pt>
                <c:pt idx="243">
                  <c:v>104.27</c:v>
                </c:pt>
                <c:pt idx="244">
                  <c:v>37.33</c:v>
                </c:pt>
                <c:pt idx="245">
                  <c:v>22.76</c:v>
                </c:pt>
                <c:pt idx="246">
                  <c:v>4.7300000000000004</c:v>
                </c:pt>
                <c:pt idx="247">
                  <c:v>35.32</c:v>
                </c:pt>
                <c:pt idx="248">
                  <c:v>41.18</c:v>
                </c:pt>
                <c:pt idx="249">
                  <c:v>60.3</c:v>
                </c:pt>
                <c:pt idx="250">
                  <c:v>53.99</c:v>
                </c:pt>
                <c:pt idx="251">
                  <c:v>10.01</c:v>
                </c:pt>
                <c:pt idx="252">
                  <c:v>25.78</c:v>
                </c:pt>
                <c:pt idx="253">
                  <c:v>70.3</c:v>
                </c:pt>
                <c:pt idx="254">
                  <c:v>31.29</c:v>
                </c:pt>
                <c:pt idx="255">
                  <c:v>9.4700000000000006</c:v>
                </c:pt>
                <c:pt idx="256">
                  <c:v>6.33</c:v>
                </c:pt>
                <c:pt idx="257">
                  <c:v>61.01</c:v>
                </c:pt>
                <c:pt idx="258">
                  <c:v>20.440000000000001</c:v>
                </c:pt>
                <c:pt idx="259">
                  <c:v>14.63</c:v>
                </c:pt>
                <c:pt idx="260">
                  <c:v>18.64</c:v>
                </c:pt>
                <c:pt idx="261">
                  <c:v>38.43</c:v>
                </c:pt>
                <c:pt idx="262">
                  <c:v>16.39</c:v>
                </c:pt>
                <c:pt idx="263">
                  <c:v>2.3199999999999998</c:v>
                </c:pt>
                <c:pt idx="264">
                  <c:v>22.08</c:v>
                </c:pt>
                <c:pt idx="265">
                  <c:v>4.2</c:v>
                </c:pt>
                <c:pt idx="266">
                  <c:v>82.77</c:v>
                </c:pt>
                <c:pt idx="267">
                  <c:v>32.9</c:v>
                </c:pt>
                <c:pt idx="268">
                  <c:v>22.61</c:v>
                </c:pt>
                <c:pt idx="269">
                  <c:v>32.31</c:v>
                </c:pt>
                <c:pt idx="270">
                  <c:v>50.01</c:v>
                </c:pt>
                <c:pt idx="271">
                  <c:v>71.3</c:v>
                </c:pt>
                <c:pt idx="272">
                  <c:v>12.52</c:v>
                </c:pt>
                <c:pt idx="273">
                  <c:v>27.24</c:v>
                </c:pt>
                <c:pt idx="274">
                  <c:v>128.91</c:v>
                </c:pt>
                <c:pt idx="275">
                  <c:v>9.8000000000000007</c:v>
                </c:pt>
                <c:pt idx="276">
                  <c:v>24.69</c:v>
                </c:pt>
                <c:pt idx="277">
                  <c:v>45.37</c:v>
                </c:pt>
                <c:pt idx="278">
                  <c:v>67.78</c:v>
                </c:pt>
                <c:pt idx="279">
                  <c:v>22.43</c:v>
                </c:pt>
                <c:pt idx="280">
                  <c:v>35.07</c:v>
                </c:pt>
                <c:pt idx="281">
                  <c:v>32.67</c:v>
                </c:pt>
                <c:pt idx="282">
                  <c:v>63.15</c:v>
                </c:pt>
                <c:pt idx="283">
                  <c:v>15.66</c:v>
                </c:pt>
                <c:pt idx="284">
                  <c:v>43.89</c:v>
                </c:pt>
                <c:pt idx="285">
                  <c:v>10.45</c:v>
                </c:pt>
                <c:pt idx="286">
                  <c:v>51.82</c:v>
                </c:pt>
                <c:pt idx="287">
                  <c:v>39.799999999999997</c:v>
                </c:pt>
                <c:pt idx="288">
                  <c:v>65.75</c:v>
                </c:pt>
                <c:pt idx="289">
                  <c:v>11.67</c:v>
                </c:pt>
                <c:pt idx="290">
                  <c:v>58.95</c:v>
                </c:pt>
                <c:pt idx="291">
                  <c:v>14.68</c:v>
                </c:pt>
                <c:pt idx="292">
                  <c:v>25.19</c:v>
                </c:pt>
                <c:pt idx="293">
                  <c:v>15.6</c:v>
                </c:pt>
                <c:pt idx="294">
                  <c:v>141.58000000000001</c:v>
                </c:pt>
                <c:pt idx="295">
                  <c:v>1.58</c:v>
                </c:pt>
                <c:pt idx="296">
                  <c:v>49.95</c:v>
                </c:pt>
                <c:pt idx="297">
                  <c:v>7.22</c:v>
                </c:pt>
                <c:pt idx="298">
                  <c:v>14.12</c:v>
                </c:pt>
                <c:pt idx="299">
                  <c:v>44.24</c:v>
                </c:pt>
                <c:pt idx="300">
                  <c:v>69.7</c:v>
                </c:pt>
                <c:pt idx="301">
                  <c:v>5.63</c:v>
                </c:pt>
                <c:pt idx="302">
                  <c:v>61.74</c:v>
                </c:pt>
                <c:pt idx="303">
                  <c:v>68.05</c:v>
                </c:pt>
                <c:pt idx="304">
                  <c:v>61.84</c:v>
                </c:pt>
                <c:pt idx="305">
                  <c:v>1.89</c:v>
                </c:pt>
                <c:pt idx="306">
                  <c:v>8.3800000000000008</c:v>
                </c:pt>
                <c:pt idx="307">
                  <c:v>62.79</c:v>
                </c:pt>
                <c:pt idx="308">
                  <c:v>10.76</c:v>
                </c:pt>
                <c:pt idx="309">
                  <c:v>23.31</c:v>
                </c:pt>
                <c:pt idx="310">
                  <c:v>59.84</c:v>
                </c:pt>
                <c:pt idx="311">
                  <c:v>101.51</c:v>
                </c:pt>
                <c:pt idx="312">
                  <c:v>104.2</c:v>
                </c:pt>
                <c:pt idx="313">
                  <c:v>40.25</c:v>
                </c:pt>
                <c:pt idx="314">
                  <c:v>4.59</c:v>
                </c:pt>
                <c:pt idx="315">
                  <c:v>66.31</c:v>
                </c:pt>
                <c:pt idx="316">
                  <c:v>64.510000000000005</c:v>
                </c:pt>
                <c:pt idx="317">
                  <c:v>17.18</c:v>
                </c:pt>
                <c:pt idx="318">
                  <c:v>27.5</c:v>
                </c:pt>
                <c:pt idx="319">
                  <c:v>70.13</c:v>
                </c:pt>
                <c:pt idx="320">
                  <c:v>71.97</c:v>
                </c:pt>
                <c:pt idx="321">
                  <c:v>24.28</c:v>
                </c:pt>
                <c:pt idx="322">
                  <c:v>29.35</c:v>
                </c:pt>
                <c:pt idx="323">
                  <c:v>57.06</c:v>
                </c:pt>
                <c:pt idx="324">
                  <c:v>18.45</c:v>
                </c:pt>
                <c:pt idx="325">
                  <c:v>26.28</c:v>
                </c:pt>
                <c:pt idx="326">
                  <c:v>45.08</c:v>
                </c:pt>
                <c:pt idx="327">
                  <c:v>97.39</c:v>
                </c:pt>
                <c:pt idx="328">
                  <c:v>50.32</c:v>
                </c:pt>
                <c:pt idx="329">
                  <c:v>20.170000000000002</c:v>
                </c:pt>
                <c:pt idx="330">
                  <c:v>92.09</c:v>
                </c:pt>
                <c:pt idx="331">
                  <c:v>44.97</c:v>
                </c:pt>
                <c:pt idx="332">
                  <c:v>60.27</c:v>
                </c:pt>
                <c:pt idx="333">
                  <c:v>13.22</c:v>
                </c:pt>
                <c:pt idx="334">
                  <c:v>19.45</c:v>
                </c:pt>
                <c:pt idx="335">
                  <c:v>111.13</c:v>
                </c:pt>
                <c:pt idx="336">
                  <c:v>38.43</c:v>
                </c:pt>
                <c:pt idx="337">
                  <c:v>7</c:v>
                </c:pt>
                <c:pt idx="338">
                  <c:v>85.24</c:v>
                </c:pt>
                <c:pt idx="339">
                  <c:v>106.39</c:v>
                </c:pt>
                <c:pt idx="340">
                  <c:v>152.05000000000001</c:v>
                </c:pt>
                <c:pt idx="341">
                  <c:v>99.05</c:v>
                </c:pt>
                <c:pt idx="342">
                  <c:v>42.15</c:v>
                </c:pt>
                <c:pt idx="343">
                  <c:v>92.86</c:v>
                </c:pt>
                <c:pt idx="344">
                  <c:v>7.22</c:v>
                </c:pt>
                <c:pt idx="345">
                  <c:v>98.71</c:v>
                </c:pt>
                <c:pt idx="346">
                  <c:v>11.19</c:v>
                </c:pt>
                <c:pt idx="347">
                  <c:v>1.1399999999999999</c:v>
                </c:pt>
                <c:pt idx="348">
                  <c:v>14.08</c:v>
                </c:pt>
                <c:pt idx="349">
                  <c:v>34.130000000000003</c:v>
                </c:pt>
                <c:pt idx="350">
                  <c:v>13.29</c:v>
                </c:pt>
                <c:pt idx="351">
                  <c:v>19.63</c:v>
                </c:pt>
                <c:pt idx="352">
                  <c:v>55.36</c:v>
                </c:pt>
                <c:pt idx="353">
                  <c:v>69.95</c:v>
                </c:pt>
                <c:pt idx="354">
                  <c:v>40.42</c:v>
                </c:pt>
                <c:pt idx="355">
                  <c:v>45.91</c:v>
                </c:pt>
                <c:pt idx="356">
                  <c:v>0.5</c:v>
                </c:pt>
                <c:pt idx="357">
                  <c:v>54.58</c:v>
                </c:pt>
                <c:pt idx="358">
                  <c:v>6.49</c:v>
                </c:pt>
                <c:pt idx="359">
                  <c:v>83.28</c:v>
                </c:pt>
                <c:pt idx="360">
                  <c:v>118.59</c:v>
                </c:pt>
                <c:pt idx="361">
                  <c:v>4.1100000000000003</c:v>
                </c:pt>
                <c:pt idx="362">
                  <c:v>29.99</c:v>
                </c:pt>
                <c:pt idx="363">
                  <c:v>85.5</c:v>
                </c:pt>
                <c:pt idx="364">
                  <c:v>11.85</c:v>
                </c:pt>
                <c:pt idx="365">
                  <c:v>38.340000000000003</c:v>
                </c:pt>
                <c:pt idx="366">
                  <c:v>50.37</c:v>
                </c:pt>
                <c:pt idx="367">
                  <c:v>61.48</c:v>
                </c:pt>
                <c:pt idx="368">
                  <c:v>53.06</c:v>
                </c:pt>
                <c:pt idx="369">
                  <c:v>57.81</c:v>
                </c:pt>
                <c:pt idx="370">
                  <c:v>22.22</c:v>
                </c:pt>
                <c:pt idx="371">
                  <c:v>85.4</c:v>
                </c:pt>
                <c:pt idx="372">
                  <c:v>12.5</c:v>
                </c:pt>
                <c:pt idx="373">
                  <c:v>48.44</c:v>
                </c:pt>
                <c:pt idx="374">
                  <c:v>18.75</c:v>
                </c:pt>
                <c:pt idx="375">
                  <c:v>31.7</c:v>
                </c:pt>
                <c:pt idx="376">
                  <c:v>2.04</c:v>
                </c:pt>
                <c:pt idx="377">
                  <c:v>179.44</c:v>
                </c:pt>
                <c:pt idx="378">
                  <c:v>30.14</c:v>
                </c:pt>
                <c:pt idx="379">
                  <c:v>13.07</c:v>
                </c:pt>
                <c:pt idx="380">
                  <c:v>105.97</c:v>
                </c:pt>
                <c:pt idx="381">
                  <c:v>80.739999999999995</c:v>
                </c:pt>
                <c:pt idx="382">
                  <c:v>67</c:v>
                </c:pt>
                <c:pt idx="383">
                  <c:v>22.33</c:v>
                </c:pt>
                <c:pt idx="384">
                  <c:v>32.729999999999997</c:v>
                </c:pt>
                <c:pt idx="385">
                  <c:v>51.6</c:v>
                </c:pt>
                <c:pt idx="386">
                  <c:v>10.97</c:v>
                </c:pt>
                <c:pt idx="387">
                  <c:v>70.989999999999995</c:v>
                </c:pt>
                <c:pt idx="388">
                  <c:v>21.64</c:v>
                </c:pt>
                <c:pt idx="389">
                  <c:v>120.16</c:v>
                </c:pt>
                <c:pt idx="390">
                  <c:v>8.99</c:v>
                </c:pt>
                <c:pt idx="391">
                  <c:v>147.43</c:v>
                </c:pt>
                <c:pt idx="392">
                  <c:v>36.479999999999997</c:v>
                </c:pt>
                <c:pt idx="393">
                  <c:v>4.05</c:v>
                </c:pt>
                <c:pt idx="394">
                  <c:v>3.76</c:v>
                </c:pt>
                <c:pt idx="395">
                  <c:v>15.16</c:v>
                </c:pt>
                <c:pt idx="396">
                  <c:v>5.37</c:v>
                </c:pt>
                <c:pt idx="397">
                  <c:v>63.55</c:v>
                </c:pt>
                <c:pt idx="398">
                  <c:v>56.83</c:v>
                </c:pt>
                <c:pt idx="399">
                  <c:v>55.82</c:v>
                </c:pt>
                <c:pt idx="400">
                  <c:v>54.24</c:v>
                </c:pt>
                <c:pt idx="401">
                  <c:v>60.65</c:v>
                </c:pt>
                <c:pt idx="402">
                  <c:v>46.8</c:v>
                </c:pt>
                <c:pt idx="403">
                  <c:v>29.68</c:v>
                </c:pt>
                <c:pt idx="404">
                  <c:v>136.25</c:v>
                </c:pt>
                <c:pt idx="405">
                  <c:v>38.369999999999997</c:v>
                </c:pt>
                <c:pt idx="406">
                  <c:v>58.25</c:v>
                </c:pt>
                <c:pt idx="407">
                  <c:v>45.93</c:v>
                </c:pt>
                <c:pt idx="408">
                  <c:v>15.35</c:v>
                </c:pt>
                <c:pt idx="409">
                  <c:v>10.81</c:v>
                </c:pt>
                <c:pt idx="410">
                  <c:v>25.63</c:v>
                </c:pt>
                <c:pt idx="411">
                  <c:v>54.52</c:v>
                </c:pt>
                <c:pt idx="412">
                  <c:v>112.26</c:v>
                </c:pt>
                <c:pt idx="413">
                  <c:v>10.15</c:v>
                </c:pt>
                <c:pt idx="414">
                  <c:v>81.459999999999994</c:v>
                </c:pt>
                <c:pt idx="415">
                  <c:v>51.77</c:v>
                </c:pt>
                <c:pt idx="416">
                  <c:v>7.03</c:v>
                </c:pt>
                <c:pt idx="417">
                  <c:v>70.010000000000005</c:v>
                </c:pt>
                <c:pt idx="418">
                  <c:v>124.49</c:v>
                </c:pt>
                <c:pt idx="419">
                  <c:v>22.88</c:v>
                </c:pt>
                <c:pt idx="420">
                  <c:v>91.7</c:v>
                </c:pt>
                <c:pt idx="421">
                  <c:v>25.51</c:v>
                </c:pt>
                <c:pt idx="422">
                  <c:v>67.45</c:v>
                </c:pt>
                <c:pt idx="423">
                  <c:v>94.22</c:v>
                </c:pt>
                <c:pt idx="424">
                  <c:v>14.42</c:v>
                </c:pt>
                <c:pt idx="425">
                  <c:v>56.88</c:v>
                </c:pt>
                <c:pt idx="426">
                  <c:v>71.66</c:v>
                </c:pt>
                <c:pt idx="427">
                  <c:v>112.45</c:v>
                </c:pt>
                <c:pt idx="428">
                  <c:v>133.51</c:v>
                </c:pt>
                <c:pt idx="429">
                  <c:v>80.02</c:v>
                </c:pt>
                <c:pt idx="430">
                  <c:v>7.04</c:v>
                </c:pt>
                <c:pt idx="431">
                  <c:v>70.069999999999993</c:v>
                </c:pt>
                <c:pt idx="432">
                  <c:v>43.1</c:v>
                </c:pt>
                <c:pt idx="433">
                  <c:v>79.2</c:v>
                </c:pt>
                <c:pt idx="434">
                  <c:v>18.04</c:v>
                </c:pt>
                <c:pt idx="435">
                  <c:v>19.100000000000001</c:v>
                </c:pt>
                <c:pt idx="436">
                  <c:v>28.48</c:v>
                </c:pt>
                <c:pt idx="437">
                  <c:v>26.33</c:v>
                </c:pt>
                <c:pt idx="438">
                  <c:v>26.42</c:v>
                </c:pt>
                <c:pt idx="439">
                  <c:v>25.68</c:v>
                </c:pt>
                <c:pt idx="440">
                  <c:v>39.229999999999997</c:v>
                </c:pt>
                <c:pt idx="441">
                  <c:v>12.96</c:v>
                </c:pt>
                <c:pt idx="442">
                  <c:v>12.66</c:v>
                </c:pt>
                <c:pt idx="443">
                  <c:v>60.95</c:v>
                </c:pt>
                <c:pt idx="444">
                  <c:v>46.62</c:v>
                </c:pt>
                <c:pt idx="445">
                  <c:v>5.91</c:v>
                </c:pt>
                <c:pt idx="446">
                  <c:v>36.630000000000003</c:v>
                </c:pt>
                <c:pt idx="447">
                  <c:v>62.85</c:v>
                </c:pt>
                <c:pt idx="448">
                  <c:v>47.06</c:v>
                </c:pt>
                <c:pt idx="449">
                  <c:v>60.02</c:v>
                </c:pt>
                <c:pt idx="450">
                  <c:v>17.64</c:v>
                </c:pt>
                <c:pt idx="451">
                  <c:v>38.57</c:v>
                </c:pt>
                <c:pt idx="452">
                  <c:v>36.85</c:v>
                </c:pt>
                <c:pt idx="453">
                  <c:v>137.22</c:v>
                </c:pt>
                <c:pt idx="454">
                  <c:v>4.28</c:v>
                </c:pt>
                <c:pt idx="455">
                  <c:v>11.78</c:v>
                </c:pt>
                <c:pt idx="456">
                  <c:v>2.52</c:v>
                </c:pt>
                <c:pt idx="457">
                  <c:v>109.92</c:v>
                </c:pt>
                <c:pt idx="458">
                  <c:v>32.93</c:v>
                </c:pt>
                <c:pt idx="459">
                  <c:v>15.43</c:v>
                </c:pt>
                <c:pt idx="460">
                  <c:v>96.91</c:v>
                </c:pt>
                <c:pt idx="461">
                  <c:v>26.23</c:v>
                </c:pt>
                <c:pt idx="462">
                  <c:v>11.64</c:v>
                </c:pt>
                <c:pt idx="463">
                  <c:v>56.99</c:v>
                </c:pt>
                <c:pt idx="464">
                  <c:v>84.56</c:v>
                </c:pt>
                <c:pt idx="465">
                  <c:v>26.23</c:v>
                </c:pt>
                <c:pt idx="466">
                  <c:v>66.81</c:v>
                </c:pt>
                <c:pt idx="467">
                  <c:v>62.78</c:v>
                </c:pt>
                <c:pt idx="468">
                  <c:v>21.61</c:v>
                </c:pt>
                <c:pt idx="469">
                  <c:v>41.34</c:v>
                </c:pt>
                <c:pt idx="470">
                  <c:v>9.51</c:v>
                </c:pt>
                <c:pt idx="471">
                  <c:v>19.7</c:v>
                </c:pt>
                <c:pt idx="472">
                  <c:v>15.57</c:v>
                </c:pt>
                <c:pt idx="473">
                  <c:v>70.38</c:v>
                </c:pt>
                <c:pt idx="474">
                  <c:v>33.94</c:v>
                </c:pt>
                <c:pt idx="475">
                  <c:v>16.91</c:v>
                </c:pt>
                <c:pt idx="476">
                  <c:v>96.12</c:v>
                </c:pt>
                <c:pt idx="477">
                  <c:v>30.23</c:v>
                </c:pt>
                <c:pt idx="478">
                  <c:v>23.97</c:v>
                </c:pt>
                <c:pt idx="479">
                  <c:v>169.97</c:v>
                </c:pt>
                <c:pt idx="480">
                  <c:v>26.26</c:v>
                </c:pt>
                <c:pt idx="481">
                  <c:v>45.67</c:v>
                </c:pt>
                <c:pt idx="482">
                  <c:v>45.83</c:v>
                </c:pt>
                <c:pt idx="483">
                  <c:v>197.89</c:v>
                </c:pt>
                <c:pt idx="484">
                  <c:v>26.91</c:v>
                </c:pt>
                <c:pt idx="485">
                  <c:v>13.3</c:v>
                </c:pt>
                <c:pt idx="486">
                  <c:v>127.85</c:v>
                </c:pt>
                <c:pt idx="487">
                  <c:v>82.25</c:v>
                </c:pt>
                <c:pt idx="488">
                  <c:v>4.3499999999999996</c:v>
                </c:pt>
                <c:pt idx="489">
                  <c:v>26.18</c:v>
                </c:pt>
                <c:pt idx="490">
                  <c:v>15.59</c:v>
                </c:pt>
                <c:pt idx="491">
                  <c:v>32.68</c:v>
                </c:pt>
                <c:pt idx="492">
                  <c:v>78.03</c:v>
                </c:pt>
                <c:pt idx="493">
                  <c:v>29.08</c:v>
                </c:pt>
                <c:pt idx="494">
                  <c:v>38.26</c:v>
                </c:pt>
                <c:pt idx="495">
                  <c:v>4.42</c:v>
                </c:pt>
                <c:pt idx="496">
                  <c:v>69.650000000000006</c:v>
                </c:pt>
                <c:pt idx="497">
                  <c:v>91.32</c:v>
                </c:pt>
                <c:pt idx="498">
                  <c:v>5.39</c:v>
                </c:pt>
                <c:pt idx="499">
                  <c:v>9.64</c:v>
                </c:pt>
              </c:numCache>
            </c:numRef>
          </c:xVal>
          <c:yVal>
            <c:numRef>
              <c:f>'Formulas &amp; Business Metrics'!$K$2:$K$501</c:f>
              <c:numCache>
                <c:formatCode>[$$-409]#,##0.00</c:formatCode>
                <c:ptCount val="500"/>
                <c:pt idx="0">
                  <c:v>355.04</c:v>
                </c:pt>
                <c:pt idx="1">
                  <c:v>403.4</c:v>
                </c:pt>
                <c:pt idx="2">
                  <c:v>282.37</c:v>
                </c:pt>
                <c:pt idx="3">
                  <c:v>134.77000000000001</c:v>
                </c:pt>
                <c:pt idx="4">
                  <c:v>430.8</c:v>
                </c:pt>
                <c:pt idx="5">
                  <c:v>87.86</c:v>
                </c:pt>
                <c:pt idx="6">
                  <c:v>20.079999999999998</c:v>
                </c:pt>
                <c:pt idx="7">
                  <c:v>66.91</c:v>
                </c:pt>
                <c:pt idx="8">
                  <c:v>360.29</c:v>
                </c:pt>
                <c:pt idx="9">
                  <c:v>139.32</c:v>
                </c:pt>
                <c:pt idx="10">
                  <c:v>675.73</c:v>
                </c:pt>
                <c:pt idx="11">
                  <c:v>779.44</c:v>
                </c:pt>
                <c:pt idx="12">
                  <c:v>802.16</c:v>
                </c:pt>
                <c:pt idx="13">
                  <c:v>560.36</c:v>
                </c:pt>
                <c:pt idx="14">
                  <c:v>357.11</c:v>
                </c:pt>
                <c:pt idx="15">
                  <c:v>207.6</c:v>
                </c:pt>
                <c:pt idx="16">
                  <c:v>477.05</c:v>
                </c:pt>
                <c:pt idx="17">
                  <c:v>58.57</c:v>
                </c:pt>
                <c:pt idx="18">
                  <c:v>195.79</c:v>
                </c:pt>
                <c:pt idx="19">
                  <c:v>310.36</c:v>
                </c:pt>
                <c:pt idx="20">
                  <c:v>155.44</c:v>
                </c:pt>
                <c:pt idx="21">
                  <c:v>29.24</c:v>
                </c:pt>
                <c:pt idx="22">
                  <c:v>164.11</c:v>
                </c:pt>
                <c:pt idx="23">
                  <c:v>313.47000000000003</c:v>
                </c:pt>
                <c:pt idx="24">
                  <c:v>232.78</c:v>
                </c:pt>
                <c:pt idx="25">
                  <c:v>151</c:v>
                </c:pt>
                <c:pt idx="26">
                  <c:v>221.76</c:v>
                </c:pt>
                <c:pt idx="27">
                  <c:v>94.7</c:v>
                </c:pt>
                <c:pt idx="28">
                  <c:v>871.57</c:v>
                </c:pt>
                <c:pt idx="29">
                  <c:v>17.170000000000002</c:v>
                </c:pt>
                <c:pt idx="30">
                  <c:v>25.18</c:v>
                </c:pt>
                <c:pt idx="31">
                  <c:v>157.06</c:v>
                </c:pt>
                <c:pt idx="32">
                  <c:v>234.78</c:v>
                </c:pt>
                <c:pt idx="33">
                  <c:v>366.63</c:v>
                </c:pt>
                <c:pt idx="34">
                  <c:v>28.89</c:v>
                </c:pt>
                <c:pt idx="35">
                  <c:v>228.61</c:v>
                </c:pt>
                <c:pt idx="36">
                  <c:v>63.32</c:v>
                </c:pt>
                <c:pt idx="37">
                  <c:v>32.78</c:v>
                </c:pt>
                <c:pt idx="38">
                  <c:v>250.44</c:v>
                </c:pt>
                <c:pt idx="39">
                  <c:v>645.98</c:v>
                </c:pt>
                <c:pt idx="40">
                  <c:v>435.78</c:v>
                </c:pt>
                <c:pt idx="41">
                  <c:v>258.52999999999997</c:v>
                </c:pt>
                <c:pt idx="42">
                  <c:v>210.38</c:v>
                </c:pt>
                <c:pt idx="43">
                  <c:v>933.59</c:v>
                </c:pt>
                <c:pt idx="44">
                  <c:v>75.16</c:v>
                </c:pt>
                <c:pt idx="45">
                  <c:v>430.27</c:v>
                </c:pt>
                <c:pt idx="46">
                  <c:v>155.34</c:v>
                </c:pt>
                <c:pt idx="47">
                  <c:v>220.02</c:v>
                </c:pt>
                <c:pt idx="48">
                  <c:v>284.51</c:v>
                </c:pt>
                <c:pt idx="49">
                  <c:v>167.02</c:v>
                </c:pt>
                <c:pt idx="50">
                  <c:v>248.17</c:v>
                </c:pt>
                <c:pt idx="51">
                  <c:v>458.21</c:v>
                </c:pt>
                <c:pt idx="52">
                  <c:v>372.79</c:v>
                </c:pt>
                <c:pt idx="53">
                  <c:v>145.72999999999999</c:v>
                </c:pt>
                <c:pt idx="54">
                  <c:v>144.96</c:v>
                </c:pt>
                <c:pt idx="55">
                  <c:v>139.71</c:v>
                </c:pt>
                <c:pt idx="56">
                  <c:v>186.29</c:v>
                </c:pt>
                <c:pt idx="57">
                  <c:v>202.1</c:v>
                </c:pt>
                <c:pt idx="58">
                  <c:v>214.17</c:v>
                </c:pt>
                <c:pt idx="59">
                  <c:v>375.08</c:v>
                </c:pt>
                <c:pt idx="60">
                  <c:v>1240.69</c:v>
                </c:pt>
                <c:pt idx="61">
                  <c:v>144.11000000000001</c:v>
                </c:pt>
                <c:pt idx="62">
                  <c:v>196.54</c:v>
                </c:pt>
                <c:pt idx="63">
                  <c:v>341.73</c:v>
                </c:pt>
                <c:pt idx="64">
                  <c:v>12.66</c:v>
                </c:pt>
                <c:pt idx="65">
                  <c:v>549.39</c:v>
                </c:pt>
                <c:pt idx="66">
                  <c:v>960.39</c:v>
                </c:pt>
                <c:pt idx="67">
                  <c:v>125.31</c:v>
                </c:pt>
                <c:pt idx="68">
                  <c:v>35.729999999999997</c:v>
                </c:pt>
                <c:pt idx="69">
                  <c:v>559.6</c:v>
                </c:pt>
                <c:pt idx="70">
                  <c:v>676.34</c:v>
                </c:pt>
                <c:pt idx="71">
                  <c:v>237</c:v>
                </c:pt>
                <c:pt idx="72">
                  <c:v>100.26</c:v>
                </c:pt>
                <c:pt idx="73">
                  <c:v>181.91</c:v>
                </c:pt>
                <c:pt idx="74">
                  <c:v>221.65</c:v>
                </c:pt>
                <c:pt idx="75">
                  <c:v>219.49</c:v>
                </c:pt>
                <c:pt idx="76">
                  <c:v>307.82</c:v>
                </c:pt>
                <c:pt idx="77">
                  <c:v>389.73</c:v>
                </c:pt>
                <c:pt idx="78">
                  <c:v>153.79</c:v>
                </c:pt>
                <c:pt idx="79">
                  <c:v>343.68</c:v>
                </c:pt>
                <c:pt idx="80">
                  <c:v>180.41</c:v>
                </c:pt>
                <c:pt idx="81">
                  <c:v>223.59</c:v>
                </c:pt>
                <c:pt idx="82">
                  <c:v>69.13</c:v>
                </c:pt>
                <c:pt idx="83">
                  <c:v>175.93</c:v>
                </c:pt>
                <c:pt idx="84">
                  <c:v>102.79</c:v>
                </c:pt>
                <c:pt idx="85">
                  <c:v>312.25</c:v>
                </c:pt>
                <c:pt idx="86">
                  <c:v>400.25</c:v>
                </c:pt>
                <c:pt idx="87">
                  <c:v>312.75</c:v>
                </c:pt>
                <c:pt idx="88">
                  <c:v>68.64</c:v>
                </c:pt>
                <c:pt idx="89">
                  <c:v>29.99</c:v>
                </c:pt>
                <c:pt idx="90">
                  <c:v>500.16</c:v>
                </c:pt>
                <c:pt idx="91">
                  <c:v>428.41</c:v>
                </c:pt>
                <c:pt idx="92">
                  <c:v>22.92</c:v>
                </c:pt>
                <c:pt idx="93">
                  <c:v>73.33</c:v>
                </c:pt>
                <c:pt idx="94">
                  <c:v>350</c:v>
                </c:pt>
                <c:pt idx="95">
                  <c:v>638.95000000000005</c:v>
                </c:pt>
                <c:pt idx="96">
                  <c:v>456.33</c:v>
                </c:pt>
                <c:pt idx="97">
                  <c:v>16.579999999999998</c:v>
                </c:pt>
                <c:pt idx="98">
                  <c:v>269.04000000000002</c:v>
                </c:pt>
                <c:pt idx="99">
                  <c:v>280.93</c:v>
                </c:pt>
                <c:pt idx="100">
                  <c:v>72.47</c:v>
                </c:pt>
                <c:pt idx="101">
                  <c:v>269.64999999999998</c:v>
                </c:pt>
                <c:pt idx="102">
                  <c:v>144.16999999999999</c:v>
                </c:pt>
                <c:pt idx="103">
                  <c:v>168.24</c:v>
                </c:pt>
                <c:pt idx="104">
                  <c:v>343.16</c:v>
                </c:pt>
                <c:pt idx="105">
                  <c:v>41.07</c:v>
                </c:pt>
                <c:pt idx="106">
                  <c:v>69.069999999999993</c:v>
                </c:pt>
                <c:pt idx="107">
                  <c:v>306.7</c:v>
                </c:pt>
                <c:pt idx="108">
                  <c:v>25.24</c:v>
                </c:pt>
                <c:pt idx="109">
                  <c:v>119.65</c:v>
                </c:pt>
                <c:pt idx="110">
                  <c:v>269.22000000000003</c:v>
                </c:pt>
                <c:pt idx="111">
                  <c:v>83.93</c:v>
                </c:pt>
                <c:pt idx="112">
                  <c:v>328.68</c:v>
                </c:pt>
                <c:pt idx="113">
                  <c:v>53.3</c:v>
                </c:pt>
                <c:pt idx="114">
                  <c:v>185</c:v>
                </c:pt>
                <c:pt idx="115">
                  <c:v>372.11</c:v>
                </c:pt>
                <c:pt idx="116">
                  <c:v>285.39</c:v>
                </c:pt>
                <c:pt idx="117">
                  <c:v>27.42</c:v>
                </c:pt>
                <c:pt idx="118">
                  <c:v>336.91</c:v>
                </c:pt>
                <c:pt idx="119">
                  <c:v>241.01</c:v>
                </c:pt>
                <c:pt idx="120">
                  <c:v>21.22</c:v>
                </c:pt>
                <c:pt idx="121">
                  <c:v>235.2</c:v>
                </c:pt>
                <c:pt idx="122">
                  <c:v>423.56</c:v>
                </c:pt>
                <c:pt idx="123">
                  <c:v>134.96</c:v>
                </c:pt>
                <c:pt idx="124">
                  <c:v>40.01</c:v>
                </c:pt>
                <c:pt idx="125">
                  <c:v>301.64</c:v>
                </c:pt>
                <c:pt idx="126">
                  <c:v>530.98</c:v>
                </c:pt>
                <c:pt idx="127">
                  <c:v>120.97</c:v>
                </c:pt>
                <c:pt idx="128">
                  <c:v>203.02</c:v>
                </c:pt>
                <c:pt idx="129">
                  <c:v>140.80000000000001</c:v>
                </c:pt>
                <c:pt idx="130">
                  <c:v>535.54</c:v>
                </c:pt>
                <c:pt idx="131">
                  <c:v>322.55</c:v>
                </c:pt>
                <c:pt idx="132">
                  <c:v>388.8</c:v>
                </c:pt>
                <c:pt idx="133">
                  <c:v>298.57</c:v>
                </c:pt>
                <c:pt idx="134">
                  <c:v>375.26</c:v>
                </c:pt>
                <c:pt idx="135">
                  <c:v>11.36</c:v>
                </c:pt>
                <c:pt idx="136">
                  <c:v>359.89</c:v>
                </c:pt>
                <c:pt idx="137">
                  <c:v>153.69999999999999</c:v>
                </c:pt>
                <c:pt idx="138">
                  <c:v>67.849999999999994</c:v>
                </c:pt>
                <c:pt idx="139">
                  <c:v>125.77</c:v>
                </c:pt>
                <c:pt idx="140">
                  <c:v>174.13</c:v>
                </c:pt>
                <c:pt idx="141">
                  <c:v>376.26</c:v>
                </c:pt>
                <c:pt idx="142">
                  <c:v>35.99</c:v>
                </c:pt>
                <c:pt idx="143">
                  <c:v>103.32</c:v>
                </c:pt>
                <c:pt idx="144">
                  <c:v>61.83</c:v>
                </c:pt>
                <c:pt idx="145">
                  <c:v>400.43</c:v>
                </c:pt>
                <c:pt idx="146">
                  <c:v>179.05</c:v>
                </c:pt>
                <c:pt idx="147">
                  <c:v>685.89</c:v>
                </c:pt>
                <c:pt idx="148">
                  <c:v>553</c:v>
                </c:pt>
                <c:pt idx="149">
                  <c:v>219.9</c:v>
                </c:pt>
                <c:pt idx="150">
                  <c:v>469.22</c:v>
                </c:pt>
                <c:pt idx="151">
                  <c:v>736.55</c:v>
                </c:pt>
                <c:pt idx="152">
                  <c:v>114.93</c:v>
                </c:pt>
                <c:pt idx="153">
                  <c:v>429.43</c:v>
                </c:pt>
                <c:pt idx="154">
                  <c:v>316.27999999999997</c:v>
                </c:pt>
                <c:pt idx="155">
                  <c:v>216.56</c:v>
                </c:pt>
                <c:pt idx="156">
                  <c:v>149.9</c:v>
                </c:pt>
                <c:pt idx="157">
                  <c:v>55.99</c:v>
                </c:pt>
                <c:pt idx="158">
                  <c:v>412.66</c:v>
                </c:pt>
                <c:pt idx="159">
                  <c:v>361.78</c:v>
                </c:pt>
                <c:pt idx="160">
                  <c:v>57.09</c:v>
                </c:pt>
                <c:pt idx="161">
                  <c:v>207.91</c:v>
                </c:pt>
                <c:pt idx="162">
                  <c:v>477.59</c:v>
                </c:pt>
                <c:pt idx="163">
                  <c:v>123.77</c:v>
                </c:pt>
                <c:pt idx="164">
                  <c:v>37.9</c:v>
                </c:pt>
                <c:pt idx="165">
                  <c:v>54.57</c:v>
                </c:pt>
                <c:pt idx="166">
                  <c:v>190.69</c:v>
                </c:pt>
                <c:pt idx="167">
                  <c:v>152.66999999999999</c:v>
                </c:pt>
                <c:pt idx="168">
                  <c:v>283.83999999999997</c:v>
                </c:pt>
                <c:pt idx="169">
                  <c:v>7.47</c:v>
                </c:pt>
                <c:pt idx="170">
                  <c:v>164.2</c:v>
                </c:pt>
                <c:pt idx="171">
                  <c:v>5.99</c:v>
                </c:pt>
                <c:pt idx="172">
                  <c:v>306.64</c:v>
                </c:pt>
                <c:pt idx="173">
                  <c:v>260.08</c:v>
                </c:pt>
                <c:pt idx="174">
                  <c:v>827.97</c:v>
                </c:pt>
                <c:pt idx="175">
                  <c:v>166.92</c:v>
                </c:pt>
                <c:pt idx="176">
                  <c:v>499.15</c:v>
                </c:pt>
                <c:pt idx="177">
                  <c:v>32.54</c:v>
                </c:pt>
                <c:pt idx="178">
                  <c:v>334.77</c:v>
                </c:pt>
                <c:pt idx="179">
                  <c:v>115.74</c:v>
                </c:pt>
                <c:pt idx="180">
                  <c:v>187.95</c:v>
                </c:pt>
                <c:pt idx="181">
                  <c:v>206.98</c:v>
                </c:pt>
                <c:pt idx="182">
                  <c:v>206.17</c:v>
                </c:pt>
                <c:pt idx="183">
                  <c:v>16.579999999999998</c:v>
                </c:pt>
                <c:pt idx="184">
                  <c:v>749.03</c:v>
                </c:pt>
                <c:pt idx="185">
                  <c:v>29.17</c:v>
                </c:pt>
                <c:pt idx="186">
                  <c:v>353.35</c:v>
                </c:pt>
                <c:pt idx="187">
                  <c:v>69.59</c:v>
                </c:pt>
                <c:pt idx="188">
                  <c:v>482.45</c:v>
                </c:pt>
                <c:pt idx="189">
                  <c:v>824.95</c:v>
                </c:pt>
                <c:pt idx="190">
                  <c:v>149.5</c:v>
                </c:pt>
                <c:pt idx="191">
                  <c:v>212.02</c:v>
                </c:pt>
                <c:pt idx="192">
                  <c:v>509.37</c:v>
                </c:pt>
                <c:pt idx="193">
                  <c:v>120.36</c:v>
                </c:pt>
                <c:pt idx="194">
                  <c:v>29.5</c:v>
                </c:pt>
                <c:pt idx="195">
                  <c:v>479.91</c:v>
                </c:pt>
                <c:pt idx="196">
                  <c:v>1219.8900000000001</c:v>
                </c:pt>
                <c:pt idx="197">
                  <c:v>918.98</c:v>
                </c:pt>
                <c:pt idx="198">
                  <c:v>154.75</c:v>
                </c:pt>
                <c:pt idx="199">
                  <c:v>31.34</c:v>
                </c:pt>
                <c:pt idx="200">
                  <c:v>704.34</c:v>
                </c:pt>
                <c:pt idx="201">
                  <c:v>73.709999999999994</c:v>
                </c:pt>
                <c:pt idx="202">
                  <c:v>222.38</c:v>
                </c:pt>
                <c:pt idx="203">
                  <c:v>477.63</c:v>
                </c:pt>
                <c:pt idx="204">
                  <c:v>461.83</c:v>
                </c:pt>
                <c:pt idx="205">
                  <c:v>47.01</c:v>
                </c:pt>
                <c:pt idx="206">
                  <c:v>204.07</c:v>
                </c:pt>
                <c:pt idx="207">
                  <c:v>60.13</c:v>
                </c:pt>
                <c:pt idx="208">
                  <c:v>101.76</c:v>
                </c:pt>
                <c:pt idx="209">
                  <c:v>196.18</c:v>
                </c:pt>
                <c:pt idx="210">
                  <c:v>108.03</c:v>
                </c:pt>
                <c:pt idx="211">
                  <c:v>227.87</c:v>
                </c:pt>
                <c:pt idx="212">
                  <c:v>17.09</c:v>
                </c:pt>
                <c:pt idx="213">
                  <c:v>665.19</c:v>
                </c:pt>
                <c:pt idx="214">
                  <c:v>184.44</c:v>
                </c:pt>
                <c:pt idx="215">
                  <c:v>171.28</c:v>
                </c:pt>
                <c:pt idx="216">
                  <c:v>136.05000000000001</c:v>
                </c:pt>
                <c:pt idx="217">
                  <c:v>163.12</c:v>
                </c:pt>
                <c:pt idx="218">
                  <c:v>114.75</c:v>
                </c:pt>
                <c:pt idx="219">
                  <c:v>47.42</c:v>
                </c:pt>
                <c:pt idx="220">
                  <c:v>835.19</c:v>
                </c:pt>
                <c:pt idx="221">
                  <c:v>239.75</c:v>
                </c:pt>
                <c:pt idx="222">
                  <c:v>45.74</c:v>
                </c:pt>
                <c:pt idx="223">
                  <c:v>361.07</c:v>
                </c:pt>
                <c:pt idx="224">
                  <c:v>866.65</c:v>
                </c:pt>
                <c:pt idx="225">
                  <c:v>191.21</c:v>
                </c:pt>
                <c:pt idx="226">
                  <c:v>251.85</c:v>
                </c:pt>
                <c:pt idx="227">
                  <c:v>116.73</c:v>
                </c:pt>
                <c:pt idx="228">
                  <c:v>325.29000000000002</c:v>
                </c:pt>
                <c:pt idx="229">
                  <c:v>13.12</c:v>
                </c:pt>
                <c:pt idx="230">
                  <c:v>245.44</c:v>
                </c:pt>
                <c:pt idx="231">
                  <c:v>239.48</c:v>
                </c:pt>
                <c:pt idx="232">
                  <c:v>291.17</c:v>
                </c:pt>
                <c:pt idx="233">
                  <c:v>78.3</c:v>
                </c:pt>
                <c:pt idx="234">
                  <c:v>474.88</c:v>
                </c:pt>
                <c:pt idx="235">
                  <c:v>60.38</c:v>
                </c:pt>
                <c:pt idx="236">
                  <c:v>237.87</c:v>
                </c:pt>
                <c:pt idx="237">
                  <c:v>566.41</c:v>
                </c:pt>
                <c:pt idx="238">
                  <c:v>301.38</c:v>
                </c:pt>
                <c:pt idx="239">
                  <c:v>231.3</c:v>
                </c:pt>
                <c:pt idx="240">
                  <c:v>342.72</c:v>
                </c:pt>
                <c:pt idx="241">
                  <c:v>48.15</c:v>
                </c:pt>
                <c:pt idx="242">
                  <c:v>790.56</c:v>
                </c:pt>
                <c:pt idx="243">
                  <c:v>237.73</c:v>
                </c:pt>
                <c:pt idx="244">
                  <c:v>258.17</c:v>
                </c:pt>
                <c:pt idx="245">
                  <c:v>168.83</c:v>
                </c:pt>
                <c:pt idx="246">
                  <c:v>31.31</c:v>
                </c:pt>
                <c:pt idx="247">
                  <c:v>461.88</c:v>
                </c:pt>
                <c:pt idx="248">
                  <c:v>398.98</c:v>
                </c:pt>
                <c:pt idx="249">
                  <c:v>1116.3</c:v>
                </c:pt>
                <c:pt idx="250">
                  <c:v>164.65</c:v>
                </c:pt>
                <c:pt idx="251">
                  <c:v>22.45</c:v>
                </c:pt>
                <c:pt idx="252">
                  <c:v>108.34</c:v>
                </c:pt>
                <c:pt idx="253">
                  <c:v>558.55999999999995</c:v>
                </c:pt>
                <c:pt idx="254">
                  <c:v>196.14</c:v>
                </c:pt>
                <c:pt idx="255">
                  <c:v>110.91</c:v>
                </c:pt>
                <c:pt idx="256">
                  <c:v>26.35</c:v>
                </c:pt>
                <c:pt idx="257">
                  <c:v>576.25</c:v>
                </c:pt>
                <c:pt idx="258">
                  <c:v>115.91</c:v>
                </c:pt>
                <c:pt idx="259">
                  <c:v>223.63</c:v>
                </c:pt>
                <c:pt idx="260">
                  <c:v>290.76</c:v>
                </c:pt>
                <c:pt idx="261">
                  <c:v>187.33</c:v>
                </c:pt>
                <c:pt idx="262">
                  <c:v>51.61</c:v>
                </c:pt>
                <c:pt idx="263">
                  <c:v>24.2</c:v>
                </c:pt>
                <c:pt idx="264">
                  <c:v>90.32</c:v>
                </c:pt>
                <c:pt idx="265">
                  <c:v>18.95</c:v>
                </c:pt>
                <c:pt idx="266">
                  <c:v>363.95</c:v>
                </c:pt>
                <c:pt idx="267">
                  <c:v>117.69</c:v>
                </c:pt>
                <c:pt idx="268">
                  <c:v>384.55</c:v>
                </c:pt>
                <c:pt idx="269">
                  <c:v>270.08999999999997</c:v>
                </c:pt>
                <c:pt idx="270">
                  <c:v>535.77</c:v>
                </c:pt>
                <c:pt idx="271">
                  <c:v>265.74</c:v>
                </c:pt>
                <c:pt idx="272">
                  <c:v>42.62</c:v>
                </c:pt>
                <c:pt idx="273">
                  <c:v>320.08</c:v>
                </c:pt>
                <c:pt idx="274">
                  <c:v>460</c:v>
                </c:pt>
                <c:pt idx="275">
                  <c:v>38.44</c:v>
                </c:pt>
                <c:pt idx="276">
                  <c:v>67.790000000000006</c:v>
                </c:pt>
                <c:pt idx="277">
                  <c:v>186.51</c:v>
                </c:pt>
                <c:pt idx="278">
                  <c:v>618.57000000000005</c:v>
                </c:pt>
                <c:pt idx="279">
                  <c:v>177.49</c:v>
                </c:pt>
                <c:pt idx="280">
                  <c:v>226.37</c:v>
                </c:pt>
                <c:pt idx="281">
                  <c:v>373.47</c:v>
                </c:pt>
                <c:pt idx="282">
                  <c:v>177.26</c:v>
                </c:pt>
                <c:pt idx="283">
                  <c:v>303.63</c:v>
                </c:pt>
                <c:pt idx="284">
                  <c:v>209.88</c:v>
                </c:pt>
                <c:pt idx="285">
                  <c:v>39.83</c:v>
                </c:pt>
                <c:pt idx="286">
                  <c:v>460.72</c:v>
                </c:pt>
                <c:pt idx="287">
                  <c:v>140.44999999999999</c:v>
                </c:pt>
                <c:pt idx="288">
                  <c:v>556.59</c:v>
                </c:pt>
                <c:pt idx="289">
                  <c:v>24.08</c:v>
                </c:pt>
                <c:pt idx="290">
                  <c:v>372.47</c:v>
                </c:pt>
                <c:pt idx="291">
                  <c:v>201.9</c:v>
                </c:pt>
                <c:pt idx="292">
                  <c:v>105.29</c:v>
                </c:pt>
                <c:pt idx="293">
                  <c:v>92.72</c:v>
                </c:pt>
                <c:pt idx="294">
                  <c:v>501.92</c:v>
                </c:pt>
                <c:pt idx="295">
                  <c:v>6.93</c:v>
                </c:pt>
                <c:pt idx="296">
                  <c:v>444.6</c:v>
                </c:pt>
                <c:pt idx="297">
                  <c:v>20.03</c:v>
                </c:pt>
                <c:pt idx="298">
                  <c:v>82.6</c:v>
                </c:pt>
                <c:pt idx="299">
                  <c:v>224</c:v>
                </c:pt>
                <c:pt idx="300">
                  <c:v>288.49</c:v>
                </c:pt>
                <c:pt idx="301">
                  <c:v>39.07</c:v>
                </c:pt>
                <c:pt idx="302">
                  <c:v>208.46</c:v>
                </c:pt>
                <c:pt idx="303">
                  <c:v>773.45</c:v>
                </c:pt>
                <c:pt idx="304">
                  <c:v>233.14</c:v>
                </c:pt>
                <c:pt idx="305">
                  <c:v>6.09</c:v>
                </c:pt>
                <c:pt idx="306">
                  <c:v>123.74</c:v>
                </c:pt>
                <c:pt idx="307">
                  <c:v>506.22</c:v>
                </c:pt>
                <c:pt idx="308">
                  <c:v>49.18</c:v>
                </c:pt>
                <c:pt idx="309">
                  <c:v>125.49</c:v>
                </c:pt>
                <c:pt idx="310">
                  <c:v>654.16</c:v>
                </c:pt>
                <c:pt idx="311">
                  <c:v>467.99</c:v>
                </c:pt>
                <c:pt idx="312">
                  <c:v>463.44</c:v>
                </c:pt>
                <c:pt idx="313">
                  <c:v>262.75</c:v>
                </c:pt>
                <c:pt idx="314">
                  <c:v>9.69</c:v>
                </c:pt>
                <c:pt idx="315">
                  <c:v>192.89</c:v>
                </c:pt>
                <c:pt idx="316">
                  <c:v>314.05</c:v>
                </c:pt>
                <c:pt idx="317">
                  <c:v>77.2</c:v>
                </c:pt>
                <c:pt idx="318">
                  <c:v>222.4</c:v>
                </c:pt>
                <c:pt idx="319">
                  <c:v>84.67</c:v>
                </c:pt>
                <c:pt idx="320">
                  <c:v>329.23</c:v>
                </c:pt>
                <c:pt idx="321">
                  <c:v>82.52</c:v>
                </c:pt>
                <c:pt idx="322">
                  <c:v>166.65</c:v>
                </c:pt>
                <c:pt idx="323">
                  <c:v>312.33</c:v>
                </c:pt>
                <c:pt idx="324">
                  <c:v>143.55000000000001</c:v>
                </c:pt>
                <c:pt idx="325">
                  <c:v>258.62</c:v>
                </c:pt>
                <c:pt idx="326">
                  <c:v>203.74</c:v>
                </c:pt>
                <c:pt idx="327">
                  <c:v>541.54999999999995</c:v>
                </c:pt>
                <c:pt idx="328">
                  <c:v>314.75</c:v>
                </c:pt>
                <c:pt idx="329">
                  <c:v>293.43</c:v>
                </c:pt>
                <c:pt idx="330">
                  <c:v>225.25</c:v>
                </c:pt>
                <c:pt idx="331">
                  <c:v>199.35</c:v>
                </c:pt>
                <c:pt idx="332">
                  <c:v>138.61000000000001</c:v>
                </c:pt>
                <c:pt idx="333">
                  <c:v>76.180000000000007</c:v>
                </c:pt>
                <c:pt idx="334">
                  <c:v>255.37</c:v>
                </c:pt>
                <c:pt idx="335">
                  <c:v>219.61</c:v>
                </c:pt>
                <c:pt idx="336">
                  <c:v>237.37</c:v>
                </c:pt>
                <c:pt idx="337">
                  <c:v>80.52</c:v>
                </c:pt>
                <c:pt idx="338">
                  <c:v>421.16</c:v>
                </c:pt>
                <c:pt idx="339">
                  <c:v>865.57</c:v>
                </c:pt>
                <c:pt idx="340">
                  <c:v>772.43</c:v>
                </c:pt>
                <c:pt idx="341">
                  <c:v>268.35000000000002</c:v>
                </c:pt>
                <c:pt idx="342">
                  <c:v>101.85</c:v>
                </c:pt>
                <c:pt idx="343">
                  <c:v>409.39</c:v>
                </c:pt>
                <c:pt idx="344">
                  <c:v>115.93</c:v>
                </c:pt>
                <c:pt idx="345">
                  <c:v>450.41</c:v>
                </c:pt>
                <c:pt idx="346">
                  <c:v>100.39</c:v>
                </c:pt>
                <c:pt idx="347">
                  <c:v>10.26</c:v>
                </c:pt>
                <c:pt idx="348">
                  <c:v>149.44</c:v>
                </c:pt>
                <c:pt idx="349">
                  <c:v>223.87</c:v>
                </c:pt>
                <c:pt idx="350">
                  <c:v>33.19</c:v>
                </c:pt>
                <c:pt idx="351">
                  <c:v>213.84</c:v>
                </c:pt>
                <c:pt idx="352">
                  <c:v>481.28</c:v>
                </c:pt>
                <c:pt idx="353">
                  <c:v>357.73</c:v>
                </c:pt>
                <c:pt idx="354">
                  <c:v>268.98</c:v>
                </c:pt>
                <c:pt idx="355">
                  <c:v>418.92</c:v>
                </c:pt>
                <c:pt idx="356">
                  <c:v>2.74</c:v>
                </c:pt>
                <c:pt idx="357">
                  <c:v>317.20999999999998</c:v>
                </c:pt>
                <c:pt idx="358">
                  <c:v>72.42</c:v>
                </c:pt>
                <c:pt idx="359">
                  <c:v>539.51</c:v>
                </c:pt>
                <c:pt idx="360">
                  <c:v>453.81</c:v>
                </c:pt>
                <c:pt idx="361">
                  <c:v>21.04</c:v>
                </c:pt>
                <c:pt idx="362">
                  <c:v>120.46</c:v>
                </c:pt>
                <c:pt idx="363">
                  <c:v>438.18</c:v>
                </c:pt>
                <c:pt idx="364">
                  <c:v>65.67</c:v>
                </c:pt>
                <c:pt idx="365">
                  <c:v>418.16</c:v>
                </c:pt>
                <c:pt idx="366">
                  <c:v>939.91</c:v>
                </c:pt>
                <c:pt idx="367">
                  <c:v>462.56</c:v>
                </c:pt>
                <c:pt idx="368">
                  <c:v>264.45999999999998</c:v>
                </c:pt>
                <c:pt idx="369">
                  <c:v>110.52</c:v>
                </c:pt>
                <c:pt idx="370">
                  <c:v>316.5</c:v>
                </c:pt>
                <c:pt idx="371">
                  <c:v>161.97999999999999</c:v>
                </c:pt>
                <c:pt idx="372">
                  <c:v>36.25</c:v>
                </c:pt>
                <c:pt idx="373">
                  <c:v>328.56</c:v>
                </c:pt>
                <c:pt idx="374">
                  <c:v>65.25</c:v>
                </c:pt>
                <c:pt idx="375">
                  <c:v>351.25</c:v>
                </c:pt>
                <c:pt idx="376">
                  <c:v>3.68</c:v>
                </c:pt>
                <c:pt idx="377">
                  <c:v>734.96</c:v>
                </c:pt>
                <c:pt idx="378">
                  <c:v>446.98</c:v>
                </c:pt>
                <c:pt idx="379">
                  <c:v>145.09</c:v>
                </c:pt>
                <c:pt idx="380">
                  <c:v>413.63</c:v>
                </c:pt>
                <c:pt idx="381">
                  <c:v>180.62</c:v>
                </c:pt>
                <c:pt idx="382">
                  <c:v>375.26</c:v>
                </c:pt>
                <c:pt idx="383">
                  <c:v>118.95</c:v>
                </c:pt>
                <c:pt idx="384">
                  <c:v>238.47</c:v>
                </c:pt>
                <c:pt idx="385">
                  <c:v>351.6</c:v>
                </c:pt>
                <c:pt idx="386">
                  <c:v>37.590000000000003</c:v>
                </c:pt>
                <c:pt idx="387">
                  <c:v>360.47</c:v>
                </c:pt>
                <c:pt idx="388">
                  <c:v>379.02</c:v>
                </c:pt>
                <c:pt idx="389">
                  <c:v>739.34</c:v>
                </c:pt>
                <c:pt idx="390">
                  <c:v>37.65</c:v>
                </c:pt>
                <c:pt idx="391">
                  <c:v>669.11</c:v>
                </c:pt>
                <c:pt idx="392">
                  <c:v>247.02</c:v>
                </c:pt>
                <c:pt idx="393">
                  <c:v>27.07</c:v>
                </c:pt>
                <c:pt idx="394">
                  <c:v>24.44</c:v>
                </c:pt>
                <c:pt idx="395">
                  <c:v>106.82</c:v>
                </c:pt>
                <c:pt idx="396">
                  <c:v>25.19</c:v>
                </c:pt>
                <c:pt idx="397">
                  <c:v>863.04</c:v>
                </c:pt>
                <c:pt idx="398">
                  <c:v>431.53</c:v>
                </c:pt>
                <c:pt idx="399">
                  <c:v>456.31</c:v>
                </c:pt>
                <c:pt idx="400">
                  <c:v>277.27999999999997</c:v>
                </c:pt>
                <c:pt idx="401">
                  <c:v>394.63</c:v>
                </c:pt>
                <c:pt idx="402">
                  <c:v>130.30000000000001</c:v>
                </c:pt>
                <c:pt idx="403">
                  <c:v>193.4</c:v>
                </c:pt>
                <c:pt idx="404">
                  <c:v>272.95</c:v>
                </c:pt>
                <c:pt idx="405">
                  <c:v>157.61000000000001</c:v>
                </c:pt>
                <c:pt idx="406">
                  <c:v>237.89</c:v>
                </c:pt>
                <c:pt idx="407">
                  <c:v>627.51</c:v>
                </c:pt>
                <c:pt idx="408">
                  <c:v>55.25</c:v>
                </c:pt>
                <c:pt idx="409">
                  <c:v>96.33</c:v>
                </c:pt>
                <c:pt idx="410">
                  <c:v>266.69</c:v>
                </c:pt>
                <c:pt idx="411">
                  <c:v>227.18</c:v>
                </c:pt>
                <c:pt idx="412">
                  <c:v>719.27</c:v>
                </c:pt>
                <c:pt idx="413">
                  <c:v>143.9</c:v>
                </c:pt>
                <c:pt idx="414">
                  <c:v>133.69999999999999</c:v>
                </c:pt>
                <c:pt idx="415">
                  <c:v>418.91</c:v>
                </c:pt>
                <c:pt idx="416">
                  <c:v>25.21</c:v>
                </c:pt>
                <c:pt idx="417">
                  <c:v>357.37</c:v>
                </c:pt>
                <c:pt idx="418">
                  <c:v>453.67</c:v>
                </c:pt>
                <c:pt idx="419">
                  <c:v>61.12</c:v>
                </c:pt>
                <c:pt idx="420">
                  <c:v>478.8</c:v>
                </c:pt>
                <c:pt idx="421">
                  <c:v>110.36</c:v>
                </c:pt>
                <c:pt idx="422">
                  <c:v>523.42999999999995</c:v>
                </c:pt>
                <c:pt idx="423">
                  <c:v>396.36</c:v>
                </c:pt>
                <c:pt idx="424">
                  <c:v>112.84</c:v>
                </c:pt>
                <c:pt idx="425">
                  <c:v>271.94</c:v>
                </c:pt>
                <c:pt idx="426">
                  <c:v>225.96</c:v>
                </c:pt>
                <c:pt idx="427">
                  <c:v>355.73</c:v>
                </c:pt>
                <c:pt idx="428">
                  <c:v>825.85</c:v>
                </c:pt>
                <c:pt idx="429">
                  <c:v>117.73</c:v>
                </c:pt>
                <c:pt idx="430">
                  <c:v>61.91</c:v>
                </c:pt>
                <c:pt idx="431">
                  <c:v>253.93</c:v>
                </c:pt>
                <c:pt idx="432">
                  <c:v>275.94</c:v>
                </c:pt>
                <c:pt idx="433">
                  <c:v>335.72</c:v>
                </c:pt>
                <c:pt idx="434">
                  <c:v>167.34</c:v>
                </c:pt>
                <c:pt idx="435">
                  <c:v>143.78</c:v>
                </c:pt>
                <c:pt idx="436">
                  <c:v>91.16</c:v>
                </c:pt>
                <c:pt idx="437">
                  <c:v>395.89</c:v>
                </c:pt>
                <c:pt idx="438">
                  <c:v>295.98</c:v>
                </c:pt>
                <c:pt idx="439">
                  <c:v>378.27</c:v>
                </c:pt>
                <c:pt idx="440">
                  <c:v>276.17</c:v>
                </c:pt>
                <c:pt idx="441">
                  <c:v>191.37</c:v>
                </c:pt>
                <c:pt idx="442">
                  <c:v>63.58</c:v>
                </c:pt>
                <c:pt idx="443">
                  <c:v>539.29999999999995</c:v>
                </c:pt>
                <c:pt idx="444">
                  <c:v>362.38</c:v>
                </c:pt>
                <c:pt idx="445">
                  <c:v>29.39</c:v>
                </c:pt>
                <c:pt idx="446">
                  <c:v>105.93</c:v>
                </c:pt>
                <c:pt idx="447">
                  <c:v>339</c:v>
                </c:pt>
                <c:pt idx="448">
                  <c:v>454.54</c:v>
                </c:pt>
                <c:pt idx="449">
                  <c:v>273.3</c:v>
                </c:pt>
                <c:pt idx="450">
                  <c:v>41.4</c:v>
                </c:pt>
                <c:pt idx="451">
                  <c:v>673.96</c:v>
                </c:pt>
                <c:pt idx="452">
                  <c:v>86.45</c:v>
                </c:pt>
                <c:pt idx="453">
                  <c:v>948.48</c:v>
                </c:pt>
                <c:pt idx="454">
                  <c:v>24.34</c:v>
                </c:pt>
                <c:pt idx="455">
                  <c:v>119.1</c:v>
                </c:pt>
                <c:pt idx="456">
                  <c:v>37.65</c:v>
                </c:pt>
                <c:pt idx="457">
                  <c:v>423.36</c:v>
                </c:pt>
                <c:pt idx="458">
                  <c:v>131.68</c:v>
                </c:pt>
                <c:pt idx="459">
                  <c:v>134.09</c:v>
                </c:pt>
                <c:pt idx="460">
                  <c:v>416.97</c:v>
                </c:pt>
                <c:pt idx="461">
                  <c:v>234.29</c:v>
                </c:pt>
                <c:pt idx="462">
                  <c:v>53.26</c:v>
                </c:pt>
                <c:pt idx="463">
                  <c:v>179.47</c:v>
                </c:pt>
                <c:pt idx="464">
                  <c:v>418.93</c:v>
                </c:pt>
                <c:pt idx="465">
                  <c:v>95.32</c:v>
                </c:pt>
                <c:pt idx="466">
                  <c:v>266.39</c:v>
                </c:pt>
                <c:pt idx="467">
                  <c:v>503.1</c:v>
                </c:pt>
                <c:pt idx="468">
                  <c:v>187.67</c:v>
                </c:pt>
                <c:pt idx="469">
                  <c:v>354.56</c:v>
                </c:pt>
                <c:pt idx="470">
                  <c:v>64.97</c:v>
                </c:pt>
                <c:pt idx="471">
                  <c:v>191.96</c:v>
                </c:pt>
                <c:pt idx="472">
                  <c:v>106.89</c:v>
                </c:pt>
                <c:pt idx="473">
                  <c:v>460.98</c:v>
                </c:pt>
                <c:pt idx="474">
                  <c:v>87.48</c:v>
                </c:pt>
                <c:pt idx="475">
                  <c:v>106.93</c:v>
                </c:pt>
                <c:pt idx="476">
                  <c:v>300.14999999999998</c:v>
                </c:pt>
                <c:pt idx="477">
                  <c:v>79.680000000000007</c:v>
                </c:pt>
                <c:pt idx="478">
                  <c:v>191.19</c:v>
                </c:pt>
                <c:pt idx="479">
                  <c:v>469.03</c:v>
                </c:pt>
                <c:pt idx="480">
                  <c:v>109.04</c:v>
                </c:pt>
                <c:pt idx="481">
                  <c:v>538.33000000000004</c:v>
                </c:pt>
                <c:pt idx="482">
                  <c:v>220.45</c:v>
                </c:pt>
                <c:pt idx="483">
                  <c:v>487.61</c:v>
                </c:pt>
                <c:pt idx="484">
                  <c:v>47.97</c:v>
                </c:pt>
                <c:pt idx="485">
                  <c:v>78.2</c:v>
                </c:pt>
                <c:pt idx="486">
                  <c:v>332.47</c:v>
                </c:pt>
                <c:pt idx="487">
                  <c:v>403.69</c:v>
                </c:pt>
                <c:pt idx="488">
                  <c:v>47.8</c:v>
                </c:pt>
                <c:pt idx="489">
                  <c:v>79.66</c:v>
                </c:pt>
                <c:pt idx="490">
                  <c:v>39.369999999999997</c:v>
                </c:pt>
                <c:pt idx="491">
                  <c:v>327.82</c:v>
                </c:pt>
                <c:pt idx="492">
                  <c:v>306.13</c:v>
                </c:pt>
                <c:pt idx="493">
                  <c:v>160.78</c:v>
                </c:pt>
                <c:pt idx="494">
                  <c:v>139.06</c:v>
                </c:pt>
                <c:pt idx="495">
                  <c:v>7.34</c:v>
                </c:pt>
                <c:pt idx="496">
                  <c:v>739.55</c:v>
                </c:pt>
                <c:pt idx="497">
                  <c:v>739.18</c:v>
                </c:pt>
                <c:pt idx="498">
                  <c:v>76.650000000000006</c:v>
                </c:pt>
                <c:pt idx="499">
                  <c:v>54.13</c:v>
                </c:pt>
              </c:numCache>
            </c:numRef>
          </c:yVal>
          <c:smooth val="0"/>
        </c:ser>
        <c:dLbls>
          <c:showLegendKey val="0"/>
          <c:showVal val="0"/>
          <c:showCatName val="0"/>
          <c:showSerName val="0"/>
          <c:showPercent val="0"/>
          <c:showBubbleSize val="0"/>
        </c:dLbls>
        <c:axId val="300744480"/>
        <c:axId val="300746048"/>
      </c:scatterChart>
      <c:valAx>
        <c:axId val="300744480"/>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sz="1100" b="0">
                    <a:solidFill>
                      <a:srgbClr val="2C3E50"/>
                    </a:solidFill>
                    <a:latin typeface="Segoe UI" panose="020B0502040204020203" pitchFamily="34" charset="0"/>
                    <a:cs typeface="Segoe UI" panose="020B0502040204020203" pitchFamily="34" charset="0"/>
                  </a:rPr>
                  <a:t>Shipping Cost ($)</a:t>
                </a:r>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409]#,##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00746048"/>
        <c:crosses val="autoZero"/>
        <c:crossBetween val="midCat"/>
      </c:valAx>
      <c:valAx>
        <c:axId val="30074604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IN" sz="1100" b="0">
                    <a:solidFill>
                      <a:srgbClr val="2C3E50"/>
                    </a:solidFill>
                    <a:latin typeface="Segoe UI" panose="020B0502040204020203" pitchFamily="34" charset="0"/>
                    <a:cs typeface="Segoe UI" panose="020B0502040204020203" pitchFamily="34" charset="0"/>
                  </a:rPr>
                  <a:t>Profit ($)</a:t>
                </a:r>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409]#,##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00744480"/>
        <c:crosses val="autoZero"/>
        <c:crossBetween val="midCat"/>
      </c:valAx>
      <c:spPr>
        <a:noFill/>
        <a:ln>
          <a:noFill/>
        </a:ln>
        <a:effectLst/>
      </c:spPr>
    </c:plotArea>
    <c:plotVisOnly val="1"/>
    <c:dispBlanksAs val="gap"/>
    <c:showDLblsOverMax val="0"/>
  </c:chart>
  <c:spPr>
    <a:solidFill>
      <a:schemeClr val="bg1"/>
    </a:solidFill>
    <a:ln w="12700" cap="flat" cmpd="sng" algn="ctr">
      <a:solidFill>
        <a:srgbClr val="BDC3C7"/>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sz="1400">
                <a:solidFill>
                  <a:srgbClr val="2C3E50"/>
                </a:solidFill>
                <a:latin typeface="Segoe UI" panose="020B0502040204020203" pitchFamily="34" charset="0"/>
                <a:cs typeface="Segoe UI" panose="020B0502040204020203" pitchFamily="34" charset="0"/>
              </a:rPr>
              <a:t>Order Priority Distribution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doughnutChart>
        <c:varyColors val="1"/>
        <c:ser>
          <c:idx val="0"/>
          <c:order val="0"/>
          <c:dPt>
            <c:idx val="0"/>
            <c:bubble3D val="0"/>
            <c:spPr>
              <a:solidFill>
                <a:srgbClr val="D6E4F7"/>
              </a:solidFill>
              <a:ln>
                <a:noFill/>
              </a:ln>
              <a:effectLst>
                <a:outerShdw blurRad="40000" dist="23000" dir="5400000" rotWithShape="0">
                  <a:srgbClr val="000000">
                    <a:alpha val="35000"/>
                  </a:srgbClr>
                </a:outerShdw>
              </a:effectLst>
            </c:spPr>
          </c:dPt>
          <c:dPt>
            <c:idx val="1"/>
            <c:bubble3D val="0"/>
            <c:spPr>
              <a:solidFill>
                <a:srgbClr val="2E75B6"/>
              </a:solidFill>
              <a:ln>
                <a:noFill/>
              </a:ln>
              <a:effectLst>
                <a:outerShdw blurRad="40000" dist="23000" dir="5400000" rotWithShape="0">
                  <a:srgbClr val="000000">
                    <a:alpha val="35000"/>
                  </a:srgbClr>
                </a:outerShdw>
              </a:effectLst>
            </c:spPr>
          </c:dPt>
          <c:dPt>
            <c:idx val="2"/>
            <c:bubble3D val="0"/>
            <c:spPr>
              <a:solidFill>
                <a:srgbClr val="1F3864"/>
              </a:solidFill>
              <a:ln>
                <a:noFill/>
              </a:ln>
              <a:effectLst>
                <a:outerShdw blurRad="40000" dist="23000" dir="5400000" rotWithShape="0">
                  <a:srgbClr val="000000">
                    <a:alpha val="35000"/>
                  </a:srgbClr>
                </a:outerShdw>
              </a:effectLst>
            </c:spPr>
          </c:dPt>
          <c:dLbls>
            <c:dLbl>
              <c:idx val="0"/>
              <c:layout>
                <c:manualLayout>
                  <c:x val="7.0784313725490045E-2"/>
                  <c:y val="-3.3677248677248736E-2"/>
                </c:manualLayout>
              </c:layout>
              <c:showLegendKey val="1"/>
              <c:showVal val="0"/>
              <c:showCatName val="0"/>
              <c:showSerName val="0"/>
              <c:showPercent val="1"/>
              <c:showBubbleSize val="0"/>
              <c:extLst>
                <c:ext xmlns:c15="http://schemas.microsoft.com/office/drawing/2012/chart" uri="{CE6537A1-D6FC-4f65-9D91-7224C49458BB}"/>
              </c:extLst>
            </c:dLbl>
            <c:dLbl>
              <c:idx val="1"/>
              <c:layout>
                <c:manualLayout>
                  <c:x val="-1.3888888888888888E-2"/>
                  <c:y val="9.7222222222222224E-2"/>
                </c:manualLayout>
              </c:layout>
              <c:showLegendKey val="1"/>
              <c:showVal val="0"/>
              <c:showCatName val="0"/>
              <c:showSerName val="0"/>
              <c:showPercent val="1"/>
              <c:showBubbleSize val="0"/>
              <c:extLst>
                <c:ext xmlns:c15="http://schemas.microsoft.com/office/drawing/2012/chart" uri="{CE6537A1-D6FC-4f65-9D91-7224C49458BB}"/>
              </c:extLst>
            </c:dLbl>
            <c:dLbl>
              <c:idx val="2"/>
              <c:layout>
                <c:manualLayout>
                  <c:x val="-8.3333333333333329E-2"/>
                  <c:y val="-3.2407407407407406E-2"/>
                </c:manualLayout>
              </c:layout>
              <c:showLegendKey val="1"/>
              <c:showVal val="0"/>
              <c:showCatName val="0"/>
              <c:showSerName val="0"/>
              <c:showPercent val="1"/>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'Supporting Analysis'!$F$74:$F$76</c:f>
              <c:strCache>
                <c:ptCount val="3"/>
                <c:pt idx="0">
                  <c:v>Low</c:v>
                </c:pt>
                <c:pt idx="1">
                  <c:v>Medium</c:v>
                </c:pt>
                <c:pt idx="2">
                  <c:v>High</c:v>
                </c:pt>
              </c:strCache>
            </c:strRef>
          </c:cat>
          <c:val>
            <c:numRef>
              <c:f>'Supporting Analysis'!$G$74:$G$76</c:f>
              <c:numCache>
                <c:formatCode>General</c:formatCode>
                <c:ptCount val="3"/>
                <c:pt idx="0">
                  <c:v>168</c:v>
                </c:pt>
                <c:pt idx="1">
                  <c:v>171</c:v>
                </c:pt>
                <c:pt idx="2">
                  <c:v>161</c:v>
                </c:pt>
              </c:numCache>
            </c:numRef>
          </c:val>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0.25245392156862739"/>
          <c:y val="0.89626613756613749"/>
          <c:w val="0.48056601307189545"/>
          <c:h val="8.357513227513227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rgbClr val="BDC3C7"/>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'Supporting Analysis'!$D$3</c:f>
              <c:strCache>
                <c:ptCount val="1"/>
                <c:pt idx="0">
                  <c:v>Total_Sales (Sum)</c:v>
                </c:pt>
              </c:strCache>
            </c:strRef>
          </c:tx>
          <c:spPr>
            <a:solidFill>
              <a:schemeClr val="accent1"/>
            </a:solidFill>
            <a:ln>
              <a:noFill/>
            </a:ln>
            <a:effectLst/>
          </c:spPr>
          <c:invertIfNegative val="0"/>
          <c:cat>
            <c:strRef>
              <c:f>'Supporting Analysis'!$C$4:$C$9</c:f>
              <c:strCache>
                <c:ptCount val="6"/>
                <c:pt idx="0">
                  <c:v>NA</c:v>
                </c:pt>
                <c:pt idx="1">
                  <c:v>EU</c:v>
                </c:pt>
                <c:pt idx="2">
                  <c:v>AS</c:v>
                </c:pt>
                <c:pt idx="3">
                  <c:v>AF</c:v>
                </c:pt>
                <c:pt idx="4">
                  <c:v>SA</c:v>
                </c:pt>
                <c:pt idx="5">
                  <c:v>OC</c:v>
                </c:pt>
              </c:strCache>
            </c:strRef>
          </c:cat>
          <c:val>
            <c:numRef>
              <c:f>'Supporting Analysis'!$D$4:$D$9</c:f>
              <c:numCache>
                <c:formatCode>[$$-409]#,##0.00</c:formatCode>
                <c:ptCount val="6"/>
                <c:pt idx="0">
                  <c:v>86945.07</c:v>
                </c:pt>
                <c:pt idx="1">
                  <c:v>115214.62</c:v>
                </c:pt>
                <c:pt idx="2">
                  <c:v>171168.4</c:v>
                </c:pt>
                <c:pt idx="3">
                  <c:v>29495.040000000001</c:v>
                </c:pt>
                <c:pt idx="4">
                  <c:v>34864.03</c:v>
                </c:pt>
                <c:pt idx="5">
                  <c:v>37017.46</c:v>
                </c:pt>
              </c:numCache>
            </c:numRef>
          </c:val>
        </c:ser>
        <c:ser>
          <c:idx val="1"/>
          <c:order val="1"/>
          <c:tx>
            <c:strRef>
              <c:f>'Supporting Analysis'!$E$3</c:f>
              <c:strCache>
                <c:ptCount val="1"/>
                <c:pt idx="0">
                  <c:v>Total_Profit (Sum)</c:v>
                </c:pt>
              </c:strCache>
            </c:strRef>
          </c:tx>
          <c:spPr>
            <a:solidFill>
              <a:schemeClr val="accent2"/>
            </a:solidFill>
            <a:ln>
              <a:noFill/>
            </a:ln>
            <a:effectLst/>
          </c:spPr>
          <c:invertIfNegative val="0"/>
          <c:cat>
            <c:strRef>
              <c:f>'Supporting Analysis'!$C$4:$C$9</c:f>
              <c:strCache>
                <c:ptCount val="6"/>
                <c:pt idx="0">
                  <c:v>NA</c:v>
                </c:pt>
                <c:pt idx="1">
                  <c:v>EU</c:v>
                </c:pt>
                <c:pt idx="2">
                  <c:v>AS</c:v>
                </c:pt>
                <c:pt idx="3">
                  <c:v>AF</c:v>
                </c:pt>
                <c:pt idx="4">
                  <c:v>SA</c:v>
                </c:pt>
                <c:pt idx="5">
                  <c:v>OC</c:v>
                </c:pt>
              </c:strCache>
            </c:strRef>
          </c:cat>
          <c:val>
            <c:numRef>
              <c:f>'Supporting Analysis'!$E$4:$E$9</c:f>
              <c:numCache>
                <c:formatCode>[$$-409]#,##0.00</c:formatCode>
                <c:ptCount val="6"/>
                <c:pt idx="0">
                  <c:v>24053.24</c:v>
                </c:pt>
                <c:pt idx="1">
                  <c:v>32134.75</c:v>
                </c:pt>
                <c:pt idx="2">
                  <c:v>47915.859999999993</c:v>
                </c:pt>
                <c:pt idx="3">
                  <c:v>8967.32</c:v>
                </c:pt>
                <c:pt idx="4">
                  <c:v>10336.530000000001</c:v>
                </c:pt>
                <c:pt idx="5">
                  <c:v>10162.700000000001</c:v>
                </c:pt>
              </c:numCache>
            </c:numRef>
          </c:val>
        </c:ser>
        <c:dLbls>
          <c:showLegendKey val="0"/>
          <c:showVal val="0"/>
          <c:showCatName val="0"/>
          <c:showSerName val="0"/>
          <c:showPercent val="0"/>
          <c:showBubbleSize val="0"/>
        </c:dLbls>
        <c:gapWidth val="219"/>
        <c:overlap val="-27"/>
        <c:axId val="300744088"/>
        <c:axId val="300743304"/>
      </c:barChart>
      <c:catAx>
        <c:axId val="300744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743304"/>
        <c:crosses val="autoZero"/>
        <c:auto val="1"/>
        <c:lblAlgn val="ctr"/>
        <c:lblOffset val="100"/>
        <c:noMultiLvlLbl val="0"/>
      </c:catAx>
      <c:valAx>
        <c:axId val="300743304"/>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7440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'Supporting Analysis'!$I$31:$I$35</c:f>
              <c:strCache>
                <c:ptCount val="5"/>
                <c:pt idx="0">
                  <c:v>Accessories</c:v>
                </c:pt>
                <c:pt idx="1">
                  <c:v>Apparel</c:v>
                </c:pt>
                <c:pt idx="2">
                  <c:v>Electronics</c:v>
                </c:pt>
                <c:pt idx="3">
                  <c:v>Home Decor</c:v>
                </c:pt>
                <c:pt idx="4">
                  <c:v>Textiles</c:v>
                </c:pt>
              </c:strCache>
            </c:strRef>
          </c:cat>
          <c:val>
            <c:numRef>
              <c:f>'Supporting Analysis'!$J$31:$J$35</c:f>
              <c:numCache>
                <c:formatCode>[$$-409]#,##0.00</c:formatCode>
                <c:ptCount val="5"/>
                <c:pt idx="0">
                  <c:v>110194.89</c:v>
                </c:pt>
                <c:pt idx="1">
                  <c:v>72352.37</c:v>
                </c:pt>
                <c:pt idx="2">
                  <c:v>115027.91</c:v>
                </c:pt>
                <c:pt idx="3">
                  <c:v>129897.44</c:v>
                </c:pt>
                <c:pt idx="4">
                  <c:v>47232.01</c:v>
                </c:pt>
              </c:numCache>
            </c:numRef>
          </c:val>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'Supporting Analysis'!$D$48</c:f>
              <c:strCache>
                <c:ptCount val="1"/>
                <c:pt idx="0">
                  <c:v>Sales</c:v>
                </c:pt>
              </c:strCache>
            </c:strRef>
          </c:tx>
          <c:spPr>
            <a:solidFill>
              <a:schemeClr val="accent1"/>
            </a:solidFill>
            <a:ln>
              <a:noFill/>
            </a:ln>
            <a:effectLst/>
          </c:spPr>
          <c:invertIfNegative val="0"/>
          <c:cat>
            <c:strRef>
              <c:f>'Supporting Analysis'!$C$49:$C$53</c:f>
              <c:strCache>
                <c:ptCount val="5"/>
                <c:pt idx="0">
                  <c:v>Denim Jacket</c:v>
                </c:pt>
                <c:pt idx="1">
                  <c:v>Travel Backpack</c:v>
                </c:pt>
                <c:pt idx="2">
                  <c:v>Table Lamp</c:v>
                </c:pt>
                <c:pt idx="3">
                  <c:v>Cotton Bedsheet</c:v>
                </c:pt>
                <c:pt idx="4">
                  <c:v>Bluetooth Speaker</c:v>
                </c:pt>
              </c:strCache>
            </c:strRef>
          </c:cat>
          <c:val>
            <c:numRef>
              <c:f>'Supporting Analysis'!$D$49:$D$53</c:f>
              <c:numCache>
                <c:formatCode>[$$-409]#,##0.00</c:formatCode>
                <c:ptCount val="5"/>
                <c:pt idx="0">
                  <c:v>72352.37000000001</c:v>
                </c:pt>
                <c:pt idx="1">
                  <c:v>70597.12000000001</c:v>
                </c:pt>
                <c:pt idx="2">
                  <c:v>52792.43</c:v>
                </c:pt>
                <c:pt idx="3">
                  <c:v>47232.010000000009</c:v>
                </c:pt>
                <c:pt idx="4">
                  <c:v>44578.25</c:v>
                </c:pt>
              </c:numCache>
            </c:numRef>
          </c:val>
        </c:ser>
        <c:dLbls>
          <c:showLegendKey val="0"/>
          <c:showVal val="0"/>
          <c:showCatName val="0"/>
          <c:showSerName val="0"/>
          <c:showPercent val="0"/>
          <c:showBubbleSize val="0"/>
        </c:dLbls>
        <c:gapWidth val="182"/>
        <c:axId val="300740560"/>
        <c:axId val="300746440"/>
      </c:barChart>
      <c:catAx>
        <c:axId val="300740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746440"/>
        <c:crosses val="autoZero"/>
        <c:auto val="1"/>
        <c:lblAlgn val="ctr"/>
        <c:lblOffset val="100"/>
        <c:noMultiLvlLbl val="0"/>
      </c:catAx>
      <c:valAx>
        <c:axId val="300746440"/>
        <c:scaling>
          <c:orientation val="minMax"/>
        </c:scaling>
        <c:delete val="0"/>
        <c:axPos val="b"/>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740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'Supporting Analysis'!$P$64</c:f>
              <c:strCache>
                <c:ptCount val="1"/>
                <c:pt idx="0">
                  <c:v>Average Profit Margin</c:v>
                </c:pt>
              </c:strCache>
            </c:strRef>
          </c:tx>
          <c:spPr>
            <a:solidFill>
              <a:schemeClr val="accent1"/>
            </a:solidFill>
            <a:ln>
              <a:noFill/>
            </a:ln>
            <a:effectLst/>
          </c:spPr>
          <c:invertIfNegative val="0"/>
          <c:cat>
            <c:strRef>
              <c:f>'Supporting Analysis'!$O$65:$O$70</c:f>
              <c:strCache>
                <c:ptCount val="6"/>
                <c:pt idx="0">
                  <c:v>NA</c:v>
                </c:pt>
                <c:pt idx="1">
                  <c:v>EU</c:v>
                </c:pt>
                <c:pt idx="2">
                  <c:v>AS</c:v>
                </c:pt>
                <c:pt idx="3">
                  <c:v>AF</c:v>
                </c:pt>
                <c:pt idx="4">
                  <c:v>SA</c:v>
                </c:pt>
                <c:pt idx="5">
                  <c:v>OC</c:v>
                </c:pt>
              </c:strCache>
            </c:strRef>
          </c:cat>
          <c:val>
            <c:numRef>
              <c:f>'Supporting Analysis'!$P$65:$P$70</c:f>
              <c:numCache>
                <c:formatCode>0.00%</c:formatCode>
                <c:ptCount val="6"/>
                <c:pt idx="0">
                  <c:v>0.26854646749217259</c:v>
                </c:pt>
                <c:pt idx="1">
                  <c:v>0.27512997100174685</c:v>
                </c:pt>
                <c:pt idx="2">
                  <c:v>0.27023591536060088</c:v>
                </c:pt>
                <c:pt idx="3">
                  <c:v>0.29066277278231434</c:v>
                </c:pt>
                <c:pt idx="4">
                  <c:v>0.27734290368891584</c:v>
                </c:pt>
                <c:pt idx="5">
                  <c:v>0.2635977089513406</c:v>
                </c:pt>
              </c:numCache>
            </c:numRef>
          </c:val>
        </c:ser>
        <c:dLbls>
          <c:showLegendKey val="0"/>
          <c:showVal val="0"/>
          <c:showCatName val="0"/>
          <c:showSerName val="0"/>
          <c:showPercent val="0"/>
          <c:showBubbleSize val="0"/>
        </c:dLbls>
        <c:gapWidth val="150"/>
        <c:overlap val="100"/>
        <c:axId val="300745264"/>
        <c:axId val="300746832"/>
      </c:barChart>
      <c:catAx>
        <c:axId val="300745264"/>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746832"/>
        <c:crosses val="autoZero"/>
        <c:auto val="1"/>
        <c:lblAlgn val="ctr"/>
        <c:lblOffset val="100"/>
        <c:noMultiLvlLbl val="0"/>
      </c:catAx>
      <c:valAx>
        <c:axId val="300746832"/>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745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Order</a:t>
            </a:r>
            <a:r>
              <a:rPr lang="en-IN" b="1" baseline="0"/>
              <a:t> Priority Distribution</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dLbl>
              <c:idx val="0"/>
              <c:layout>
                <c:manualLayout>
                  <c:x val="5.8333333333333334E-2"/>
                  <c:y val="-3.7037037037037035E-2"/>
                </c:manualLayout>
              </c:layout>
              <c:showLegendKey val="1"/>
              <c:showVal val="0"/>
              <c:showCatName val="0"/>
              <c:showSerName val="0"/>
              <c:showPercent val="1"/>
              <c:showBubbleSize val="0"/>
              <c:extLst>
                <c:ext xmlns:c15="http://schemas.microsoft.com/office/drawing/2012/chart" uri="{CE6537A1-D6FC-4f65-9D91-7224C49458BB}"/>
              </c:extLst>
            </c:dLbl>
            <c:dLbl>
              <c:idx val="1"/>
              <c:layout>
                <c:manualLayout>
                  <c:x val="-1.3888888888888888E-2"/>
                  <c:y val="9.7222222222222224E-2"/>
                </c:manualLayout>
              </c:layout>
              <c:showLegendKey val="1"/>
              <c:showVal val="0"/>
              <c:showCatName val="0"/>
              <c:showSerName val="0"/>
              <c:showPercent val="1"/>
              <c:showBubbleSize val="0"/>
              <c:extLst>
                <c:ext xmlns:c15="http://schemas.microsoft.com/office/drawing/2012/chart" uri="{CE6537A1-D6FC-4f65-9D91-7224C49458BB}"/>
              </c:extLst>
            </c:dLbl>
            <c:dLbl>
              <c:idx val="2"/>
              <c:layout>
                <c:manualLayout>
                  <c:x val="-8.3333333333333329E-2"/>
                  <c:y val="-3.2407407407407406E-2"/>
                </c:manualLayout>
              </c:layout>
              <c:showLegendKey val="1"/>
              <c:showVal val="0"/>
              <c:showCatName val="0"/>
              <c:showSerName val="0"/>
              <c:showPercent val="1"/>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'Supporting Analysis'!$F$74:$F$76</c:f>
              <c:strCache>
                <c:ptCount val="3"/>
                <c:pt idx="0">
                  <c:v>Low</c:v>
                </c:pt>
                <c:pt idx="1">
                  <c:v>Medium</c:v>
                </c:pt>
                <c:pt idx="2">
                  <c:v>High</c:v>
                </c:pt>
              </c:strCache>
            </c:strRef>
          </c:cat>
          <c:val>
            <c:numRef>
              <c:f>'Supporting Analysis'!$G$74:$G$76</c:f>
              <c:numCache>
                <c:formatCode>General</c:formatCode>
                <c:ptCount val="3"/>
                <c:pt idx="0">
                  <c:v>168</c:v>
                </c:pt>
                <c:pt idx="1">
                  <c:v>171</c:v>
                </c:pt>
                <c:pt idx="2">
                  <c:v>161</c:v>
                </c:pt>
              </c:numCache>
            </c:numRef>
          </c:val>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Monthly_Performance!$K$1</c:f>
              <c:strCache>
                <c:ptCount val="1"/>
                <c:pt idx="0">
                  <c:v>Total_Sales</c:v>
                </c:pt>
              </c:strCache>
            </c:strRef>
          </c:tx>
          <c:spPr>
            <a:ln w="28575" cap="rnd">
              <a:solidFill>
                <a:schemeClr val="accent1"/>
              </a:solidFill>
              <a:round/>
            </a:ln>
            <a:effectLst/>
          </c:spPr>
          <c:marker>
            <c:symbol val="none"/>
          </c:marker>
          <c:cat>
            <c:strRef>
              <c:f>Monthly_Performance!$J$2:$J$94</c:f>
              <c:strCache>
                <c:ptCount val="93"/>
                <c:pt idx="0">
                  <c:v>2024-01</c:v>
                </c:pt>
                <c:pt idx="1">
                  <c:v>2024-01</c:v>
                </c:pt>
                <c:pt idx="2">
                  <c:v>2024-01</c:v>
                </c:pt>
                <c:pt idx="3">
                  <c:v>2024-01</c:v>
                </c:pt>
                <c:pt idx="4">
                  <c:v>2024-01</c:v>
                </c:pt>
                <c:pt idx="5">
                  <c:v>2024-02</c:v>
                </c:pt>
                <c:pt idx="6">
                  <c:v>2024-02</c:v>
                </c:pt>
                <c:pt idx="7">
                  <c:v>2024-02</c:v>
                </c:pt>
                <c:pt idx="8">
                  <c:v>2024-02</c:v>
                </c:pt>
                <c:pt idx="9">
                  <c:v>2024-02</c:v>
                </c:pt>
                <c:pt idx="10">
                  <c:v>2024-03</c:v>
                </c:pt>
                <c:pt idx="11">
                  <c:v>2024-03</c:v>
                </c:pt>
                <c:pt idx="12">
                  <c:v>2024-03</c:v>
                </c:pt>
                <c:pt idx="13">
                  <c:v>2024-03</c:v>
                </c:pt>
                <c:pt idx="14">
                  <c:v>2024-03</c:v>
                </c:pt>
                <c:pt idx="15">
                  <c:v>2024-03</c:v>
                </c:pt>
                <c:pt idx="16">
                  <c:v>2024-04</c:v>
                </c:pt>
                <c:pt idx="17">
                  <c:v>2024-04</c:v>
                </c:pt>
                <c:pt idx="18">
                  <c:v>2024-04</c:v>
                </c:pt>
                <c:pt idx="19">
                  <c:v>2024-04</c:v>
                </c:pt>
                <c:pt idx="20">
                  <c:v>2024-04</c:v>
                </c:pt>
                <c:pt idx="21">
                  <c:v>2024-05</c:v>
                </c:pt>
                <c:pt idx="22">
                  <c:v>2024-05</c:v>
                </c:pt>
                <c:pt idx="23">
                  <c:v>2024-05</c:v>
                </c:pt>
                <c:pt idx="24">
                  <c:v>2024-05</c:v>
                </c:pt>
                <c:pt idx="25">
                  <c:v>2024-05</c:v>
                </c:pt>
                <c:pt idx="26">
                  <c:v>2024-06</c:v>
                </c:pt>
                <c:pt idx="27">
                  <c:v>2024-06</c:v>
                </c:pt>
                <c:pt idx="28">
                  <c:v>2024-06</c:v>
                </c:pt>
                <c:pt idx="29">
                  <c:v>2024-06</c:v>
                </c:pt>
                <c:pt idx="30">
                  <c:v>2024-06</c:v>
                </c:pt>
                <c:pt idx="31">
                  <c:v>2024-06</c:v>
                </c:pt>
                <c:pt idx="32">
                  <c:v>2024-07</c:v>
                </c:pt>
                <c:pt idx="33">
                  <c:v>2024-07</c:v>
                </c:pt>
                <c:pt idx="34">
                  <c:v>2024-07</c:v>
                </c:pt>
                <c:pt idx="35">
                  <c:v>2024-07</c:v>
                </c:pt>
                <c:pt idx="36">
                  <c:v>2024-07</c:v>
                </c:pt>
                <c:pt idx="37">
                  <c:v>2024-07</c:v>
                </c:pt>
                <c:pt idx="38">
                  <c:v>2024-08</c:v>
                </c:pt>
                <c:pt idx="39">
                  <c:v>2024-08</c:v>
                </c:pt>
                <c:pt idx="40">
                  <c:v>2024-08</c:v>
                </c:pt>
                <c:pt idx="41">
                  <c:v>2024-08</c:v>
                </c:pt>
                <c:pt idx="42">
                  <c:v>2024-09</c:v>
                </c:pt>
                <c:pt idx="43">
                  <c:v>2024-09</c:v>
                </c:pt>
                <c:pt idx="44">
                  <c:v>2024-09</c:v>
                </c:pt>
                <c:pt idx="45">
                  <c:v>2024-09</c:v>
                </c:pt>
                <c:pt idx="46">
                  <c:v>2024-09</c:v>
                </c:pt>
                <c:pt idx="47">
                  <c:v>2024-09</c:v>
                </c:pt>
                <c:pt idx="48">
                  <c:v>2024-10</c:v>
                </c:pt>
                <c:pt idx="49">
                  <c:v>2024-10</c:v>
                </c:pt>
                <c:pt idx="50">
                  <c:v>2024-10</c:v>
                </c:pt>
                <c:pt idx="51">
                  <c:v>2024-10</c:v>
                </c:pt>
                <c:pt idx="52">
                  <c:v>2024-10</c:v>
                </c:pt>
                <c:pt idx="53">
                  <c:v>2024-10</c:v>
                </c:pt>
                <c:pt idx="54">
                  <c:v>2024-11</c:v>
                </c:pt>
                <c:pt idx="55">
                  <c:v>2024-11</c:v>
                </c:pt>
                <c:pt idx="56">
                  <c:v>2024-11</c:v>
                </c:pt>
                <c:pt idx="57">
                  <c:v>2024-11</c:v>
                </c:pt>
                <c:pt idx="58">
                  <c:v>2024-11</c:v>
                </c:pt>
                <c:pt idx="59">
                  <c:v>2024-11</c:v>
                </c:pt>
                <c:pt idx="60">
                  <c:v>2024-12</c:v>
                </c:pt>
                <c:pt idx="61">
                  <c:v>2024-12</c:v>
                </c:pt>
                <c:pt idx="62">
                  <c:v>2024-12</c:v>
                </c:pt>
                <c:pt idx="63">
                  <c:v>2024-12</c:v>
                </c:pt>
                <c:pt idx="64">
                  <c:v>2024-12</c:v>
                </c:pt>
                <c:pt idx="65">
                  <c:v>2024-12</c:v>
                </c:pt>
                <c:pt idx="66">
                  <c:v>2025-01</c:v>
                </c:pt>
                <c:pt idx="67">
                  <c:v>2025-01</c:v>
                </c:pt>
                <c:pt idx="68">
                  <c:v>2025-01</c:v>
                </c:pt>
                <c:pt idx="69">
                  <c:v>2025-01</c:v>
                </c:pt>
                <c:pt idx="70">
                  <c:v>2025-01</c:v>
                </c:pt>
                <c:pt idx="71">
                  <c:v>2025-01</c:v>
                </c:pt>
                <c:pt idx="72">
                  <c:v>2025-02</c:v>
                </c:pt>
                <c:pt idx="73">
                  <c:v>2025-02</c:v>
                </c:pt>
                <c:pt idx="74">
                  <c:v>2025-02</c:v>
                </c:pt>
                <c:pt idx="75">
                  <c:v>2025-02</c:v>
                </c:pt>
                <c:pt idx="76">
                  <c:v>2025-02</c:v>
                </c:pt>
                <c:pt idx="77">
                  <c:v>2025-02</c:v>
                </c:pt>
                <c:pt idx="78">
                  <c:v>2025-03</c:v>
                </c:pt>
                <c:pt idx="79">
                  <c:v>2025-03</c:v>
                </c:pt>
                <c:pt idx="80">
                  <c:v>2025-03</c:v>
                </c:pt>
                <c:pt idx="81">
                  <c:v>2025-03</c:v>
                </c:pt>
                <c:pt idx="82">
                  <c:v>2025-03</c:v>
                </c:pt>
                <c:pt idx="83">
                  <c:v>2025-04</c:v>
                </c:pt>
                <c:pt idx="84">
                  <c:v>2025-04</c:v>
                </c:pt>
                <c:pt idx="85">
                  <c:v>2025-04</c:v>
                </c:pt>
                <c:pt idx="86">
                  <c:v>2025-04</c:v>
                </c:pt>
                <c:pt idx="87">
                  <c:v>2025-04</c:v>
                </c:pt>
                <c:pt idx="88">
                  <c:v>2025-04</c:v>
                </c:pt>
                <c:pt idx="89">
                  <c:v>2025-05</c:v>
                </c:pt>
                <c:pt idx="90">
                  <c:v>2025-05</c:v>
                </c:pt>
                <c:pt idx="91">
                  <c:v>2025-05</c:v>
                </c:pt>
                <c:pt idx="92">
                  <c:v>2025-05</c:v>
                </c:pt>
              </c:strCache>
            </c:strRef>
          </c:cat>
          <c:val>
            <c:numRef>
              <c:f>Monthly_Performance!$K$2:$K$94</c:f>
              <c:numCache>
                <c:formatCode>0.00</c:formatCode>
                <c:ptCount val="93"/>
                <c:pt idx="0">
                  <c:v>12118.86</c:v>
                </c:pt>
                <c:pt idx="1">
                  <c:v>5963.8</c:v>
                </c:pt>
                <c:pt idx="2">
                  <c:v>4059.57</c:v>
                </c:pt>
                <c:pt idx="3">
                  <c:v>656.88</c:v>
                </c:pt>
                <c:pt idx="4">
                  <c:v>843.2</c:v>
                </c:pt>
                <c:pt idx="5">
                  <c:v>3778.57</c:v>
                </c:pt>
                <c:pt idx="6">
                  <c:v>8766.07</c:v>
                </c:pt>
                <c:pt idx="7">
                  <c:v>10805.59</c:v>
                </c:pt>
                <c:pt idx="8">
                  <c:v>5390.3499999999995</c:v>
                </c:pt>
                <c:pt idx="9">
                  <c:v>1171.42</c:v>
                </c:pt>
                <c:pt idx="10">
                  <c:v>3519.18</c:v>
                </c:pt>
                <c:pt idx="11">
                  <c:v>7955.66</c:v>
                </c:pt>
                <c:pt idx="12">
                  <c:v>5417.25</c:v>
                </c:pt>
                <c:pt idx="13">
                  <c:v>1064.19</c:v>
                </c:pt>
                <c:pt idx="14">
                  <c:v>6450.38</c:v>
                </c:pt>
                <c:pt idx="15">
                  <c:v>3043.92</c:v>
                </c:pt>
                <c:pt idx="16">
                  <c:v>1765.51</c:v>
                </c:pt>
                <c:pt idx="17">
                  <c:v>5871.72</c:v>
                </c:pt>
                <c:pt idx="18">
                  <c:v>3447.44</c:v>
                </c:pt>
                <c:pt idx="19">
                  <c:v>1721.74</c:v>
                </c:pt>
                <c:pt idx="20">
                  <c:v>1269.94</c:v>
                </c:pt>
                <c:pt idx="21">
                  <c:v>5008.9399999999996</c:v>
                </c:pt>
                <c:pt idx="22">
                  <c:v>2680.99</c:v>
                </c:pt>
                <c:pt idx="23">
                  <c:v>8874.1</c:v>
                </c:pt>
                <c:pt idx="24">
                  <c:v>2045.91</c:v>
                </c:pt>
                <c:pt idx="25">
                  <c:v>6434.71</c:v>
                </c:pt>
                <c:pt idx="26">
                  <c:v>4768.72</c:v>
                </c:pt>
                <c:pt idx="27">
                  <c:v>8767.11</c:v>
                </c:pt>
                <c:pt idx="28">
                  <c:v>15432.12</c:v>
                </c:pt>
                <c:pt idx="29">
                  <c:v>4737.55</c:v>
                </c:pt>
                <c:pt idx="30">
                  <c:v>2355.85</c:v>
                </c:pt>
                <c:pt idx="31">
                  <c:v>2631.25</c:v>
                </c:pt>
                <c:pt idx="32">
                  <c:v>751.14</c:v>
                </c:pt>
                <c:pt idx="33">
                  <c:v>13074.39</c:v>
                </c:pt>
                <c:pt idx="34">
                  <c:v>10623.02</c:v>
                </c:pt>
                <c:pt idx="35">
                  <c:v>2262.48</c:v>
                </c:pt>
                <c:pt idx="36">
                  <c:v>2376.6799999999998</c:v>
                </c:pt>
                <c:pt idx="37">
                  <c:v>1201.2</c:v>
                </c:pt>
                <c:pt idx="38">
                  <c:v>12111.05</c:v>
                </c:pt>
                <c:pt idx="39">
                  <c:v>6538.51</c:v>
                </c:pt>
                <c:pt idx="40">
                  <c:v>2443.42</c:v>
                </c:pt>
                <c:pt idx="41">
                  <c:v>7486.09</c:v>
                </c:pt>
                <c:pt idx="42">
                  <c:v>2704.41</c:v>
                </c:pt>
                <c:pt idx="43">
                  <c:v>14892.08</c:v>
                </c:pt>
                <c:pt idx="44">
                  <c:v>4338.0200000000004</c:v>
                </c:pt>
                <c:pt idx="45">
                  <c:v>5589.5999999999995</c:v>
                </c:pt>
                <c:pt idx="46">
                  <c:v>2832.86</c:v>
                </c:pt>
                <c:pt idx="47">
                  <c:v>1381.76</c:v>
                </c:pt>
                <c:pt idx="48">
                  <c:v>908.84</c:v>
                </c:pt>
                <c:pt idx="49">
                  <c:v>8946.65</c:v>
                </c:pt>
                <c:pt idx="50">
                  <c:v>6894.59</c:v>
                </c:pt>
                <c:pt idx="51">
                  <c:v>7347.76</c:v>
                </c:pt>
                <c:pt idx="52">
                  <c:v>935.88</c:v>
                </c:pt>
                <c:pt idx="53">
                  <c:v>338.16</c:v>
                </c:pt>
                <c:pt idx="54">
                  <c:v>794.82</c:v>
                </c:pt>
                <c:pt idx="55">
                  <c:v>13730.81</c:v>
                </c:pt>
                <c:pt idx="56">
                  <c:v>6006.6500000000005</c:v>
                </c:pt>
                <c:pt idx="57">
                  <c:v>6488.83</c:v>
                </c:pt>
                <c:pt idx="58">
                  <c:v>1719.38</c:v>
                </c:pt>
                <c:pt idx="59">
                  <c:v>3025.92</c:v>
                </c:pt>
                <c:pt idx="60">
                  <c:v>1882.75</c:v>
                </c:pt>
                <c:pt idx="61">
                  <c:v>11679.03</c:v>
                </c:pt>
                <c:pt idx="62">
                  <c:v>5718.61</c:v>
                </c:pt>
                <c:pt idx="63">
                  <c:v>13213.87</c:v>
                </c:pt>
                <c:pt idx="64">
                  <c:v>3220</c:v>
                </c:pt>
                <c:pt idx="65">
                  <c:v>3405.03</c:v>
                </c:pt>
                <c:pt idx="66">
                  <c:v>3269.37</c:v>
                </c:pt>
                <c:pt idx="67">
                  <c:v>9897.75</c:v>
                </c:pt>
                <c:pt idx="68">
                  <c:v>8016.39</c:v>
                </c:pt>
                <c:pt idx="69">
                  <c:v>2048.6</c:v>
                </c:pt>
                <c:pt idx="70">
                  <c:v>1567.87</c:v>
                </c:pt>
                <c:pt idx="71">
                  <c:v>263.04000000000002</c:v>
                </c:pt>
                <c:pt idx="72">
                  <c:v>412.62</c:v>
                </c:pt>
                <c:pt idx="73">
                  <c:v>5404.6900000000014</c:v>
                </c:pt>
                <c:pt idx="74">
                  <c:v>5431.37</c:v>
                </c:pt>
                <c:pt idx="75">
                  <c:v>9137.09</c:v>
                </c:pt>
                <c:pt idx="76">
                  <c:v>4977.83</c:v>
                </c:pt>
                <c:pt idx="77">
                  <c:v>168.63</c:v>
                </c:pt>
                <c:pt idx="78">
                  <c:v>2964.8</c:v>
                </c:pt>
                <c:pt idx="79">
                  <c:v>11784.96</c:v>
                </c:pt>
                <c:pt idx="80">
                  <c:v>9021.380000000001</c:v>
                </c:pt>
                <c:pt idx="81">
                  <c:v>3271.86</c:v>
                </c:pt>
                <c:pt idx="82">
                  <c:v>5111.88</c:v>
                </c:pt>
                <c:pt idx="83">
                  <c:v>1974.31</c:v>
                </c:pt>
                <c:pt idx="84">
                  <c:v>16779.43</c:v>
                </c:pt>
                <c:pt idx="85">
                  <c:v>7453.18</c:v>
                </c:pt>
                <c:pt idx="86">
                  <c:v>6394.1900000000014</c:v>
                </c:pt>
                <c:pt idx="87">
                  <c:v>2766.06</c:v>
                </c:pt>
                <c:pt idx="88">
                  <c:v>1172.08</c:v>
                </c:pt>
                <c:pt idx="89">
                  <c:v>4379.2</c:v>
                </c:pt>
                <c:pt idx="90">
                  <c:v>1425.71</c:v>
                </c:pt>
                <c:pt idx="91">
                  <c:v>2899.87</c:v>
                </c:pt>
                <c:pt idx="92">
                  <c:v>1027.68</c:v>
                </c:pt>
              </c:numCache>
            </c:numRef>
          </c:val>
          <c:smooth val="0"/>
        </c:ser>
        <c:ser>
          <c:idx val="1"/>
          <c:order val="1"/>
          <c:tx>
            <c:strRef>
              <c:f>Monthly_Performance!$L$1</c:f>
              <c:strCache>
                <c:ptCount val="1"/>
                <c:pt idx="0">
                  <c:v>Total_Profit</c:v>
                </c:pt>
              </c:strCache>
            </c:strRef>
          </c:tx>
          <c:spPr>
            <a:ln w="28575" cap="rnd">
              <a:solidFill>
                <a:schemeClr val="accent2"/>
              </a:solidFill>
              <a:round/>
            </a:ln>
            <a:effectLst/>
          </c:spPr>
          <c:marker>
            <c:symbol val="none"/>
          </c:marker>
          <c:cat>
            <c:strRef>
              <c:f>Monthly_Performance!$J$2:$J$94</c:f>
              <c:strCache>
                <c:ptCount val="93"/>
                <c:pt idx="0">
                  <c:v>2024-01</c:v>
                </c:pt>
                <c:pt idx="1">
                  <c:v>2024-01</c:v>
                </c:pt>
                <c:pt idx="2">
                  <c:v>2024-01</c:v>
                </c:pt>
                <c:pt idx="3">
                  <c:v>2024-01</c:v>
                </c:pt>
                <c:pt idx="4">
                  <c:v>2024-01</c:v>
                </c:pt>
                <c:pt idx="5">
                  <c:v>2024-02</c:v>
                </c:pt>
                <c:pt idx="6">
                  <c:v>2024-02</c:v>
                </c:pt>
                <c:pt idx="7">
                  <c:v>2024-02</c:v>
                </c:pt>
                <c:pt idx="8">
                  <c:v>2024-02</c:v>
                </c:pt>
                <c:pt idx="9">
                  <c:v>2024-02</c:v>
                </c:pt>
                <c:pt idx="10">
                  <c:v>2024-03</c:v>
                </c:pt>
                <c:pt idx="11">
                  <c:v>2024-03</c:v>
                </c:pt>
                <c:pt idx="12">
                  <c:v>2024-03</c:v>
                </c:pt>
                <c:pt idx="13">
                  <c:v>2024-03</c:v>
                </c:pt>
                <c:pt idx="14">
                  <c:v>2024-03</c:v>
                </c:pt>
                <c:pt idx="15">
                  <c:v>2024-03</c:v>
                </c:pt>
                <c:pt idx="16">
                  <c:v>2024-04</c:v>
                </c:pt>
                <c:pt idx="17">
                  <c:v>2024-04</c:v>
                </c:pt>
                <c:pt idx="18">
                  <c:v>2024-04</c:v>
                </c:pt>
                <c:pt idx="19">
                  <c:v>2024-04</c:v>
                </c:pt>
                <c:pt idx="20">
                  <c:v>2024-04</c:v>
                </c:pt>
                <c:pt idx="21">
                  <c:v>2024-05</c:v>
                </c:pt>
                <c:pt idx="22">
                  <c:v>2024-05</c:v>
                </c:pt>
                <c:pt idx="23">
                  <c:v>2024-05</c:v>
                </c:pt>
                <c:pt idx="24">
                  <c:v>2024-05</c:v>
                </c:pt>
                <c:pt idx="25">
                  <c:v>2024-05</c:v>
                </c:pt>
                <c:pt idx="26">
                  <c:v>2024-06</c:v>
                </c:pt>
                <c:pt idx="27">
                  <c:v>2024-06</c:v>
                </c:pt>
                <c:pt idx="28">
                  <c:v>2024-06</c:v>
                </c:pt>
                <c:pt idx="29">
                  <c:v>2024-06</c:v>
                </c:pt>
                <c:pt idx="30">
                  <c:v>2024-06</c:v>
                </c:pt>
                <c:pt idx="31">
                  <c:v>2024-06</c:v>
                </c:pt>
                <c:pt idx="32">
                  <c:v>2024-07</c:v>
                </c:pt>
                <c:pt idx="33">
                  <c:v>2024-07</c:v>
                </c:pt>
                <c:pt idx="34">
                  <c:v>2024-07</c:v>
                </c:pt>
                <c:pt idx="35">
                  <c:v>2024-07</c:v>
                </c:pt>
                <c:pt idx="36">
                  <c:v>2024-07</c:v>
                </c:pt>
                <c:pt idx="37">
                  <c:v>2024-07</c:v>
                </c:pt>
                <c:pt idx="38">
                  <c:v>2024-08</c:v>
                </c:pt>
                <c:pt idx="39">
                  <c:v>2024-08</c:v>
                </c:pt>
                <c:pt idx="40">
                  <c:v>2024-08</c:v>
                </c:pt>
                <c:pt idx="41">
                  <c:v>2024-08</c:v>
                </c:pt>
                <c:pt idx="42">
                  <c:v>2024-09</c:v>
                </c:pt>
                <c:pt idx="43">
                  <c:v>2024-09</c:v>
                </c:pt>
                <c:pt idx="44">
                  <c:v>2024-09</c:v>
                </c:pt>
                <c:pt idx="45">
                  <c:v>2024-09</c:v>
                </c:pt>
                <c:pt idx="46">
                  <c:v>2024-09</c:v>
                </c:pt>
                <c:pt idx="47">
                  <c:v>2024-09</c:v>
                </c:pt>
                <c:pt idx="48">
                  <c:v>2024-10</c:v>
                </c:pt>
                <c:pt idx="49">
                  <c:v>2024-10</c:v>
                </c:pt>
                <c:pt idx="50">
                  <c:v>2024-10</c:v>
                </c:pt>
                <c:pt idx="51">
                  <c:v>2024-10</c:v>
                </c:pt>
                <c:pt idx="52">
                  <c:v>2024-10</c:v>
                </c:pt>
                <c:pt idx="53">
                  <c:v>2024-10</c:v>
                </c:pt>
                <c:pt idx="54">
                  <c:v>2024-11</c:v>
                </c:pt>
                <c:pt idx="55">
                  <c:v>2024-11</c:v>
                </c:pt>
                <c:pt idx="56">
                  <c:v>2024-11</c:v>
                </c:pt>
                <c:pt idx="57">
                  <c:v>2024-11</c:v>
                </c:pt>
                <c:pt idx="58">
                  <c:v>2024-11</c:v>
                </c:pt>
                <c:pt idx="59">
                  <c:v>2024-11</c:v>
                </c:pt>
                <c:pt idx="60">
                  <c:v>2024-12</c:v>
                </c:pt>
                <c:pt idx="61">
                  <c:v>2024-12</c:v>
                </c:pt>
                <c:pt idx="62">
                  <c:v>2024-12</c:v>
                </c:pt>
                <c:pt idx="63">
                  <c:v>2024-12</c:v>
                </c:pt>
                <c:pt idx="64">
                  <c:v>2024-12</c:v>
                </c:pt>
                <c:pt idx="65">
                  <c:v>2024-12</c:v>
                </c:pt>
                <c:pt idx="66">
                  <c:v>2025-01</c:v>
                </c:pt>
                <c:pt idx="67">
                  <c:v>2025-01</c:v>
                </c:pt>
                <c:pt idx="68">
                  <c:v>2025-01</c:v>
                </c:pt>
                <c:pt idx="69">
                  <c:v>2025-01</c:v>
                </c:pt>
                <c:pt idx="70">
                  <c:v>2025-01</c:v>
                </c:pt>
                <c:pt idx="71">
                  <c:v>2025-01</c:v>
                </c:pt>
                <c:pt idx="72">
                  <c:v>2025-02</c:v>
                </c:pt>
                <c:pt idx="73">
                  <c:v>2025-02</c:v>
                </c:pt>
                <c:pt idx="74">
                  <c:v>2025-02</c:v>
                </c:pt>
                <c:pt idx="75">
                  <c:v>2025-02</c:v>
                </c:pt>
                <c:pt idx="76">
                  <c:v>2025-02</c:v>
                </c:pt>
                <c:pt idx="77">
                  <c:v>2025-02</c:v>
                </c:pt>
                <c:pt idx="78">
                  <c:v>2025-03</c:v>
                </c:pt>
                <c:pt idx="79">
                  <c:v>2025-03</c:v>
                </c:pt>
                <c:pt idx="80">
                  <c:v>2025-03</c:v>
                </c:pt>
                <c:pt idx="81">
                  <c:v>2025-03</c:v>
                </c:pt>
                <c:pt idx="82">
                  <c:v>2025-03</c:v>
                </c:pt>
                <c:pt idx="83">
                  <c:v>2025-04</c:v>
                </c:pt>
                <c:pt idx="84">
                  <c:v>2025-04</c:v>
                </c:pt>
                <c:pt idx="85">
                  <c:v>2025-04</c:v>
                </c:pt>
                <c:pt idx="86">
                  <c:v>2025-04</c:v>
                </c:pt>
                <c:pt idx="87">
                  <c:v>2025-04</c:v>
                </c:pt>
                <c:pt idx="88">
                  <c:v>2025-04</c:v>
                </c:pt>
                <c:pt idx="89">
                  <c:v>2025-05</c:v>
                </c:pt>
                <c:pt idx="90">
                  <c:v>2025-05</c:v>
                </c:pt>
                <c:pt idx="91">
                  <c:v>2025-05</c:v>
                </c:pt>
                <c:pt idx="92">
                  <c:v>2025-05</c:v>
                </c:pt>
              </c:strCache>
            </c:strRef>
          </c:cat>
          <c:val>
            <c:numRef>
              <c:f>Monthly_Performance!$L$2:$L$94</c:f>
              <c:numCache>
                <c:formatCode>0.00</c:formatCode>
                <c:ptCount val="93"/>
                <c:pt idx="0">
                  <c:v>2799.31</c:v>
                </c:pt>
                <c:pt idx="1">
                  <c:v>1573.73</c:v>
                </c:pt>
                <c:pt idx="2">
                  <c:v>1247.83</c:v>
                </c:pt>
                <c:pt idx="3">
                  <c:v>167.02</c:v>
                </c:pt>
                <c:pt idx="4">
                  <c:v>266.39</c:v>
                </c:pt>
                <c:pt idx="5">
                  <c:v>1212.1199999999999</c:v>
                </c:pt>
                <c:pt idx="6">
                  <c:v>2416.6</c:v>
                </c:pt>
                <c:pt idx="7">
                  <c:v>3570.55</c:v>
                </c:pt>
                <c:pt idx="8">
                  <c:v>1662.29</c:v>
                </c:pt>
                <c:pt idx="9">
                  <c:v>372.47</c:v>
                </c:pt>
                <c:pt idx="10">
                  <c:v>910.68</c:v>
                </c:pt>
                <c:pt idx="11">
                  <c:v>2329.09</c:v>
                </c:pt>
                <c:pt idx="12">
                  <c:v>1555.47</c:v>
                </c:pt>
                <c:pt idx="13">
                  <c:v>388.91</c:v>
                </c:pt>
                <c:pt idx="14">
                  <c:v>1428.65</c:v>
                </c:pt>
                <c:pt idx="15">
                  <c:v>836.17000000000007</c:v>
                </c:pt>
                <c:pt idx="16">
                  <c:v>530.96</c:v>
                </c:pt>
                <c:pt idx="17">
                  <c:v>1889.51</c:v>
                </c:pt>
                <c:pt idx="18">
                  <c:v>997.16000000000008</c:v>
                </c:pt>
                <c:pt idx="19">
                  <c:v>465.98</c:v>
                </c:pt>
                <c:pt idx="20">
                  <c:v>439</c:v>
                </c:pt>
                <c:pt idx="21">
                  <c:v>1129.83</c:v>
                </c:pt>
                <c:pt idx="22">
                  <c:v>567.59</c:v>
                </c:pt>
                <c:pt idx="23">
                  <c:v>2315.96</c:v>
                </c:pt>
                <c:pt idx="24">
                  <c:v>418.73</c:v>
                </c:pt>
                <c:pt idx="25">
                  <c:v>1817.21</c:v>
                </c:pt>
                <c:pt idx="26">
                  <c:v>1717.12</c:v>
                </c:pt>
                <c:pt idx="27">
                  <c:v>2622.31</c:v>
                </c:pt>
                <c:pt idx="28">
                  <c:v>4593.17</c:v>
                </c:pt>
                <c:pt idx="29">
                  <c:v>1543.71</c:v>
                </c:pt>
                <c:pt idx="30">
                  <c:v>356.88</c:v>
                </c:pt>
                <c:pt idx="31">
                  <c:v>942.72</c:v>
                </c:pt>
                <c:pt idx="32">
                  <c:v>168.93</c:v>
                </c:pt>
                <c:pt idx="33">
                  <c:v>3550.23</c:v>
                </c:pt>
                <c:pt idx="34">
                  <c:v>3155.49</c:v>
                </c:pt>
                <c:pt idx="35">
                  <c:v>463.63</c:v>
                </c:pt>
                <c:pt idx="36">
                  <c:v>773.68</c:v>
                </c:pt>
                <c:pt idx="37">
                  <c:v>329.23</c:v>
                </c:pt>
                <c:pt idx="38">
                  <c:v>3346.91</c:v>
                </c:pt>
                <c:pt idx="39">
                  <c:v>1686.63</c:v>
                </c:pt>
                <c:pt idx="40">
                  <c:v>578.91999999999996</c:v>
                </c:pt>
                <c:pt idx="41">
                  <c:v>2363.9299999999998</c:v>
                </c:pt>
                <c:pt idx="42">
                  <c:v>772.61</c:v>
                </c:pt>
                <c:pt idx="43">
                  <c:v>4197.32</c:v>
                </c:pt>
                <c:pt idx="44">
                  <c:v>941.58999999999992</c:v>
                </c:pt>
                <c:pt idx="45">
                  <c:v>1545.11</c:v>
                </c:pt>
                <c:pt idx="46">
                  <c:v>661.32999999999993</c:v>
                </c:pt>
                <c:pt idx="47">
                  <c:v>269.22000000000003</c:v>
                </c:pt>
                <c:pt idx="48">
                  <c:v>264.43</c:v>
                </c:pt>
                <c:pt idx="49">
                  <c:v>3064.47</c:v>
                </c:pt>
                <c:pt idx="50">
                  <c:v>2046.19</c:v>
                </c:pt>
                <c:pt idx="51">
                  <c:v>1856.14</c:v>
                </c:pt>
                <c:pt idx="52">
                  <c:v>186.51</c:v>
                </c:pt>
                <c:pt idx="53">
                  <c:v>134.77000000000001</c:v>
                </c:pt>
                <c:pt idx="54">
                  <c:v>255.37</c:v>
                </c:pt>
                <c:pt idx="55">
                  <c:v>3430.89</c:v>
                </c:pt>
                <c:pt idx="56">
                  <c:v>1368.08</c:v>
                </c:pt>
                <c:pt idx="57">
                  <c:v>1394.89</c:v>
                </c:pt>
                <c:pt idx="58">
                  <c:v>447.82000000000011</c:v>
                </c:pt>
                <c:pt idx="59">
                  <c:v>866.08</c:v>
                </c:pt>
                <c:pt idx="60">
                  <c:v>346.8</c:v>
                </c:pt>
                <c:pt idx="61">
                  <c:v>3081.7</c:v>
                </c:pt>
                <c:pt idx="62">
                  <c:v>1342.18</c:v>
                </c:pt>
                <c:pt idx="63">
                  <c:v>3606.27</c:v>
                </c:pt>
                <c:pt idx="64">
                  <c:v>1219.8900000000001</c:v>
                </c:pt>
                <c:pt idx="65">
                  <c:v>884.06</c:v>
                </c:pt>
                <c:pt idx="66">
                  <c:v>1085.4100000000001</c:v>
                </c:pt>
                <c:pt idx="67">
                  <c:v>2652.22</c:v>
                </c:pt>
                <c:pt idx="68">
                  <c:v>2485.71</c:v>
                </c:pt>
                <c:pt idx="69">
                  <c:v>626.04999999999995</c:v>
                </c:pt>
                <c:pt idx="70">
                  <c:v>518.99</c:v>
                </c:pt>
                <c:pt idx="71">
                  <c:v>41.4</c:v>
                </c:pt>
                <c:pt idx="72">
                  <c:v>155.44</c:v>
                </c:pt>
                <c:pt idx="73">
                  <c:v>1469.09</c:v>
                </c:pt>
                <c:pt idx="74">
                  <c:v>1032.25</c:v>
                </c:pt>
                <c:pt idx="75">
                  <c:v>3200.92</c:v>
                </c:pt>
                <c:pt idx="76">
                  <c:v>1410.15</c:v>
                </c:pt>
                <c:pt idx="77">
                  <c:v>41.07</c:v>
                </c:pt>
                <c:pt idx="78">
                  <c:v>920.04</c:v>
                </c:pt>
                <c:pt idx="79">
                  <c:v>3759.57</c:v>
                </c:pt>
                <c:pt idx="80">
                  <c:v>3026.61</c:v>
                </c:pt>
                <c:pt idx="81">
                  <c:v>762.28</c:v>
                </c:pt>
                <c:pt idx="82">
                  <c:v>1879.68</c:v>
                </c:pt>
                <c:pt idx="83">
                  <c:v>627.41</c:v>
                </c:pt>
                <c:pt idx="84">
                  <c:v>5047.63</c:v>
                </c:pt>
                <c:pt idx="85">
                  <c:v>1835.78</c:v>
                </c:pt>
                <c:pt idx="86">
                  <c:v>1658.61</c:v>
                </c:pt>
                <c:pt idx="87">
                  <c:v>693.37</c:v>
                </c:pt>
                <c:pt idx="88">
                  <c:v>375.08</c:v>
                </c:pt>
                <c:pt idx="89">
                  <c:v>1129.18</c:v>
                </c:pt>
                <c:pt idx="90">
                  <c:v>356.57</c:v>
                </c:pt>
                <c:pt idx="91">
                  <c:v>735.74</c:v>
                </c:pt>
                <c:pt idx="92">
                  <c:v>357.73</c:v>
                </c:pt>
              </c:numCache>
            </c:numRef>
          </c:val>
          <c:smooth val="0"/>
        </c:ser>
        <c:dLbls>
          <c:showLegendKey val="0"/>
          <c:showVal val="0"/>
          <c:showCatName val="0"/>
          <c:showSerName val="0"/>
          <c:showPercent val="0"/>
          <c:showBubbleSize val="0"/>
        </c:dLbls>
        <c:smooth val="0"/>
        <c:axId val="300847160"/>
        <c:axId val="300851864"/>
      </c:lineChart>
      <c:catAx>
        <c:axId val="30084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851864"/>
        <c:crosses val="autoZero"/>
        <c:auto val="1"/>
        <c:lblAlgn val="ctr"/>
        <c:lblOffset val="100"/>
        <c:noMultiLvlLbl val="0"/>
      </c:catAx>
      <c:valAx>
        <c:axId val="300851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847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30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oneCell">
    <xdr:from>
      <xdr:col>1</xdr:col>
      <xdr:colOff>22860</xdr:colOff>
      <xdr:row>14</xdr:row>
      <xdr:rowOff>22860</xdr:rowOff>
    </xdr:from>
    <xdr:to>
      <xdr:col>2</xdr:col>
      <xdr:colOff>880110</xdr:colOff>
      <xdr:row>27</xdr:row>
      <xdr:rowOff>112395</xdr:rowOff>
    </xdr:to>
    <mc:AlternateContent xmlns:mc="http://schemas.openxmlformats.org/markup-compatibility/2006" xmlns:a14="http://schemas.microsoft.com/office/drawing/2010/main">
      <mc:Choice Requires="a14">
        <xdr:graphicFrame macro="">
          <xdr:nvGraphicFramePr>
            <xdr:cNvPr id="4"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36320" y="25831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22860</xdr:colOff>
      <xdr:row>14</xdr:row>
      <xdr:rowOff>30480</xdr:rowOff>
    </xdr:from>
    <xdr:to>
      <xdr:col>4</xdr:col>
      <xdr:colOff>266700</xdr:colOff>
      <xdr:row>27</xdr:row>
      <xdr:rowOff>120015</xdr:rowOff>
    </xdr:to>
    <mc:AlternateContent xmlns:mc="http://schemas.openxmlformats.org/markup-compatibility/2006" xmlns:a14="http://schemas.microsoft.com/office/drawing/2010/main">
      <mc:Choice Requires="a14">
        <xdr:graphicFrame macro="">
          <xdr:nvGraphicFramePr>
            <xdr:cNvPr id="5" name="Order_Priority"/>
            <xdr:cNvGraphicFramePr/>
          </xdr:nvGraphicFramePr>
          <xdr:xfrm>
            <a:off x="0" y="0"/>
            <a:ext cx="0" cy="0"/>
          </xdr:xfrm>
          <a:graphic>
            <a:graphicData uri="http://schemas.microsoft.com/office/drawing/2010/slicer">
              <sle:slicer xmlns:sle="http://schemas.microsoft.com/office/drawing/2010/slicer" name="Order_Priority"/>
            </a:graphicData>
          </a:graphic>
        </xdr:graphicFrame>
      </mc:Choice>
      <mc:Fallback xmlns="">
        <xdr:sp macro="" textlink="">
          <xdr:nvSpPr>
            <xdr:cNvPr id="0" name=""/>
            <xdr:cNvSpPr>
              <a:spLocks noTextEdit="1"/>
            </xdr:cNvSpPr>
          </xdr:nvSpPr>
          <xdr:spPr>
            <a:xfrm>
              <a:off x="3116580" y="25908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598170</xdr:colOff>
      <xdr:row>0</xdr:row>
      <xdr:rowOff>0</xdr:rowOff>
    </xdr:from>
    <xdr:to>
      <xdr:col>18</xdr:col>
      <xdr:colOff>482970</xdr:colOff>
      <xdr:row>19</xdr:row>
      <xdr:rowOff>161475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590550</xdr:colOff>
      <xdr:row>22</xdr:row>
      <xdr:rowOff>3810</xdr:rowOff>
    </xdr:from>
    <xdr:to>
      <xdr:col>18</xdr:col>
      <xdr:colOff>475350</xdr:colOff>
      <xdr:row>41</xdr:row>
      <xdr:rowOff>165285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200025</xdr:colOff>
          <xdr:row>3</xdr:row>
          <xdr:rowOff>95250</xdr:rowOff>
        </xdr:from>
        <xdr:to>
          <xdr:col>9</xdr:col>
          <xdr:colOff>371475</xdr:colOff>
          <xdr:row>6</xdr:row>
          <xdr:rowOff>66675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1" i="0" u="none" strike="noStrike" baseline="0">
                  <a:solidFill>
                    <a:srgbClr val="000000"/>
                  </a:solidFill>
                  <a:latin typeface="Calibri"/>
                  <a:cs typeface="Calibri"/>
                </a:rPr>
                <a:t>Highlight Rows</a:t>
              </a:r>
            </a:p>
          </xdr:txBody>
        </xdr:sp>
        <xdr:clientData fPrintsWithSheet="0"/>
      </xdr:twoCellAnchor>
    </mc:Choice>
    <mc:Fallback/>
  </mc:AlternateContent>
  <xdr:twoCellAnchor>
    <xdr:from>
      <xdr:col>10</xdr:col>
      <xdr:colOff>312420</xdr:colOff>
      <xdr:row>3</xdr:row>
      <xdr:rowOff>38100</xdr:rowOff>
    </xdr:from>
    <xdr:to>
      <xdr:col>12</xdr:col>
      <xdr:colOff>281940</xdr:colOff>
      <xdr:row>4</xdr:row>
      <xdr:rowOff>129540</xdr:rowOff>
    </xdr:to>
    <xdr:sp macro="" textlink="">
      <xdr:nvSpPr>
        <xdr:cNvPr id="2" name="Right Arrow 1"/>
        <xdr:cNvSpPr/>
      </xdr:nvSpPr>
      <xdr:spPr>
        <a:xfrm>
          <a:off x="7840980" y="601980"/>
          <a:ext cx="1188720" cy="27432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228600</xdr:colOff>
      <xdr:row>11</xdr:row>
      <xdr:rowOff>18778</xdr:rowOff>
    </xdr:from>
    <xdr:to>
      <xdr:col>12</xdr:col>
      <xdr:colOff>252600</xdr:colOff>
      <xdr:row>31</xdr:row>
      <xdr:rowOff>95730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314325</xdr:colOff>
      <xdr:row>11</xdr:row>
      <xdr:rowOff>18778</xdr:rowOff>
    </xdr:from>
    <xdr:to>
      <xdr:col>23</xdr:col>
      <xdr:colOff>338325</xdr:colOff>
      <xdr:row>31</xdr:row>
      <xdr:rowOff>139273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228600</xdr:colOff>
      <xdr:row>33</xdr:row>
      <xdr:rowOff>50618</xdr:rowOff>
    </xdr:from>
    <xdr:to>
      <xdr:col>12</xdr:col>
      <xdr:colOff>252600</xdr:colOff>
      <xdr:row>54</xdr:row>
      <xdr:rowOff>30143</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314325</xdr:colOff>
      <xdr:row>33</xdr:row>
      <xdr:rowOff>50618</xdr:rowOff>
    </xdr:from>
    <xdr:to>
      <xdr:col>23</xdr:col>
      <xdr:colOff>338325</xdr:colOff>
      <xdr:row>54</xdr:row>
      <xdr:rowOff>30143</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228600</xdr:colOff>
      <xdr:row>55</xdr:row>
      <xdr:rowOff>175531</xdr:rowOff>
    </xdr:from>
    <xdr:to>
      <xdr:col>12</xdr:col>
      <xdr:colOff>252600</xdr:colOff>
      <xdr:row>76</xdr:row>
      <xdr:rowOff>155056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314325</xdr:colOff>
      <xdr:row>55</xdr:row>
      <xdr:rowOff>175531</xdr:rowOff>
    </xdr:from>
    <xdr:to>
      <xdr:col>23</xdr:col>
      <xdr:colOff>338325</xdr:colOff>
      <xdr:row>76</xdr:row>
      <xdr:rowOff>145531</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563336</xdr:colOff>
      <xdr:row>78</xdr:row>
      <xdr:rowOff>35378</xdr:rowOff>
    </xdr:from>
    <xdr:to>
      <xdr:col>17</xdr:col>
      <xdr:colOff>587336</xdr:colOff>
      <xdr:row>99</xdr:row>
      <xdr:rowOff>14903</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769620</xdr:colOff>
      <xdr:row>11</xdr:row>
      <xdr:rowOff>167640</xdr:rowOff>
    </xdr:from>
    <xdr:to>
      <xdr:col>13</xdr:col>
      <xdr:colOff>297180</xdr:colOff>
      <xdr:row>26</xdr:row>
      <xdr:rowOff>167640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11</xdr:row>
      <xdr:rowOff>121920</xdr:rowOff>
    </xdr:from>
    <xdr:to>
      <xdr:col>5</xdr:col>
      <xdr:colOff>350520</xdr:colOff>
      <xdr:row>26</xdr:row>
      <xdr:rowOff>121920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144780</xdr:colOff>
      <xdr:row>42</xdr:row>
      <xdr:rowOff>30480</xdr:rowOff>
    </xdr:from>
    <xdr:to>
      <xdr:col>10</xdr:col>
      <xdr:colOff>114300</xdr:colOff>
      <xdr:row>57</xdr:row>
      <xdr:rowOff>30480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350520</xdr:colOff>
      <xdr:row>60</xdr:row>
      <xdr:rowOff>30480</xdr:rowOff>
    </xdr:from>
    <xdr:to>
      <xdr:col>19</xdr:col>
      <xdr:colOff>579120</xdr:colOff>
      <xdr:row>75</xdr:row>
      <xdr:rowOff>30480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144780</xdr:colOff>
      <xdr:row>60</xdr:row>
      <xdr:rowOff>30480</xdr:rowOff>
    </xdr:from>
    <xdr:to>
      <xdr:col>10</xdr:col>
      <xdr:colOff>114300</xdr:colOff>
      <xdr:row>75</xdr:row>
      <xdr:rowOff>30480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670560</xdr:colOff>
      <xdr:row>82</xdr:row>
      <xdr:rowOff>30480</xdr:rowOff>
    </xdr:from>
    <xdr:to>
      <xdr:col>11</xdr:col>
      <xdr:colOff>434340</xdr:colOff>
      <xdr:row>97</xdr:row>
      <xdr:rowOff>30480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ADMIN\OneDrive\Desktop\Excel%20Exam\New%20Microsoft%20Excel%20Worksheet%20-%2031.05.2026.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hor" refreshedDate="46173.537738310188" createdVersion="5" refreshedVersion="5" minRefreshableVersion="3" recordCount="10">
  <cacheSource type="worksheet">
    <worksheetSource ref="A31:S41" sheet="Q7. Ans " r:id="rId2"/>
  </cacheSource>
  <cacheFields count="19">
    <cacheField name="Order_ID" numFmtId="0">
      <sharedItems/>
    </cacheField>
    <cacheField name="Order_Date" numFmtId="14">
      <sharedItems containsSemiMixedTypes="0" containsNonDate="0" containsDate="1" containsString="0" minDate="2024-04-29T00:00:00" maxDate="2025-05-02T00:00:00" count="10">
        <d v="2025-01-20T00:00:00"/>
        <d v="2025-02-14T00:00:00"/>
        <d v="2024-04-29T00:00:00"/>
        <d v="2024-10-01T00:00:00"/>
        <d v="2025-02-15T00:00:00"/>
        <d v="2025-02-26T00:00:00"/>
        <d v="2024-06-13T00:00:00"/>
        <d v="2025-05-01T00:00:00"/>
        <d v="2024-09-13T00:00:00"/>
        <d v="2024-08-27T00:00:00"/>
      </sharedItems>
    </cacheField>
    <cacheField name="Customer_Name" numFmtId="0">
      <sharedItems/>
    </cacheField>
    <cacheField name="Country" numFmtId="0">
      <sharedItems/>
    </cacheField>
    <cacheField name="Product" numFmtId="0">
      <sharedItems/>
    </cacheField>
    <cacheField name="Category" numFmtId="0">
      <sharedItems count="5">
        <s v="Accessories"/>
        <s v="Electronics"/>
        <s v="Apparel"/>
        <s v="Home Decor"/>
        <s v="Textiles"/>
      </sharedItems>
    </cacheField>
    <cacheField name="Quantity" numFmtId="0">
      <sharedItems containsSemiMixedTypes="0" containsString="0" containsNumber="1" containsInteger="1" minValue="3" maxValue="47"/>
    </cacheField>
    <cacheField name="Unit_Price" numFmtId="0">
      <sharedItems containsSemiMixedTypes="0" containsString="0" containsNumber="1" minValue="18.98" maxValue="69.22"/>
    </cacheField>
    <cacheField name="Total_Sales" numFmtId="0">
      <sharedItems containsSemiMixedTypes="0" containsString="0" containsNumber="1" minValue="94.56" maxValue="1176.74"/>
    </cacheField>
    <cacheField name="Shipping_Cost" numFmtId="0">
      <sharedItems containsSemiMixedTypes="0" containsString="0" containsNumber="1" minValue="6.98" maxValue="73.95"/>
    </cacheField>
    <cacheField name="Profit" numFmtId="0">
      <sharedItems containsSemiMixedTypes="0" containsString="0" containsNumber="1" minValue="20.079999999999998" maxValue="430.8"/>
    </cacheField>
    <cacheField name="Ship_Mode" numFmtId="0">
      <sharedItems/>
    </cacheField>
    <cacheField name="Order_Priority" numFmtId="0">
      <sharedItems count="3">
        <s v="Low"/>
        <s v="Medium"/>
        <s v="High"/>
      </sharedItems>
    </cacheField>
    <cacheField name="Region_Code" numFmtId="0">
      <sharedItems containsBlank="1" count="4">
        <m/>
        <s v="EU"/>
        <s v="SA"/>
        <s v="AS"/>
      </sharedItems>
    </cacheField>
    <cacheField name="Unit_Cost" numFmtId="0">
      <sharedItems containsSemiMixedTypes="0" containsString="0" containsNumber="1" minValue="12.75" maxValue="40"/>
    </cacheField>
    <cacheField name="Supplier" numFmtId="0">
      <sharedItems/>
    </cacheField>
    <cacheField name="Origin_Country" numFmtId="0">
      <sharedItems/>
    </cacheField>
    <cacheField name="Month" numFmtId="14">
      <sharedItems count="8">
        <s v="2025-01"/>
        <s v="2025-02"/>
        <s v="2024-04"/>
        <s v="2024-10"/>
        <s v="2024-06"/>
        <s v="2025-05"/>
        <s v="2024-09"/>
        <s v="2024-08"/>
      </sharedItems>
    </cacheField>
    <cacheField name="Profit_Margin" numFmtId="10">
      <sharedItems containsSemiMixedTypes="0" containsString="0" containsNumber="1" minValue="0.15562636646973996" maxValue="0.39853915306363852"/>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0">
  <r>
    <s v="ORD_2025_0001"/>
    <x v="0"/>
    <s v="Smith, Emily"/>
    <s v="USA"/>
    <s v="Travel Backpack"/>
    <x v="0"/>
    <n v="20"/>
    <n v="55.22"/>
    <n v="1104.4000000000001"/>
    <n v="49.36"/>
    <n v="355.04"/>
    <s v="Land"/>
    <x v="0"/>
    <x v="0"/>
    <n v="35"/>
    <s v="CarryPro"/>
    <s v="Vietnam"/>
    <x v="0"/>
    <n v="0.32147772546178921"/>
  </r>
  <r>
    <s v="ORD_2025_0002"/>
    <x v="1"/>
    <s v="Brown, Laura"/>
    <s v="UK"/>
    <s v="Leather Wallet"/>
    <x v="0"/>
    <n v="33"/>
    <n v="32.03"/>
    <n v="1056.99"/>
    <n v="59.59"/>
    <n v="403.4"/>
    <s v="Sea"/>
    <x v="1"/>
    <x v="1"/>
    <n v="18"/>
    <s v="CraftLine"/>
    <s v="Italy"/>
    <x v="1"/>
    <n v="0.38164977908967918"/>
  </r>
  <r>
    <s v="ORD_2025_0003"/>
    <x v="2"/>
    <s v="Davis, John"/>
    <s v="Italy"/>
    <s v="Leather Wallet"/>
    <x v="0"/>
    <n v="34"/>
    <n v="28.48"/>
    <n v="968.32"/>
    <n v="73.95"/>
    <n v="282.37"/>
    <s v="Land"/>
    <x v="2"/>
    <x v="1"/>
    <n v="18"/>
    <s v="CraftLine"/>
    <s v="Italy"/>
    <x v="2"/>
    <n v="0.2916081460674157"/>
  </r>
  <r>
    <s v="ORD_2025_0004"/>
    <x v="3"/>
    <s v="Miller, Daniel"/>
    <s v="Brazil"/>
    <s v="Bluetooth Speaker"/>
    <x v="1"/>
    <n v="6"/>
    <n v="56.36"/>
    <n v="338.16"/>
    <n v="11.39"/>
    <n v="134.77000000000001"/>
    <s v="Air"/>
    <x v="1"/>
    <x v="2"/>
    <n v="32"/>
    <s v="AudioTech Ltd."/>
    <s v="China"/>
    <x v="3"/>
    <n v="0.39853915306363852"/>
  </r>
  <r>
    <s v="ORD_2025_0005"/>
    <x v="4"/>
    <s v="Johnson, Emma"/>
    <s v="Canada"/>
    <s v="Denim Jacket"/>
    <x v="2"/>
    <n v="17"/>
    <n v="69.22"/>
    <n v="1176.74"/>
    <n v="65.94"/>
    <n v="430.8"/>
    <s v="Sea"/>
    <x v="0"/>
    <x v="0"/>
    <n v="40"/>
    <s v="BlueWear"/>
    <s v="Bangladesh"/>
    <x v="1"/>
    <n v="0.36609616397844896"/>
  </r>
  <r>
    <s v="ORD_2025_0006"/>
    <x v="5"/>
    <s v="Johnson, Michael"/>
    <s v="Mexico"/>
    <s v="Wireless Mouse"/>
    <x v="1"/>
    <n v="13"/>
    <n v="27.94"/>
    <n v="363.22"/>
    <n v="15.36"/>
    <n v="87.86"/>
    <s v="Sea"/>
    <x v="0"/>
    <x v="0"/>
    <n v="20"/>
    <s v="ClickTech"/>
    <s v="China"/>
    <x v="1"/>
    <n v="0.2418919663014151"/>
  </r>
  <r>
    <s v="ORD_2025_0007"/>
    <x v="6"/>
    <s v="Hernandez, Emma"/>
    <s v="UK"/>
    <s v="Glass Bowl Set"/>
    <x v="3"/>
    <n v="3"/>
    <n v="31.52"/>
    <n v="94.56"/>
    <n v="6.98"/>
    <n v="20.079999999999998"/>
    <s v="Land"/>
    <x v="2"/>
    <x v="1"/>
    <n v="22.5"/>
    <s v="ClearCraft"/>
    <s v="India"/>
    <x v="4"/>
    <n v="0.21235194585448391"/>
  </r>
  <r>
    <s v="ORD_2025_0008"/>
    <x v="7"/>
    <s v="Miller, John"/>
    <s v="China"/>
    <s v="Cotton Bedsheet"/>
    <x v="4"/>
    <n v="14"/>
    <n v="30.71"/>
    <n v="429.94"/>
    <n v="13.03"/>
    <n v="66.91"/>
    <s v="Sea"/>
    <x v="0"/>
    <x v="3"/>
    <n v="25"/>
    <s v="SoftWeave"/>
    <s v="Turkey"/>
    <x v="5"/>
    <n v="0.15562636646973996"/>
  </r>
  <r>
    <s v="ORD_2025_0009"/>
    <x v="8"/>
    <s v="Davis, John"/>
    <s v="USA"/>
    <s v="Ceramic Vase"/>
    <x v="3"/>
    <n v="47"/>
    <n v="24.47"/>
    <n v="1150.0899999999999"/>
    <n v="61.3"/>
    <n v="360.29"/>
    <s v="Sea"/>
    <x v="0"/>
    <x v="0"/>
    <n v="15.5"/>
    <s v="Artisans Co."/>
    <s v="India"/>
    <x v="6"/>
    <n v="0.31327113530245465"/>
  </r>
  <r>
    <s v="ORD_2025_0010"/>
    <x v="9"/>
    <s v="Martinez, Laura"/>
    <s v="Italy"/>
    <s v="LED Lamp"/>
    <x v="1"/>
    <n v="27"/>
    <n v="18.98"/>
    <n v="512.46"/>
    <n v="28.89"/>
    <n v="139.32"/>
    <s v="Sea"/>
    <x v="2"/>
    <x v="1"/>
    <n v="12.75"/>
    <s v="BrightHome"/>
    <s v="Vietnam"/>
    <x v="7"/>
    <n v="0.2718651211801896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Year-Month" colHeaderCaption="Regions">
  <location ref="B2:L13" firstHeaderRow="1" firstDataRow="3" firstDataCol="1"/>
  <pivotFields count="19">
    <pivotField showAll="0"/>
    <pivotField numFmtId="14" showAll="0">
      <items count="11">
        <item x="2"/>
        <item x="6"/>
        <item x="9"/>
        <item x="8"/>
        <item x="3"/>
        <item x="0"/>
        <item x="1"/>
        <item x="4"/>
        <item x="5"/>
        <item x="7"/>
        <item t="default"/>
      </items>
    </pivotField>
    <pivotField showAll="0"/>
    <pivotField showAll="0"/>
    <pivotField showAll="0"/>
    <pivotField showAll="0">
      <items count="6">
        <item x="0"/>
        <item x="2"/>
        <item x="1"/>
        <item x="3"/>
        <item x="4"/>
        <item t="default"/>
      </items>
    </pivotField>
    <pivotField showAll="0"/>
    <pivotField showAll="0"/>
    <pivotField dataField="1" showAll="0"/>
    <pivotField showAll="0"/>
    <pivotField showAll="0"/>
    <pivotField showAll="0"/>
    <pivotField showAll="0">
      <items count="4">
        <item x="2"/>
        <item x="0"/>
        <item x="1"/>
        <item t="default"/>
      </items>
    </pivotField>
    <pivotField axis="axisCol" showAll="0">
      <items count="5">
        <item x="3"/>
        <item x="1"/>
        <item x="2"/>
        <item x="0"/>
        <item t="default"/>
      </items>
    </pivotField>
    <pivotField showAll="0"/>
    <pivotField showAll="0"/>
    <pivotField showAll="0"/>
    <pivotField axis="axisRow" showAll="0">
      <items count="9">
        <item x="2"/>
        <item x="4"/>
        <item x="7"/>
        <item x="6"/>
        <item x="3"/>
        <item x="0"/>
        <item x="1"/>
        <item x="5"/>
        <item t="default"/>
      </items>
    </pivotField>
    <pivotField dataField="1" numFmtId="10" showAll="0"/>
  </pivotFields>
  <rowFields count="1">
    <field x="17"/>
  </rowFields>
  <rowItems count="9">
    <i>
      <x/>
    </i>
    <i>
      <x v="1"/>
    </i>
    <i>
      <x v="2"/>
    </i>
    <i>
      <x v="3"/>
    </i>
    <i>
      <x v="4"/>
    </i>
    <i>
      <x v="5"/>
    </i>
    <i>
      <x v="6"/>
    </i>
    <i>
      <x v="7"/>
    </i>
    <i t="grand">
      <x/>
    </i>
  </rowItems>
  <colFields count="2">
    <field x="13"/>
    <field x="-2"/>
  </colFields>
  <colItems count="10">
    <i>
      <x/>
      <x/>
    </i>
    <i r="1" i="1">
      <x v="1"/>
    </i>
    <i>
      <x v="1"/>
      <x/>
    </i>
    <i r="1" i="1">
      <x v="1"/>
    </i>
    <i>
      <x v="2"/>
      <x/>
    </i>
    <i r="1" i="1">
      <x v="1"/>
    </i>
    <i>
      <x v="3"/>
      <x/>
    </i>
    <i r="1" i="1">
      <x v="1"/>
    </i>
    <i t="grand">
      <x/>
    </i>
    <i t="grand" i="1">
      <x/>
    </i>
  </colItems>
  <dataFields count="2">
    <dataField name="Sum of Total_Sales" fld="8" baseField="0" baseItem="0"/>
    <dataField name="Average of Profit_Margin" fld="18" subtotal="average" baseField="17" baseItem="4" numFmtId="1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17" name="PivotTable1"/>
  </pivotTables>
  <data>
    <tabular pivotCacheId="2">
      <items count="5">
        <i x="0" s="1"/>
        <i x="2" s="1"/>
        <i x="1"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Order_Priority" sourceName="Order_Priority">
  <pivotTables>
    <pivotTable tabId="17" name="PivotTable1"/>
  </pivotTables>
  <data>
    <tabular pivotCacheId="2">
      <items count="3">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ategory" cache="Slicer_Category" caption="Category" rowHeight="234950"/>
  <slicer name="Order_Priority" cache="Slicer_Order_Priority" caption="Order_Priority" rowHeight="234950"/>
</slicers>
</file>

<file path=xl/tables/table1.xml><?xml version="1.0" encoding="utf-8"?>
<table xmlns="http://schemas.openxmlformats.org/spreadsheetml/2006/main" id="1" name="Table1" displayName="Table1" ref="A1:N501" totalsRowShown="0" headerRowDxfId="95" dataDxfId="93" headerRowBorderDxfId="94" tableBorderDxfId="92">
  <autoFilter ref="A1:N501"/>
  <tableColumns count="14">
    <tableColumn id="1" name="Order_ID" dataDxfId="91"/>
    <tableColumn id="2" name="Order_Date" dataDxfId="90"/>
    <tableColumn id="3" name="Customer_Name" dataDxfId="89">
      <calculatedColumnFormula>TRIM(Raw_Data!C2)</calculatedColumnFormula>
    </tableColumn>
    <tableColumn id="4" name="Country" dataDxfId="88">
      <calculatedColumnFormula>PROPER(TRIM(Raw_Data!D2))</calculatedColumnFormula>
    </tableColumn>
    <tableColumn id="6" name="Product" dataDxfId="87"/>
    <tableColumn id="7" name="Category" dataDxfId="86"/>
    <tableColumn id="8" name="Quantity" dataDxfId="85"/>
    <tableColumn id="9" name="Unit_Price" dataDxfId="84"/>
    <tableColumn id="10" name="Total_Sales" dataDxfId="83"/>
    <tableColumn id="11" name="Shipping_Cost" dataDxfId="82"/>
    <tableColumn id="12" name="Profit" dataDxfId="81"/>
    <tableColumn id="13" name="Ship_Mode" dataDxfId="80"/>
    <tableColumn id="14" name="Order_Priority" dataDxfId="79"/>
    <tableColumn id="15" name="Region_Code" dataDxfId="78"/>
  </tableColumns>
  <tableStyleInfo name="TableStyleLight9" showFirstColumn="0" showLastColumn="0" showRowStripes="0" showColumnStripes="0"/>
</table>
</file>

<file path=xl/tables/table2.xml><?xml version="1.0" encoding="utf-8"?>
<table xmlns="http://schemas.openxmlformats.org/spreadsheetml/2006/main" id="2" name="Table13" displayName="Table13" ref="A1:Q501" totalsRowShown="0" headerRowDxfId="76" dataDxfId="74" headerRowBorderDxfId="75" tableBorderDxfId="73">
  <autoFilter ref="A1:Q501"/>
  <tableColumns count="17">
    <tableColumn id="1" name="Order_ID" dataDxfId="72"/>
    <tableColumn id="2" name="Order_Date" dataDxfId="71"/>
    <tableColumn id="3" name="Customer_Name" dataDxfId="70"/>
    <tableColumn id="4" name="Country" dataDxfId="69">
      <calculatedColumnFormula>PROPER(TRIM(Raw_Data!D2))</calculatedColumnFormula>
    </tableColumn>
    <tableColumn id="6" name="Product" dataDxfId="68"/>
    <tableColumn id="7" name="Category" dataDxfId="67"/>
    <tableColumn id="8" name="Quantity" dataDxfId="66"/>
    <tableColumn id="9" name="Unit_Price" dataDxfId="65"/>
    <tableColumn id="10" name="Total_Sales" dataDxfId="64">
      <calculatedColumnFormula>PRODUCT(Table13[[#This Row],[Quantity]:[Unit_Price]])</calculatedColumnFormula>
    </tableColumn>
    <tableColumn id="11" name="Shipping_Cost" dataDxfId="63"/>
    <tableColumn id="12" name="Profit" dataDxfId="62"/>
    <tableColumn id="13" name="Ship_Mode" dataDxfId="61"/>
    <tableColumn id="14" name="Order_Priority" dataDxfId="60"/>
    <tableColumn id="15" name="Region_Code" dataDxfId="59"/>
    <tableColumn id="16" name="Unit_Cost" dataDxfId="58">
      <calculatedColumnFormula>VLOOKUP($E2,Products!$B$2:$F$11,5,0)</calculatedColumnFormula>
    </tableColumn>
    <tableColumn id="17" name="COGS" dataDxfId="57">
      <calculatedColumnFormula>PRODUCT(Table13[[#This Row],[Quantity]],Table13[[#This Row],[Unit_Cost]])</calculatedColumnFormula>
    </tableColumn>
    <tableColumn id="18" name="Profit_Margin" dataDxfId="56">
      <calculatedColumnFormula>Table13[[#This Row],[Profit]]/Table13[[#This Row],[Total_Sales]]</calculatedColumnFormula>
    </tableColumn>
  </tableColumns>
  <tableStyleInfo name="TableStyleMedium2" showFirstColumn="0" showLastColumn="0" showRowStripes="0" showColumnStripes="0"/>
</table>
</file>

<file path=xl/tables/table3.xml><?xml version="1.0" encoding="utf-8"?>
<table xmlns="http://schemas.openxmlformats.org/spreadsheetml/2006/main" id="4" name="Table4" displayName="Table4" ref="A1:D501" totalsRowShown="0" headerRowDxfId="55" dataDxfId="54" headerRowCellStyle="Normal" dataCellStyle="Normal">
  <autoFilter ref="A1:D501"/>
  <tableColumns count="4">
    <tableColumn id="1" name="Customer_Name" dataDxfId="53" dataCellStyle="Normal"/>
    <tableColumn id="2" name="First_Name" dataDxfId="52" dataCellStyle="Normal">
      <calculatedColumnFormula>RIGHT(Table4[[#This Row],[Customer_Name]],LEN(Table4[[#This Row],[Customer_Name]])-FIND(",",Table4[[#This Row],[Customer_Name]])-1)</calculatedColumnFormula>
    </tableColumn>
    <tableColumn id="3" name="Last_Name" dataDxfId="51" dataCellStyle="Normal">
      <calculatedColumnFormula>LEFT(Table4[[#This Row],[Customer_Name]],FIND(",",Table4[[#This Row],[Customer_Name]])-1)</calculatedColumnFormula>
    </tableColumn>
    <tableColumn id="4" name="Customer_Code" dataDxfId="50" dataCellStyle="Normal">
      <calculatedColumnFormula>LEFT(Table4[[#This Row],[First_Name]],2)&amp;LEFT(Table4[[#This Row],[Last_Name]],2)&amp;ROW()</calculatedColumnFormula>
    </tableColumn>
  </tableColumns>
  <tableStyleInfo name="TableStyleLight9" showFirstColumn="0" showLastColumn="0" showRowStripes="0" showColumnStripes="0"/>
</table>
</file>

<file path=xl/tables/table4.xml><?xml version="1.0" encoding="utf-8"?>
<table xmlns="http://schemas.openxmlformats.org/spreadsheetml/2006/main" id="5" name="Table5" displayName="Table5" ref="A1:D501" totalsRowShown="0" headerRowDxfId="48" dataDxfId="47">
  <autoFilter ref="A1:D501"/>
  <tableColumns count="4">
    <tableColumn id="1" name="Total_Sales" dataDxfId="46"/>
    <tableColumn id="2" name="Profit" dataDxfId="45"/>
    <tableColumn id="3" name="Profit_Margin%" dataDxfId="44">
      <calculatedColumnFormula>Table5[[#This Row],[Profit]]/Table5[[#This Row],[Total_Sales]]</calculatedColumnFormula>
    </tableColumn>
    <tableColumn id="4" name="Performance_Flag" dataDxfId="43">
      <calculatedColumnFormula>IF(AND(Table5[[#This Row],[Profit_Margin%]]&gt;20%,Table5[[#This Row],[Total_Sales]]&gt;2000),"Excellent",IF(AND(Table5[[#This Row],[Profit_Margin%]]&gt;=10%,Table5[[#This Row],[Profit_Margin%]]&lt;=20%),"Good","Needs Improvement"))</calculatedColumnFormula>
    </tableColumn>
  </tableColumns>
  <tableStyleInfo name="TableStyleMedium2" showFirstColumn="0" showLastColumn="0" showRowStripes="0" showColumnStripes="0"/>
</table>
</file>

<file path=xl/tables/table5.xml><?xml version="1.0" encoding="utf-8"?>
<table xmlns="http://schemas.openxmlformats.org/spreadsheetml/2006/main" id="10" name="Table101" displayName="Table101" ref="A1:D11" totalsRowShown="0" headerRowDxfId="42" dataDxfId="40" headerRowBorderDxfId="41" tableBorderDxfId="39" totalsRowBorderDxfId="38">
  <autoFilter ref="A1:D11"/>
  <tableColumns count="4">
    <tableColumn id="1" name="Product_ID" dataDxfId="37"/>
    <tableColumn id="2" name="Supplier" dataDxfId="36">
      <calculatedColumnFormula>INDEX(Products!$A$2:$F$11,MATCH('Cross Workbook Lookups'!$A2,Products!$A$2:$A$11,0),MATCH('Cross Workbook Lookups'!$B$1,Products!$A$1:$F$1,0))</calculatedColumnFormula>
    </tableColumn>
    <tableColumn id="3" name="Origin_Country" dataDxfId="35">
      <calculatedColumnFormula>INDEX(Products!$A$2:$F$11,MATCH('Cross Workbook Lookups'!$A2,Products!$A$2:$A$11,0),MATCH('Cross Workbook Lookups'!$C$1,Products!$A$1:$F$1,0))</calculatedColumnFormula>
    </tableColumn>
    <tableColumn id="4" name="Region_Name" dataDxfId="34">
      <calculatedColumnFormula>IFERROR(VLOOKUP($A2,Regions!$B$2:$D$7,1,0),"Not Found")</calculatedColumnFormula>
    </tableColumn>
  </tableColumns>
  <tableStyleInfo name="TableStyleMedium16" showFirstColumn="0" showLastColumn="0" showRowStripes="0" showColumnStripes="0"/>
</table>
</file>

<file path=xl/tables/table6.xml><?xml version="1.0" encoding="utf-8"?>
<table xmlns="http://schemas.openxmlformats.org/spreadsheetml/2006/main" id="7" name="Table7" displayName="Table7" ref="A1:C18" totalsRowShown="0" headerRowDxfId="33" dataDxfId="31" headerRowBorderDxfId="32" tableBorderDxfId="30" totalsRowBorderDxfId="29">
  <autoFilter ref="A1:C18"/>
  <tableColumns count="3">
    <tableColumn id="1" name="Order_Date (Monthwise)" dataDxfId="28"/>
    <tableColumn id="2" name="Total_Sales" dataDxfId="27"/>
    <tableColumn id="3" name="Profit" dataDxfId="26"/>
  </tableColumns>
  <tableStyleInfo name="TableStyleMedium2" showFirstColumn="0" showLastColumn="0" showRowStripes="0" showColumnStripes="0"/>
</table>
</file>

<file path=xl/tables/table7.xml><?xml version="1.0" encoding="utf-8"?>
<table xmlns="http://schemas.openxmlformats.org/spreadsheetml/2006/main" id="9" name="Table9" displayName="Table9" ref="A28:F34" totalsRowShown="0" headerRowDxfId="25" dataDxfId="23" headerRowBorderDxfId="24" tableBorderDxfId="22" totalsRowBorderDxfId="21">
  <autoFilter ref="A28:F34"/>
  <tableColumns count="6">
    <tableColumn id="1" name="Region_Code" dataDxfId="20"/>
    <tableColumn id="2" name="Accessories" dataDxfId="19"/>
    <tableColumn id="3" name="Apparel" dataDxfId="18"/>
    <tableColumn id="4" name="Electronics" dataDxfId="17"/>
    <tableColumn id="5" name="Home Decor" dataDxfId="16"/>
    <tableColumn id="6" name="Textiles" dataDxfId="15"/>
  </tableColumns>
  <tableStyleInfo name="TableStyleMedium2" showFirstColumn="0" showLastColumn="0" showRowStripes="0" showColumnStripes="0"/>
</table>
</file>

<file path=xl/tables/table8.xml><?xml version="1.0" encoding="utf-8"?>
<table xmlns="http://schemas.openxmlformats.org/spreadsheetml/2006/main" id="3" name="Sample_Macro" displayName="Sample_Macro" ref="O1:R501" totalsRowShown="0" headerRowDxfId="13" headerRowBorderDxfId="12" tableBorderDxfId="11" totalsRowBorderDxfId="10">
  <autoFilter ref="O1:R501"/>
  <tableColumns count="4">
    <tableColumn id="1" name="Order_ID" dataDxfId="9"/>
    <tableColumn id="2" name="Product" dataDxfId="8"/>
    <tableColumn id="3" name="Category" dataDxfId="7"/>
    <tableColumn id="4" name="Profit_Margin" dataDxfId="6"/>
  </tableColumns>
  <tableStyleInfo name="TableStyleMedium3" showFirstColumn="0" showLastColumn="0" showRowStripes="0" showColumnStripes="0"/>
</table>
</file>

<file path=xl/tables/table9.xml><?xml version="1.0" encoding="utf-8"?>
<table xmlns="http://schemas.openxmlformats.org/spreadsheetml/2006/main" id="8" name="Table8" displayName="Table8" ref="I1:N94" totalsRowShown="0" headerRowDxfId="5" headerRowBorderDxfId="4" tableBorderDxfId="3">
  <autoFilter ref="I1:N94"/>
  <sortState ref="I2:N94">
    <sortCondition ref="J1:J94"/>
  </sortState>
  <tableColumns count="6">
    <tableColumn id="1" name="Region_Code"/>
    <tableColumn id="2" name="Month" dataDxfId="2"/>
    <tableColumn id="3" name="Total_Sales" dataDxfId="1"/>
    <tableColumn id="4" name="Total_Profit" dataDxfId="0"/>
    <tableColumn id="5" name="Shipments"/>
    <tableColumn id="6" name="Returns"/>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8.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501"/>
  <sheetViews>
    <sheetView zoomScale="80" zoomScaleNormal="80" workbookViewId="0">
      <selection activeCell="P3" sqref="P3"/>
    </sheetView>
  </sheetViews>
  <sheetFormatPr defaultRowHeight="15" x14ac:dyDescent="0.25"/>
  <cols>
    <col min="1" max="1" width="15.7109375" bestFit="1" customWidth="1"/>
    <col min="2" max="2" width="16.7109375" bestFit="1" customWidth="1"/>
    <col min="3" max="3" width="21.85546875" bestFit="1" customWidth="1"/>
    <col min="4" max="4" width="13.5703125" bestFit="1" customWidth="1"/>
    <col min="5" max="5" width="17" bestFit="1" customWidth="1"/>
    <col min="6" max="6" width="14.42578125" bestFit="1" customWidth="1"/>
    <col min="7" max="7" width="14.28515625" bestFit="1" customWidth="1"/>
    <col min="8" max="8" width="15.7109375" bestFit="1" customWidth="1"/>
    <col min="9" max="9" width="16.5703125" style="5" bestFit="1" customWidth="1"/>
    <col min="10" max="10" width="19.42578125" bestFit="1" customWidth="1"/>
    <col min="11" max="11" width="11.28515625" bestFit="1" customWidth="1"/>
    <col min="12" max="12" width="16.7109375" bestFit="1" customWidth="1"/>
    <col min="13" max="13" width="19.28515625" bestFit="1" customWidth="1"/>
    <col min="14" max="14" width="18.28515625" bestFit="1" customWidth="1"/>
  </cols>
  <sheetData>
    <row r="1" spans="1:14" s="107" customFormat="1" ht="15.75" x14ac:dyDescent="0.25">
      <c r="A1" s="102" t="s">
        <v>0</v>
      </c>
      <c r="B1" s="103" t="s">
        <v>1</v>
      </c>
      <c r="C1" s="102" t="s">
        <v>2</v>
      </c>
      <c r="D1" s="102" t="s">
        <v>3</v>
      </c>
      <c r="E1" s="102" t="s">
        <v>4</v>
      </c>
      <c r="F1" s="102" t="s">
        <v>5</v>
      </c>
      <c r="G1" s="102" t="s">
        <v>6</v>
      </c>
      <c r="H1" s="104" t="s">
        <v>7</v>
      </c>
      <c r="I1" s="105" t="s">
        <v>8</v>
      </c>
      <c r="J1" s="104" t="s">
        <v>9</v>
      </c>
      <c r="K1" s="104" t="s">
        <v>10</v>
      </c>
      <c r="L1" s="102" t="s">
        <v>11</v>
      </c>
      <c r="M1" s="102" t="s">
        <v>12</v>
      </c>
      <c r="N1" s="102" t="s">
        <v>13</v>
      </c>
    </row>
    <row r="2" spans="1:14" x14ac:dyDescent="0.25">
      <c r="A2" s="22" t="s">
        <v>14</v>
      </c>
      <c r="B2" s="63">
        <v>45677</v>
      </c>
      <c r="C2" s="22" t="str">
        <f>TRIM(Raw_Data!C2)</f>
        <v>Smith, Emily</v>
      </c>
      <c r="D2" s="22" t="str">
        <f>PROPER(TRIM(Raw_Data!D2))</f>
        <v>Usa</v>
      </c>
      <c r="E2" s="22" t="s">
        <v>17</v>
      </c>
      <c r="F2" s="22" t="s">
        <v>18</v>
      </c>
      <c r="G2" s="22">
        <v>20</v>
      </c>
      <c r="H2" s="2">
        <v>55.22</v>
      </c>
      <c r="I2" s="64">
        <v>1104.4000000000001</v>
      </c>
      <c r="J2" s="2">
        <v>49.36</v>
      </c>
      <c r="K2" s="2">
        <v>355.04</v>
      </c>
      <c r="L2" s="22" t="s">
        <v>19</v>
      </c>
      <c r="M2" s="22" t="s">
        <v>20</v>
      </c>
      <c r="N2" s="22" t="s">
        <v>21</v>
      </c>
    </row>
    <row r="3" spans="1:14" x14ac:dyDescent="0.25">
      <c r="A3" s="22" t="s">
        <v>22</v>
      </c>
      <c r="B3" s="63">
        <v>45702</v>
      </c>
      <c r="C3" s="22" t="str">
        <f>TRIM(Raw_Data!C3)</f>
        <v>Brown, Laura</v>
      </c>
      <c r="D3" s="22" t="str">
        <f>PROPER(TRIM(Raw_Data!D3))</f>
        <v>Uk</v>
      </c>
      <c r="E3" s="22" t="s">
        <v>25</v>
      </c>
      <c r="F3" s="22" t="s">
        <v>18</v>
      </c>
      <c r="G3" s="22">
        <v>33</v>
      </c>
      <c r="H3" s="2">
        <v>32.03</v>
      </c>
      <c r="I3" s="64">
        <v>1056.99</v>
      </c>
      <c r="J3" s="2">
        <v>59.59</v>
      </c>
      <c r="K3" s="2">
        <v>403.4</v>
      </c>
      <c r="L3" s="22" t="s">
        <v>26</v>
      </c>
      <c r="M3" s="22" t="s">
        <v>27</v>
      </c>
      <c r="N3" s="22" t="s">
        <v>28</v>
      </c>
    </row>
    <row r="4" spans="1:14" x14ac:dyDescent="0.25">
      <c r="A4" s="22" t="s">
        <v>29</v>
      </c>
      <c r="B4" s="63">
        <v>45411</v>
      </c>
      <c r="C4" s="22" t="str">
        <f>TRIM(Raw_Data!C4)</f>
        <v>Davis, John</v>
      </c>
      <c r="D4" s="22" t="str">
        <f>PROPER(TRIM(Raw_Data!D4))</f>
        <v>Italy</v>
      </c>
      <c r="E4" s="22" t="s">
        <v>25</v>
      </c>
      <c r="F4" s="22" t="s">
        <v>18</v>
      </c>
      <c r="G4" s="22">
        <v>34</v>
      </c>
      <c r="H4" s="2">
        <v>28.48</v>
      </c>
      <c r="I4" s="64">
        <v>968.32</v>
      </c>
      <c r="J4" s="2">
        <v>73.95</v>
      </c>
      <c r="K4" s="2">
        <v>282.37</v>
      </c>
      <c r="L4" s="22" t="s">
        <v>19</v>
      </c>
      <c r="M4" s="22" t="s">
        <v>32</v>
      </c>
      <c r="N4" s="22" t="s">
        <v>28</v>
      </c>
    </row>
    <row r="5" spans="1:14" x14ac:dyDescent="0.25">
      <c r="A5" s="22" t="s">
        <v>33</v>
      </c>
      <c r="B5" s="63">
        <v>45566</v>
      </c>
      <c r="C5" s="22" t="str">
        <f>TRIM(Raw_Data!C5)</f>
        <v>Miller, Daniel</v>
      </c>
      <c r="D5" s="22" t="str">
        <f>PROPER(TRIM(Raw_Data!D5))</f>
        <v>Brazil</v>
      </c>
      <c r="E5" s="22" t="s">
        <v>36</v>
      </c>
      <c r="F5" s="22" t="s">
        <v>37</v>
      </c>
      <c r="G5" s="22">
        <v>6</v>
      </c>
      <c r="H5" s="2">
        <v>56.36</v>
      </c>
      <c r="I5" s="64">
        <v>338.16</v>
      </c>
      <c r="J5" s="2">
        <v>11.39</v>
      </c>
      <c r="K5" s="2">
        <v>134.77000000000001</v>
      </c>
      <c r="L5" s="22" t="s">
        <v>38</v>
      </c>
      <c r="M5" s="22" t="s">
        <v>27</v>
      </c>
      <c r="N5" s="22" t="s">
        <v>39</v>
      </c>
    </row>
    <row r="6" spans="1:14" x14ac:dyDescent="0.25">
      <c r="A6" s="22" t="s">
        <v>40</v>
      </c>
      <c r="B6" s="63">
        <v>45703</v>
      </c>
      <c r="C6" s="22" t="str">
        <f>TRIM(Raw_Data!C6)</f>
        <v>Johnson, Emma</v>
      </c>
      <c r="D6" s="22" t="str">
        <f>PROPER(TRIM(Raw_Data!D6))</f>
        <v>Canada</v>
      </c>
      <c r="E6" s="22" t="s">
        <v>43</v>
      </c>
      <c r="F6" s="22" t="s">
        <v>44</v>
      </c>
      <c r="G6" s="22">
        <v>17</v>
      </c>
      <c r="H6" s="2">
        <v>69.22</v>
      </c>
      <c r="I6" s="64">
        <v>1176.74</v>
      </c>
      <c r="J6" s="2">
        <v>65.94</v>
      </c>
      <c r="K6" s="2">
        <v>430.8</v>
      </c>
      <c r="L6" s="22" t="s">
        <v>26</v>
      </c>
      <c r="M6" s="22" t="s">
        <v>20</v>
      </c>
      <c r="N6" s="22" t="s">
        <v>21</v>
      </c>
    </row>
    <row r="7" spans="1:14" x14ac:dyDescent="0.25">
      <c r="A7" s="22" t="s">
        <v>45</v>
      </c>
      <c r="B7" s="63">
        <v>45714</v>
      </c>
      <c r="C7" s="22" t="str">
        <f>TRIM(Raw_Data!C7)</f>
        <v>Johnson, Michael</v>
      </c>
      <c r="D7" s="22" t="str">
        <f>PROPER(TRIM(Raw_Data!D7))</f>
        <v>Mexico</v>
      </c>
      <c r="E7" s="22" t="s">
        <v>48</v>
      </c>
      <c r="F7" s="22" t="s">
        <v>37</v>
      </c>
      <c r="G7" s="22">
        <v>13</v>
      </c>
      <c r="H7" s="2">
        <v>27.94</v>
      </c>
      <c r="I7" s="64">
        <v>363.22</v>
      </c>
      <c r="J7" s="2">
        <v>15.36</v>
      </c>
      <c r="K7" s="2">
        <v>87.86</v>
      </c>
      <c r="L7" s="22" t="s">
        <v>26</v>
      </c>
      <c r="M7" s="22" t="s">
        <v>20</v>
      </c>
      <c r="N7" s="22" t="s">
        <v>21</v>
      </c>
    </row>
    <row r="8" spans="1:14" x14ac:dyDescent="0.25">
      <c r="A8" s="22" t="s">
        <v>49</v>
      </c>
      <c r="B8" s="63">
        <v>45456</v>
      </c>
      <c r="C8" s="22" t="str">
        <f>TRIM(Raw_Data!C8)</f>
        <v>Hernandez, Emma</v>
      </c>
      <c r="D8" s="22" t="str">
        <f>PROPER(TRIM(Raw_Data!D8))</f>
        <v>Uk</v>
      </c>
      <c r="E8" s="22" t="s">
        <v>51</v>
      </c>
      <c r="F8" s="22" t="s">
        <v>52</v>
      </c>
      <c r="G8" s="22">
        <v>3</v>
      </c>
      <c r="H8" s="2">
        <v>31.52</v>
      </c>
      <c r="I8" s="64">
        <v>94.56</v>
      </c>
      <c r="J8" s="2">
        <v>6.98</v>
      </c>
      <c r="K8" s="2">
        <v>20.079999999999998</v>
      </c>
      <c r="L8" s="22" t="s">
        <v>19</v>
      </c>
      <c r="M8" s="22" t="s">
        <v>32</v>
      </c>
      <c r="N8" s="22" t="s">
        <v>28</v>
      </c>
    </row>
    <row r="9" spans="1:14" x14ac:dyDescent="0.25">
      <c r="A9" s="22" t="s">
        <v>53</v>
      </c>
      <c r="B9" s="63">
        <v>45778</v>
      </c>
      <c r="C9" s="22" t="str">
        <f>TRIM(Raw_Data!C9)</f>
        <v>Miller, John</v>
      </c>
      <c r="D9" s="22" t="str">
        <f>PROPER(TRIM(Raw_Data!D9))</f>
        <v>China</v>
      </c>
      <c r="E9" s="22" t="s">
        <v>56</v>
      </c>
      <c r="F9" s="22" t="s">
        <v>57</v>
      </c>
      <c r="G9" s="22">
        <v>14</v>
      </c>
      <c r="H9" s="2">
        <v>30.71</v>
      </c>
      <c r="I9" s="64">
        <v>429.94</v>
      </c>
      <c r="J9" s="2">
        <v>13.03</v>
      </c>
      <c r="K9" s="2">
        <v>66.91</v>
      </c>
      <c r="L9" s="22" t="s">
        <v>26</v>
      </c>
      <c r="M9" s="22" t="s">
        <v>20</v>
      </c>
      <c r="N9" s="22" t="s">
        <v>58</v>
      </c>
    </row>
    <row r="10" spans="1:14" x14ac:dyDescent="0.25">
      <c r="A10" s="22" t="s">
        <v>59</v>
      </c>
      <c r="B10" s="63">
        <v>45548</v>
      </c>
      <c r="C10" s="22" t="str">
        <f>TRIM(Raw_Data!C10)</f>
        <v>Davis, John</v>
      </c>
      <c r="D10" s="22" t="str">
        <f>PROPER(TRIM(Raw_Data!D10))</f>
        <v>Usa</v>
      </c>
      <c r="E10" s="22" t="s">
        <v>60</v>
      </c>
      <c r="F10" s="22" t="s">
        <v>52</v>
      </c>
      <c r="G10" s="22">
        <v>47</v>
      </c>
      <c r="H10" s="2">
        <v>24.47</v>
      </c>
      <c r="I10" s="64">
        <v>1150.0899999999999</v>
      </c>
      <c r="J10" s="2">
        <v>61.3</v>
      </c>
      <c r="K10" s="2">
        <v>360.29</v>
      </c>
      <c r="L10" s="22" t="s">
        <v>26</v>
      </c>
      <c r="M10" s="22" t="s">
        <v>20</v>
      </c>
      <c r="N10" s="22" t="s">
        <v>21</v>
      </c>
    </row>
    <row r="11" spans="1:14" x14ac:dyDescent="0.25">
      <c r="A11" s="22" t="s">
        <v>61</v>
      </c>
      <c r="B11" s="63">
        <v>45531</v>
      </c>
      <c r="C11" s="22" t="str">
        <f>TRIM(Raw_Data!C11)</f>
        <v>Martinez, Laura</v>
      </c>
      <c r="D11" s="22" t="str">
        <f>PROPER(TRIM(Raw_Data!D11))</f>
        <v>Italy</v>
      </c>
      <c r="E11" s="22" t="s">
        <v>63</v>
      </c>
      <c r="F11" s="22" t="s">
        <v>37</v>
      </c>
      <c r="G11" s="22">
        <v>27</v>
      </c>
      <c r="H11" s="2">
        <v>18.98</v>
      </c>
      <c r="I11" s="64">
        <v>512.46</v>
      </c>
      <c r="J11" s="2">
        <v>28.89</v>
      </c>
      <c r="K11" s="2">
        <v>139.32</v>
      </c>
      <c r="L11" s="22" t="s">
        <v>26</v>
      </c>
      <c r="M11" s="22" t="s">
        <v>32</v>
      </c>
      <c r="N11" s="22" t="s">
        <v>28</v>
      </c>
    </row>
    <row r="12" spans="1:14" x14ac:dyDescent="0.25">
      <c r="A12" s="22" t="s">
        <v>64</v>
      </c>
      <c r="B12" s="63">
        <v>45754</v>
      </c>
      <c r="C12" s="22" t="str">
        <f>TRIM(Raw_Data!C12)</f>
        <v>Martinez, James</v>
      </c>
      <c r="D12" s="22" t="str">
        <f>PROPER(TRIM(Raw_Data!D12))</f>
        <v>China</v>
      </c>
      <c r="E12" s="22" t="s">
        <v>17</v>
      </c>
      <c r="F12" s="22" t="s">
        <v>18</v>
      </c>
      <c r="G12" s="22">
        <v>32</v>
      </c>
      <c r="H12" s="2">
        <v>57.84</v>
      </c>
      <c r="I12" s="64">
        <v>1850.88</v>
      </c>
      <c r="J12" s="2">
        <v>55.15</v>
      </c>
      <c r="K12" s="2">
        <v>675.73</v>
      </c>
      <c r="L12" s="22" t="s">
        <v>19</v>
      </c>
      <c r="M12" s="22" t="s">
        <v>20</v>
      </c>
      <c r="N12" s="22" t="s">
        <v>58</v>
      </c>
    </row>
    <row r="13" spans="1:14" x14ac:dyDescent="0.25">
      <c r="A13" s="22" t="s">
        <v>66</v>
      </c>
      <c r="B13" s="63">
        <v>45634</v>
      </c>
      <c r="C13" s="22" t="str">
        <f>TRIM(Raw_Data!C13)</f>
        <v>Davis, James</v>
      </c>
      <c r="D13" s="22" t="str">
        <f>PROPER(TRIM(Raw_Data!D13))</f>
        <v>Canada</v>
      </c>
      <c r="E13" s="22" t="s">
        <v>43</v>
      </c>
      <c r="F13" s="22" t="s">
        <v>44</v>
      </c>
      <c r="G13" s="22">
        <v>49</v>
      </c>
      <c r="H13" s="2">
        <v>58.77</v>
      </c>
      <c r="I13" s="64">
        <v>2879.73</v>
      </c>
      <c r="J13" s="2">
        <v>140.29</v>
      </c>
      <c r="K13" s="2">
        <v>779.44</v>
      </c>
      <c r="L13" s="22" t="s">
        <v>38</v>
      </c>
      <c r="M13" s="22" t="s">
        <v>32</v>
      </c>
      <c r="N13" s="22" t="s">
        <v>21</v>
      </c>
    </row>
    <row r="14" spans="1:14" x14ac:dyDescent="0.25">
      <c r="A14" s="22" t="s">
        <v>68</v>
      </c>
      <c r="B14" s="63">
        <v>45547</v>
      </c>
      <c r="C14" s="22" t="str">
        <f>TRIM(Raw_Data!C14)</f>
        <v>Martinez, James</v>
      </c>
      <c r="D14" s="22" t="str">
        <f>PROPER(TRIM(Raw_Data!D14))</f>
        <v>Singapore</v>
      </c>
      <c r="E14" s="22" t="s">
        <v>17</v>
      </c>
      <c r="F14" s="22" t="s">
        <v>18</v>
      </c>
      <c r="G14" s="22">
        <v>43</v>
      </c>
      <c r="H14" s="2">
        <v>56.92</v>
      </c>
      <c r="I14" s="64">
        <v>2447.56</v>
      </c>
      <c r="J14" s="2">
        <v>140.4</v>
      </c>
      <c r="K14" s="2">
        <v>802.16</v>
      </c>
      <c r="L14" s="22" t="s">
        <v>19</v>
      </c>
      <c r="M14" s="22" t="s">
        <v>27</v>
      </c>
      <c r="N14" s="22" t="s">
        <v>58</v>
      </c>
    </row>
    <row r="15" spans="1:14" x14ac:dyDescent="0.25">
      <c r="A15" s="22" t="s">
        <v>70</v>
      </c>
      <c r="B15" s="63">
        <v>45350</v>
      </c>
      <c r="C15" s="22" t="str">
        <f>TRIM(Raw_Data!C15)</f>
        <v>Smith, Emma</v>
      </c>
      <c r="D15" s="22" t="str">
        <f>PROPER(TRIM(Raw_Data!D15))</f>
        <v>Italy</v>
      </c>
      <c r="E15" s="22" t="s">
        <v>56</v>
      </c>
      <c r="F15" s="22" t="s">
        <v>57</v>
      </c>
      <c r="G15" s="22">
        <v>32</v>
      </c>
      <c r="H15" s="2">
        <v>43.45</v>
      </c>
      <c r="I15" s="64">
        <v>1390.4</v>
      </c>
      <c r="J15" s="2">
        <v>30.04</v>
      </c>
      <c r="K15" s="2">
        <v>560.36</v>
      </c>
      <c r="L15" s="22" t="s">
        <v>19</v>
      </c>
      <c r="M15" s="22" t="s">
        <v>32</v>
      </c>
      <c r="N15" s="22" t="s">
        <v>28</v>
      </c>
    </row>
    <row r="16" spans="1:14" x14ac:dyDescent="0.25">
      <c r="A16" s="22" t="s">
        <v>72</v>
      </c>
      <c r="B16" s="63">
        <v>45378</v>
      </c>
      <c r="C16" s="22" t="str">
        <f>TRIM(Raw_Data!C16)</f>
        <v>Davis, Sarah</v>
      </c>
      <c r="D16" s="22" t="str">
        <f>PROPER(TRIM(Raw_Data!D16))</f>
        <v>Uae</v>
      </c>
      <c r="E16" s="22" t="s">
        <v>56</v>
      </c>
      <c r="F16" s="22" t="s">
        <v>57</v>
      </c>
      <c r="G16" s="22">
        <v>22</v>
      </c>
      <c r="H16" s="2">
        <v>42.59</v>
      </c>
      <c r="I16" s="64">
        <v>936.98</v>
      </c>
      <c r="J16" s="2">
        <v>29.87</v>
      </c>
      <c r="K16" s="2">
        <v>357.11</v>
      </c>
      <c r="L16" s="22" t="s">
        <v>26</v>
      </c>
      <c r="M16" s="22" t="s">
        <v>32</v>
      </c>
      <c r="N16" s="22" t="s">
        <v>58</v>
      </c>
    </row>
    <row r="17" spans="1:14" x14ac:dyDescent="0.25">
      <c r="A17" s="22" t="s">
        <v>75</v>
      </c>
      <c r="B17" s="63">
        <v>45556</v>
      </c>
      <c r="C17" s="22" t="str">
        <f>TRIM(Raw_Data!C17)</f>
        <v>Williams, David</v>
      </c>
      <c r="D17" s="22" t="str">
        <f>PROPER(TRIM(Raw_Data!D17))</f>
        <v>Japan</v>
      </c>
      <c r="E17" s="22" t="s">
        <v>48</v>
      </c>
      <c r="F17" s="22" t="s">
        <v>37</v>
      </c>
      <c r="G17" s="22">
        <v>48</v>
      </c>
      <c r="H17" s="2">
        <v>25.36</v>
      </c>
      <c r="I17" s="64">
        <v>1217.28</v>
      </c>
      <c r="J17" s="2">
        <v>49.68</v>
      </c>
      <c r="K17" s="2">
        <v>207.6</v>
      </c>
      <c r="L17" s="22" t="s">
        <v>26</v>
      </c>
      <c r="M17" s="22" t="s">
        <v>20</v>
      </c>
      <c r="N17" s="22" t="s">
        <v>58</v>
      </c>
    </row>
    <row r="18" spans="1:14" x14ac:dyDescent="0.25">
      <c r="A18" s="22" t="s">
        <v>78</v>
      </c>
      <c r="B18" s="63">
        <v>45506</v>
      </c>
      <c r="C18" s="22" t="str">
        <f>TRIM(Raw_Data!C18)</f>
        <v>Martinez, James</v>
      </c>
      <c r="D18" s="22" t="str">
        <f>PROPER(TRIM(Raw_Data!D18))</f>
        <v>Uae</v>
      </c>
      <c r="E18" s="22" t="s">
        <v>25</v>
      </c>
      <c r="F18" s="22" t="s">
        <v>18</v>
      </c>
      <c r="G18" s="22">
        <v>48</v>
      </c>
      <c r="H18" s="2">
        <v>30.07</v>
      </c>
      <c r="I18" s="64">
        <v>1443.36</v>
      </c>
      <c r="J18" s="2">
        <v>102.31</v>
      </c>
      <c r="K18" s="2">
        <v>477.05</v>
      </c>
      <c r="L18" s="22" t="s">
        <v>38</v>
      </c>
      <c r="M18" s="22" t="s">
        <v>20</v>
      </c>
      <c r="N18" s="22" t="s">
        <v>58</v>
      </c>
    </row>
    <row r="19" spans="1:14" x14ac:dyDescent="0.25">
      <c r="A19" s="22" t="s">
        <v>79</v>
      </c>
      <c r="B19" s="63">
        <v>45564</v>
      </c>
      <c r="C19" s="22" t="str">
        <f>TRIM(Raw_Data!C19)</f>
        <v>Johnson, Michael</v>
      </c>
      <c r="D19" s="22" t="str">
        <f>PROPER(TRIM(Raw_Data!D19))</f>
        <v>Uae</v>
      </c>
      <c r="E19" s="22" t="s">
        <v>48</v>
      </c>
      <c r="F19" s="22" t="s">
        <v>37</v>
      </c>
      <c r="G19" s="22">
        <v>6</v>
      </c>
      <c r="H19" s="2">
        <v>32.17</v>
      </c>
      <c r="I19" s="64">
        <v>193.02</v>
      </c>
      <c r="J19" s="2">
        <v>14.45</v>
      </c>
      <c r="K19" s="2">
        <v>58.57</v>
      </c>
      <c r="L19" s="22" t="s">
        <v>38</v>
      </c>
      <c r="M19" s="22" t="s">
        <v>20</v>
      </c>
      <c r="N19" s="22" t="s">
        <v>58</v>
      </c>
    </row>
    <row r="20" spans="1:14" x14ac:dyDescent="0.25">
      <c r="A20" s="22" t="s">
        <v>80</v>
      </c>
      <c r="B20" s="63">
        <v>45476</v>
      </c>
      <c r="C20" s="22" t="str">
        <f>TRIM(Raw_Data!C20)</f>
        <v>Smith, Sarah</v>
      </c>
      <c r="D20" s="22" t="str">
        <f>PROPER(TRIM(Raw_Data!D20))</f>
        <v>Singapore</v>
      </c>
      <c r="E20" s="22" t="s">
        <v>25</v>
      </c>
      <c r="F20" s="22" t="s">
        <v>18</v>
      </c>
      <c r="G20" s="22">
        <v>37</v>
      </c>
      <c r="H20" s="2">
        <v>24.14</v>
      </c>
      <c r="I20" s="64">
        <v>893.18</v>
      </c>
      <c r="J20" s="2">
        <v>31.39</v>
      </c>
      <c r="K20" s="2">
        <v>195.79</v>
      </c>
      <c r="L20" s="22" t="s">
        <v>26</v>
      </c>
      <c r="M20" s="22" t="s">
        <v>27</v>
      </c>
      <c r="N20" s="22" t="s">
        <v>58</v>
      </c>
    </row>
    <row r="21" spans="1:14" x14ac:dyDescent="0.25">
      <c r="A21" s="22" t="s">
        <v>82</v>
      </c>
      <c r="B21" s="63">
        <v>45770</v>
      </c>
      <c r="C21" s="22" t="str">
        <f>TRIM(Raw_Data!C21)</f>
        <v>Johnson, Emma</v>
      </c>
      <c r="D21" s="22" t="str">
        <f>PROPER(TRIM(Raw_Data!D21))</f>
        <v>Uk</v>
      </c>
      <c r="E21" s="22" t="s">
        <v>83</v>
      </c>
      <c r="F21" s="22" t="s">
        <v>52</v>
      </c>
      <c r="G21" s="22">
        <v>39</v>
      </c>
      <c r="H21" s="2">
        <v>37.840000000000003</v>
      </c>
      <c r="I21" s="64">
        <v>1475.76</v>
      </c>
      <c r="J21" s="2">
        <v>73.400000000000006</v>
      </c>
      <c r="K21" s="2">
        <v>310.36</v>
      </c>
      <c r="L21" s="22" t="s">
        <v>26</v>
      </c>
      <c r="M21" s="22" t="s">
        <v>32</v>
      </c>
      <c r="N21" s="22" t="s">
        <v>28</v>
      </c>
    </row>
    <row r="22" spans="1:14" x14ac:dyDescent="0.25">
      <c r="A22" s="22" t="s">
        <v>84</v>
      </c>
      <c r="B22" s="63">
        <v>45715</v>
      </c>
      <c r="C22" s="22" t="str">
        <f>TRIM(Raw_Data!C22)</f>
        <v>Miller, Michael</v>
      </c>
      <c r="D22" s="22" t="str">
        <f>PROPER(TRIM(Raw_Data!D22))</f>
        <v>South Africa</v>
      </c>
      <c r="E22" s="22" t="s">
        <v>43</v>
      </c>
      <c r="F22" s="22" t="s">
        <v>44</v>
      </c>
      <c r="G22" s="22">
        <v>6</v>
      </c>
      <c r="H22" s="2">
        <v>68.77</v>
      </c>
      <c r="I22" s="64">
        <v>412.62</v>
      </c>
      <c r="J22" s="2">
        <v>17.18</v>
      </c>
      <c r="K22" s="2">
        <v>155.44</v>
      </c>
      <c r="L22" s="22" t="s">
        <v>26</v>
      </c>
      <c r="M22" s="22" t="s">
        <v>20</v>
      </c>
      <c r="N22" s="22" t="s">
        <v>87</v>
      </c>
    </row>
    <row r="23" spans="1:14" x14ac:dyDescent="0.25">
      <c r="A23" s="22" t="s">
        <v>88</v>
      </c>
      <c r="B23" s="63">
        <v>45741</v>
      </c>
      <c r="C23" s="22" t="str">
        <f>TRIM(Raw_Data!C23)</f>
        <v>Davis, David</v>
      </c>
      <c r="D23" s="22" t="str">
        <f>PROPER(TRIM(Raw_Data!D23))</f>
        <v>Canada</v>
      </c>
      <c r="E23" s="22" t="s">
        <v>63</v>
      </c>
      <c r="F23" s="22" t="s">
        <v>37</v>
      </c>
      <c r="G23" s="22">
        <v>6</v>
      </c>
      <c r="H23" s="2">
        <v>18.5</v>
      </c>
      <c r="I23" s="64">
        <v>111</v>
      </c>
      <c r="J23" s="2">
        <v>5.26</v>
      </c>
      <c r="K23" s="2">
        <v>29.24</v>
      </c>
      <c r="L23" s="22" t="s">
        <v>38</v>
      </c>
      <c r="M23" s="22" t="s">
        <v>27</v>
      </c>
      <c r="N23" s="22" t="s">
        <v>21</v>
      </c>
    </row>
    <row r="24" spans="1:14" x14ac:dyDescent="0.25">
      <c r="A24" s="22" t="s">
        <v>90</v>
      </c>
      <c r="B24" s="63">
        <v>45426</v>
      </c>
      <c r="C24" s="22" t="str">
        <f>TRIM(Raw_Data!C24)</f>
        <v>Johnson, Sarah</v>
      </c>
      <c r="D24" s="22" t="str">
        <f>PROPER(TRIM(Raw_Data!D24))</f>
        <v>Italy</v>
      </c>
      <c r="E24" s="22" t="s">
        <v>51</v>
      </c>
      <c r="F24" s="22" t="s">
        <v>52</v>
      </c>
      <c r="G24" s="22">
        <v>33</v>
      </c>
      <c r="H24" s="2">
        <v>28.96</v>
      </c>
      <c r="I24" s="64">
        <v>955.68</v>
      </c>
      <c r="J24" s="2">
        <v>49.07</v>
      </c>
      <c r="K24" s="2">
        <v>164.11</v>
      </c>
      <c r="L24" s="22" t="s">
        <v>26</v>
      </c>
      <c r="M24" s="22" t="s">
        <v>20</v>
      </c>
      <c r="N24" s="22" t="s">
        <v>28</v>
      </c>
    </row>
    <row r="25" spans="1:14" x14ac:dyDescent="0.25">
      <c r="A25" s="22" t="s">
        <v>92</v>
      </c>
      <c r="B25" s="63">
        <v>45336</v>
      </c>
      <c r="C25" s="22" t="str">
        <f>TRIM(Raw_Data!C25)</f>
        <v>Hernandez, Sophia</v>
      </c>
      <c r="D25" s="22" t="str">
        <f>PROPER(TRIM(Raw_Data!D25))</f>
        <v>Canada</v>
      </c>
      <c r="E25" s="22" t="s">
        <v>51</v>
      </c>
      <c r="F25" s="22" t="s">
        <v>52</v>
      </c>
      <c r="G25" s="22">
        <v>31</v>
      </c>
      <c r="H25" s="2">
        <v>35.020000000000003</v>
      </c>
      <c r="I25" s="64">
        <v>1085.6199999999999</v>
      </c>
      <c r="J25" s="2">
        <v>74.650000000000006</v>
      </c>
      <c r="K25" s="2">
        <v>313.47000000000003</v>
      </c>
      <c r="L25" s="22" t="s">
        <v>38</v>
      </c>
      <c r="M25" s="22" t="s">
        <v>20</v>
      </c>
      <c r="N25" s="22" t="s">
        <v>21</v>
      </c>
    </row>
    <row r="26" spans="1:14" x14ac:dyDescent="0.25">
      <c r="A26" s="22" t="s">
        <v>94</v>
      </c>
      <c r="B26" s="63">
        <v>45771</v>
      </c>
      <c r="C26" s="22" t="str">
        <f>TRIM(Raw_Data!C26)</f>
        <v>Williams, Daniel</v>
      </c>
      <c r="D26" s="22" t="str">
        <f>PROPER(TRIM(Raw_Data!D26))</f>
        <v>Canada</v>
      </c>
      <c r="E26" s="22" t="s">
        <v>48</v>
      </c>
      <c r="F26" s="22" t="s">
        <v>37</v>
      </c>
      <c r="G26" s="22">
        <v>25</v>
      </c>
      <c r="H26" s="2">
        <v>31.57</v>
      </c>
      <c r="I26" s="64">
        <v>789.25</v>
      </c>
      <c r="J26" s="2">
        <v>56.47</v>
      </c>
      <c r="K26" s="2">
        <v>232.78</v>
      </c>
      <c r="L26" s="22" t="s">
        <v>26</v>
      </c>
      <c r="M26" s="22" t="s">
        <v>27</v>
      </c>
      <c r="N26" s="22" t="s">
        <v>21</v>
      </c>
    </row>
    <row r="27" spans="1:14" x14ac:dyDescent="0.25">
      <c r="A27" s="22" t="s">
        <v>96</v>
      </c>
      <c r="B27" s="63">
        <v>45648</v>
      </c>
      <c r="C27" s="22" t="str">
        <f>TRIM(Raw_Data!C27)</f>
        <v>Martinez, Michael</v>
      </c>
      <c r="D27" s="22" t="str">
        <f>PROPER(TRIM(Raw_Data!D27))</f>
        <v>Italy</v>
      </c>
      <c r="E27" s="22" t="s">
        <v>60</v>
      </c>
      <c r="F27" s="22" t="s">
        <v>52</v>
      </c>
      <c r="G27" s="22">
        <v>14</v>
      </c>
      <c r="H27" s="2">
        <v>27.08</v>
      </c>
      <c r="I27" s="64">
        <v>379.12</v>
      </c>
      <c r="J27" s="2">
        <v>11.12</v>
      </c>
      <c r="K27" s="2">
        <v>151</v>
      </c>
      <c r="L27" s="22" t="s">
        <v>26</v>
      </c>
      <c r="M27" s="22" t="s">
        <v>32</v>
      </c>
      <c r="N27" s="22" t="s">
        <v>28</v>
      </c>
    </row>
    <row r="28" spans="1:14" x14ac:dyDescent="0.25">
      <c r="A28" s="22" t="s">
        <v>98</v>
      </c>
      <c r="B28" s="63">
        <v>45445</v>
      </c>
      <c r="C28" s="22" t="str">
        <f>TRIM(Raw_Data!C28)</f>
        <v>Miller, Daniel</v>
      </c>
      <c r="D28" s="22" t="str">
        <f>PROPER(TRIM(Raw_Data!D28))</f>
        <v>Italy</v>
      </c>
      <c r="E28" s="22" t="s">
        <v>83</v>
      </c>
      <c r="F28" s="22" t="s">
        <v>52</v>
      </c>
      <c r="G28" s="22">
        <v>39</v>
      </c>
      <c r="H28" s="2">
        <v>35.32</v>
      </c>
      <c r="I28" s="64">
        <v>1377.48</v>
      </c>
      <c r="J28" s="2">
        <v>63.72</v>
      </c>
      <c r="K28" s="2">
        <v>221.76</v>
      </c>
      <c r="L28" s="22" t="s">
        <v>26</v>
      </c>
      <c r="M28" s="22" t="s">
        <v>27</v>
      </c>
      <c r="N28" s="22" t="s">
        <v>28</v>
      </c>
    </row>
    <row r="29" spans="1:14" x14ac:dyDescent="0.25">
      <c r="A29" s="22" t="s">
        <v>99</v>
      </c>
      <c r="B29" s="63">
        <v>45527</v>
      </c>
      <c r="C29" s="22" t="str">
        <f>TRIM(Raw_Data!C29)</f>
        <v>Jones, Laura</v>
      </c>
      <c r="D29" s="22" t="str">
        <f>PROPER(TRIM(Raw_Data!D29))</f>
        <v>China</v>
      </c>
      <c r="E29" s="22" t="s">
        <v>51</v>
      </c>
      <c r="F29" s="22" t="s">
        <v>52</v>
      </c>
      <c r="G29" s="22">
        <v>6</v>
      </c>
      <c r="H29" s="2">
        <v>39.630000000000003</v>
      </c>
      <c r="I29" s="64">
        <v>237.78</v>
      </c>
      <c r="J29" s="2">
        <v>8.08</v>
      </c>
      <c r="K29" s="2">
        <v>94.7</v>
      </c>
      <c r="L29" s="22" t="s">
        <v>19</v>
      </c>
      <c r="M29" s="22" t="s">
        <v>32</v>
      </c>
      <c r="N29" s="22" t="s">
        <v>58</v>
      </c>
    </row>
    <row r="30" spans="1:14" x14ac:dyDescent="0.25">
      <c r="A30" s="22" t="s">
        <v>101</v>
      </c>
      <c r="B30" s="63">
        <v>45687</v>
      </c>
      <c r="C30" s="22" t="str">
        <f>TRIM(Raw_Data!C30)</f>
        <v>Brown, Michael</v>
      </c>
      <c r="D30" s="22" t="str">
        <f>PROPER(TRIM(Raw_Data!D30))</f>
        <v>South Africa</v>
      </c>
      <c r="E30" s="22" t="s">
        <v>43</v>
      </c>
      <c r="F30" s="22" t="s">
        <v>44</v>
      </c>
      <c r="G30" s="22">
        <v>36</v>
      </c>
      <c r="H30" s="2">
        <v>68.400000000000006</v>
      </c>
      <c r="I30" s="64">
        <v>2462.4</v>
      </c>
      <c r="J30" s="2">
        <v>150.83000000000001</v>
      </c>
      <c r="K30" s="2">
        <v>871.57</v>
      </c>
      <c r="L30" s="22" t="s">
        <v>26</v>
      </c>
      <c r="M30" s="22" t="s">
        <v>20</v>
      </c>
      <c r="N30" s="22" t="s">
        <v>87</v>
      </c>
    </row>
    <row r="31" spans="1:14" x14ac:dyDescent="0.25">
      <c r="A31" s="22" t="s">
        <v>103</v>
      </c>
      <c r="B31" s="63">
        <v>45488</v>
      </c>
      <c r="C31" s="22" t="str">
        <f>TRIM(Raw_Data!C31)</f>
        <v>Williams, David</v>
      </c>
      <c r="D31" s="22" t="str">
        <f>PROPER(TRIM(Raw_Data!D31))</f>
        <v>Italy</v>
      </c>
      <c r="E31" s="22" t="s">
        <v>56</v>
      </c>
      <c r="F31" s="22" t="s">
        <v>57</v>
      </c>
      <c r="G31" s="22">
        <v>1</v>
      </c>
      <c r="H31" s="2">
        <v>44.98</v>
      </c>
      <c r="I31" s="64">
        <v>44.98</v>
      </c>
      <c r="J31" s="2">
        <v>2.81</v>
      </c>
      <c r="K31" s="2">
        <v>17.170000000000002</v>
      </c>
      <c r="L31" s="22" t="s">
        <v>26</v>
      </c>
      <c r="M31" s="22" t="s">
        <v>27</v>
      </c>
      <c r="N31" s="22" t="s">
        <v>28</v>
      </c>
    </row>
    <row r="32" spans="1:14" x14ac:dyDescent="0.25">
      <c r="A32" s="22" t="s">
        <v>104</v>
      </c>
      <c r="B32" s="63">
        <v>45769</v>
      </c>
      <c r="C32" s="22" t="str">
        <f>TRIM(Raw_Data!C32)</f>
        <v>Miller, Laura</v>
      </c>
      <c r="D32" s="22" t="str">
        <f>PROPER(TRIM(Raw_Data!D32))</f>
        <v>France</v>
      </c>
      <c r="E32" s="22" t="s">
        <v>83</v>
      </c>
      <c r="F32" s="22" t="s">
        <v>52</v>
      </c>
      <c r="G32" s="22">
        <v>3</v>
      </c>
      <c r="H32" s="2">
        <v>37.74</v>
      </c>
      <c r="I32" s="64">
        <v>113.22</v>
      </c>
      <c r="J32" s="2">
        <v>4.04</v>
      </c>
      <c r="K32" s="2">
        <v>25.18</v>
      </c>
      <c r="L32" s="22" t="s">
        <v>26</v>
      </c>
      <c r="M32" s="22" t="s">
        <v>27</v>
      </c>
      <c r="N32" s="22" t="s">
        <v>28</v>
      </c>
    </row>
    <row r="33" spans="1:14" x14ac:dyDescent="0.25">
      <c r="A33" s="22" t="s">
        <v>107</v>
      </c>
      <c r="B33" s="63">
        <v>45417</v>
      </c>
      <c r="C33" s="22" t="str">
        <f>TRIM(Raw_Data!C33)</f>
        <v>Garcia, Sophia</v>
      </c>
      <c r="D33" s="22" t="str">
        <f>PROPER(TRIM(Raw_Data!D33))</f>
        <v>France</v>
      </c>
      <c r="E33" s="22" t="s">
        <v>56</v>
      </c>
      <c r="F33" s="22" t="s">
        <v>57</v>
      </c>
      <c r="G33" s="22">
        <v>12</v>
      </c>
      <c r="H33" s="2">
        <v>39.799999999999997</v>
      </c>
      <c r="I33" s="64">
        <v>477.6</v>
      </c>
      <c r="J33" s="2">
        <v>20.54</v>
      </c>
      <c r="K33" s="2">
        <v>157.06</v>
      </c>
      <c r="L33" s="22" t="s">
        <v>38</v>
      </c>
      <c r="M33" s="22" t="s">
        <v>27</v>
      </c>
      <c r="N33" s="22" t="s">
        <v>28</v>
      </c>
    </row>
    <row r="34" spans="1:14" x14ac:dyDescent="0.25">
      <c r="A34" s="22" t="s">
        <v>109</v>
      </c>
      <c r="B34" s="63">
        <v>45409</v>
      </c>
      <c r="C34" s="22" t="str">
        <f>TRIM(Raw_Data!C34)</f>
        <v>Smith, Sophia</v>
      </c>
      <c r="D34" s="22" t="str">
        <f>PROPER(TRIM(Raw_Data!D34))</f>
        <v>China</v>
      </c>
      <c r="E34" s="22" t="s">
        <v>36</v>
      </c>
      <c r="F34" s="22" t="s">
        <v>37</v>
      </c>
      <c r="G34" s="22">
        <v>26</v>
      </c>
      <c r="H34" s="2">
        <v>43.23</v>
      </c>
      <c r="I34" s="64">
        <v>1123.98</v>
      </c>
      <c r="J34" s="2">
        <v>57.2</v>
      </c>
      <c r="K34" s="2">
        <v>234.78</v>
      </c>
      <c r="L34" s="22" t="s">
        <v>26</v>
      </c>
      <c r="M34" s="22" t="s">
        <v>32</v>
      </c>
      <c r="N34" s="22" t="s">
        <v>58</v>
      </c>
    </row>
    <row r="35" spans="1:14" x14ac:dyDescent="0.25">
      <c r="A35" s="22" t="s">
        <v>111</v>
      </c>
      <c r="B35" s="63">
        <v>45668</v>
      </c>
      <c r="C35" s="22" t="str">
        <f>TRIM(Raw_Data!C35)</f>
        <v>Miller, Daniel</v>
      </c>
      <c r="D35" s="22" t="str">
        <f>PROPER(TRIM(Raw_Data!D35))</f>
        <v>Italy</v>
      </c>
      <c r="E35" s="22" t="s">
        <v>43</v>
      </c>
      <c r="F35" s="22" t="s">
        <v>44</v>
      </c>
      <c r="G35" s="22">
        <v>17</v>
      </c>
      <c r="H35" s="2">
        <v>66.34</v>
      </c>
      <c r="I35" s="64">
        <v>1127.78</v>
      </c>
      <c r="J35" s="2">
        <v>81.150000000000006</v>
      </c>
      <c r="K35" s="2">
        <v>366.63</v>
      </c>
      <c r="L35" s="22" t="s">
        <v>26</v>
      </c>
      <c r="M35" s="22" t="s">
        <v>32</v>
      </c>
      <c r="N35" s="22" t="s">
        <v>28</v>
      </c>
    </row>
    <row r="36" spans="1:14" x14ac:dyDescent="0.25">
      <c r="A36" s="22" t="s">
        <v>112</v>
      </c>
      <c r="B36" s="63">
        <v>45578</v>
      </c>
      <c r="C36" s="22" t="str">
        <f>TRIM(Raw_Data!C36)</f>
        <v>Hernandez, John</v>
      </c>
      <c r="D36" s="22" t="str">
        <f>PROPER(TRIM(Raw_Data!D36))</f>
        <v>Singapore</v>
      </c>
      <c r="E36" s="22" t="s">
        <v>56</v>
      </c>
      <c r="F36" s="22" t="s">
        <v>57</v>
      </c>
      <c r="G36" s="22">
        <v>4</v>
      </c>
      <c r="H36" s="2">
        <v>33.869999999999997</v>
      </c>
      <c r="I36" s="64">
        <v>135.47999999999999</v>
      </c>
      <c r="J36" s="2">
        <v>6.59</v>
      </c>
      <c r="K36" s="2">
        <v>28.89</v>
      </c>
      <c r="L36" s="22" t="s">
        <v>19</v>
      </c>
      <c r="M36" s="22" t="s">
        <v>32</v>
      </c>
      <c r="N36" s="22" t="s">
        <v>58</v>
      </c>
    </row>
    <row r="37" spans="1:14" x14ac:dyDescent="0.25">
      <c r="A37" s="22" t="s">
        <v>114</v>
      </c>
      <c r="B37" s="63">
        <v>45606</v>
      </c>
      <c r="C37" s="22" t="str">
        <f>TRIM(Raw_Data!C37)</f>
        <v>Williams, Laura</v>
      </c>
      <c r="D37" s="22" t="str">
        <f>PROPER(TRIM(Raw_Data!D37))</f>
        <v>Italy</v>
      </c>
      <c r="E37" s="22" t="s">
        <v>43</v>
      </c>
      <c r="F37" s="22" t="s">
        <v>44</v>
      </c>
      <c r="G37" s="22">
        <v>10</v>
      </c>
      <c r="H37" s="2">
        <v>64.650000000000006</v>
      </c>
      <c r="I37" s="64">
        <v>646.5</v>
      </c>
      <c r="J37" s="2">
        <v>17.89</v>
      </c>
      <c r="K37" s="2">
        <v>228.61</v>
      </c>
      <c r="L37" s="22" t="s">
        <v>38</v>
      </c>
      <c r="M37" s="22" t="s">
        <v>20</v>
      </c>
      <c r="N37" s="22" t="s">
        <v>28</v>
      </c>
    </row>
    <row r="38" spans="1:14" x14ac:dyDescent="0.25">
      <c r="A38" s="22" t="s">
        <v>116</v>
      </c>
      <c r="B38" s="63">
        <v>45638</v>
      </c>
      <c r="C38" s="22" t="str">
        <f>TRIM(Raw_Data!C38)</f>
        <v>Miller, David</v>
      </c>
      <c r="D38" s="22" t="str">
        <f>PROPER(TRIM(Raw_Data!D38))</f>
        <v>South Africa</v>
      </c>
      <c r="E38" s="22" t="s">
        <v>51</v>
      </c>
      <c r="F38" s="22" t="s">
        <v>52</v>
      </c>
      <c r="G38" s="22">
        <v>12</v>
      </c>
      <c r="H38" s="2">
        <v>29.56</v>
      </c>
      <c r="I38" s="64">
        <v>354.72</v>
      </c>
      <c r="J38" s="2">
        <v>21.4</v>
      </c>
      <c r="K38" s="2">
        <v>63.32</v>
      </c>
      <c r="L38" s="22" t="s">
        <v>26</v>
      </c>
      <c r="M38" s="22" t="s">
        <v>20</v>
      </c>
      <c r="N38" s="22" t="s">
        <v>87</v>
      </c>
    </row>
    <row r="39" spans="1:14" x14ac:dyDescent="0.25">
      <c r="A39" s="22" t="s">
        <v>118</v>
      </c>
      <c r="B39" s="63">
        <v>45413</v>
      </c>
      <c r="C39" s="22" t="str">
        <f>TRIM(Raw_Data!C39)</f>
        <v>Smith, Michael</v>
      </c>
      <c r="D39" s="22" t="str">
        <f>PROPER(TRIM(Raw_Data!D39))</f>
        <v>Usa</v>
      </c>
      <c r="E39" s="22" t="s">
        <v>56</v>
      </c>
      <c r="F39" s="22" t="s">
        <v>57</v>
      </c>
      <c r="G39" s="22">
        <v>4</v>
      </c>
      <c r="H39" s="2">
        <v>35.36</v>
      </c>
      <c r="I39" s="64">
        <v>141.44</v>
      </c>
      <c r="J39" s="2">
        <v>8.66</v>
      </c>
      <c r="K39" s="2">
        <v>32.78</v>
      </c>
      <c r="L39" s="22" t="s">
        <v>38</v>
      </c>
      <c r="M39" s="22" t="s">
        <v>27</v>
      </c>
      <c r="N39" s="22" t="s">
        <v>21</v>
      </c>
    </row>
    <row r="40" spans="1:14" x14ac:dyDescent="0.25">
      <c r="A40" s="22" t="s">
        <v>120</v>
      </c>
      <c r="B40" s="63">
        <v>45684</v>
      </c>
      <c r="C40" s="22" t="str">
        <f>TRIM(Raw_Data!C40)</f>
        <v>Martinez, Sarah</v>
      </c>
      <c r="D40" s="22" t="str">
        <f>PROPER(TRIM(Raw_Data!D40))</f>
        <v>Italy</v>
      </c>
      <c r="E40" s="22" t="s">
        <v>48</v>
      </c>
      <c r="F40" s="22" t="s">
        <v>37</v>
      </c>
      <c r="G40" s="22">
        <v>28</v>
      </c>
      <c r="H40" s="2">
        <v>31.42</v>
      </c>
      <c r="I40" s="64">
        <v>879.76</v>
      </c>
      <c r="J40" s="2">
        <v>69.319999999999993</v>
      </c>
      <c r="K40" s="2">
        <v>250.44</v>
      </c>
      <c r="L40" s="22" t="s">
        <v>19</v>
      </c>
      <c r="M40" s="22" t="s">
        <v>32</v>
      </c>
      <c r="N40" s="22" t="s">
        <v>28</v>
      </c>
    </row>
    <row r="41" spans="1:14" x14ac:dyDescent="0.25">
      <c r="A41" s="22" t="s">
        <v>122</v>
      </c>
      <c r="B41" s="63">
        <v>45414</v>
      </c>
      <c r="C41" s="22" t="str">
        <f>TRIM(Raw_Data!C41)</f>
        <v>Garcia, Emily</v>
      </c>
      <c r="D41" s="22" t="str">
        <f>PROPER(TRIM(Raw_Data!D41))</f>
        <v>Usa</v>
      </c>
      <c r="E41" s="22" t="s">
        <v>17</v>
      </c>
      <c r="F41" s="22" t="s">
        <v>18</v>
      </c>
      <c r="G41" s="22">
        <v>35</v>
      </c>
      <c r="H41" s="2">
        <v>55.12</v>
      </c>
      <c r="I41" s="64">
        <v>1929.2</v>
      </c>
      <c r="J41" s="2">
        <v>58.22</v>
      </c>
      <c r="K41" s="2">
        <v>645.98</v>
      </c>
      <c r="L41" s="22" t="s">
        <v>19</v>
      </c>
      <c r="M41" s="22" t="s">
        <v>20</v>
      </c>
      <c r="N41" s="22" t="s">
        <v>21</v>
      </c>
    </row>
    <row r="42" spans="1:14" x14ac:dyDescent="0.25">
      <c r="A42" s="22" t="s">
        <v>124</v>
      </c>
      <c r="B42" s="63">
        <v>45762</v>
      </c>
      <c r="C42" s="22" t="str">
        <f>TRIM(Raw_Data!C42)</f>
        <v>Williams, Emma</v>
      </c>
      <c r="D42" s="22" t="str">
        <f>PROPER(TRIM(Raw_Data!D42))</f>
        <v>Uae</v>
      </c>
      <c r="E42" s="22" t="s">
        <v>51</v>
      </c>
      <c r="F42" s="22" t="s">
        <v>52</v>
      </c>
      <c r="G42" s="22">
        <v>41</v>
      </c>
      <c r="H42" s="2">
        <v>33.94</v>
      </c>
      <c r="I42" s="64">
        <v>1391.54</v>
      </c>
      <c r="J42" s="2">
        <v>33.26</v>
      </c>
      <c r="K42" s="2">
        <v>435.78</v>
      </c>
      <c r="L42" s="22" t="s">
        <v>19</v>
      </c>
      <c r="M42" s="22" t="s">
        <v>32</v>
      </c>
      <c r="N42" s="22" t="s">
        <v>58</v>
      </c>
    </row>
    <row r="43" spans="1:14" x14ac:dyDescent="0.25">
      <c r="A43" s="22" t="s">
        <v>126</v>
      </c>
      <c r="B43" s="63">
        <v>45531</v>
      </c>
      <c r="C43" s="22" t="str">
        <f>TRIM(Raw_Data!C43)</f>
        <v>Smith, Emma</v>
      </c>
      <c r="D43" s="22" t="str">
        <f>PROPER(TRIM(Raw_Data!D43))</f>
        <v>Singapore</v>
      </c>
      <c r="E43" s="22" t="s">
        <v>51</v>
      </c>
      <c r="F43" s="22" t="s">
        <v>52</v>
      </c>
      <c r="G43" s="22">
        <v>20</v>
      </c>
      <c r="H43" s="2">
        <v>38.43</v>
      </c>
      <c r="I43" s="64">
        <v>768.6</v>
      </c>
      <c r="J43" s="2">
        <v>60.07</v>
      </c>
      <c r="K43" s="2">
        <v>258.52999999999997</v>
      </c>
      <c r="L43" s="22" t="s">
        <v>38</v>
      </c>
      <c r="M43" s="22" t="s">
        <v>32</v>
      </c>
      <c r="N43" s="22" t="s">
        <v>58</v>
      </c>
    </row>
    <row r="44" spans="1:14" x14ac:dyDescent="0.25">
      <c r="A44" s="22" t="s">
        <v>127</v>
      </c>
      <c r="B44" s="63">
        <v>45441</v>
      </c>
      <c r="C44" s="22" t="str">
        <f>TRIM(Raw_Data!C44)</f>
        <v>Davis, Sarah</v>
      </c>
      <c r="D44" s="22" t="str">
        <f>PROPER(TRIM(Raw_Data!D44))</f>
        <v>Brazil</v>
      </c>
      <c r="E44" s="22" t="s">
        <v>56</v>
      </c>
      <c r="F44" s="22" t="s">
        <v>57</v>
      </c>
      <c r="G44" s="22">
        <v>23</v>
      </c>
      <c r="H44" s="2">
        <v>35.07</v>
      </c>
      <c r="I44" s="64">
        <v>806.61</v>
      </c>
      <c r="J44" s="2">
        <v>21.23</v>
      </c>
      <c r="K44" s="2">
        <v>210.38</v>
      </c>
      <c r="L44" s="22" t="s">
        <v>19</v>
      </c>
      <c r="M44" s="22" t="s">
        <v>32</v>
      </c>
      <c r="N44" s="22" t="s">
        <v>39</v>
      </c>
    </row>
    <row r="45" spans="1:14" x14ac:dyDescent="0.25">
      <c r="A45" s="22" t="s">
        <v>128</v>
      </c>
      <c r="B45" s="63">
        <v>45745</v>
      </c>
      <c r="C45" s="22" t="str">
        <f>TRIM(Raw_Data!C45)</f>
        <v>Davis, James</v>
      </c>
      <c r="D45" s="22" t="str">
        <f>PROPER(TRIM(Raw_Data!D45))</f>
        <v>Australia</v>
      </c>
      <c r="E45" s="22" t="s">
        <v>43</v>
      </c>
      <c r="F45" s="22" t="s">
        <v>44</v>
      </c>
      <c r="G45" s="22">
        <v>35</v>
      </c>
      <c r="H45" s="2">
        <v>71.44</v>
      </c>
      <c r="I45" s="64">
        <v>2500.4</v>
      </c>
      <c r="J45" s="2">
        <v>166.81</v>
      </c>
      <c r="K45" s="2">
        <v>933.59</v>
      </c>
      <c r="L45" s="22" t="s">
        <v>26</v>
      </c>
      <c r="M45" s="22" t="s">
        <v>27</v>
      </c>
      <c r="N45" s="22" t="s">
        <v>130</v>
      </c>
    </row>
    <row r="46" spans="1:14" x14ac:dyDescent="0.25">
      <c r="A46" s="22" t="s">
        <v>131</v>
      </c>
      <c r="B46" s="63">
        <v>45632</v>
      </c>
      <c r="C46" s="22" t="str">
        <f>TRIM(Raw_Data!C46)</f>
        <v>Williams, Laura</v>
      </c>
      <c r="D46" s="22" t="str">
        <f>PROPER(TRIM(Raw_Data!D46))</f>
        <v>Canada</v>
      </c>
      <c r="E46" s="22" t="s">
        <v>25</v>
      </c>
      <c r="F46" s="22" t="s">
        <v>18</v>
      </c>
      <c r="G46" s="22">
        <v>11</v>
      </c>
      <c r="H46" s="2">
        <v>26.05</v>
      </c>
      <c r="I46" s="64">
        <v>286.55</v>
      </c>
      <c r="J46" s="2">
        <v>13.39</v>
      </c>
      <c r="K46" s="2">
        <v>75.16</v>
      </c>
      <c r="L46" s="22" t="s">
        <v>26</v>
      </c>
      <c r="M46" s="22" t="s">
        <v>20</v>
      </c>
      <c r="N46" s="22" t="s">
        <v>21</v>
      </c>
    </row>
    <row r="47" spans="1:14" x14ac:dyDescent="0.25">
      <c r="A47" s="22" t="s">
        <v>132</v>
      </c>
      <c r="B47" s="63">
        <v>45349</v>
      </c>
      <c r="C47" s="22" t="str">
        <f>TRIM(Raw_Data!C47)</f>
        <v>Johnson, Emma</v>
      </c>
      <c r="D47" s="22" t="str">
        <f>PROPER(TRIM(Raw_Data!D47))</f>
        <v>Uk</v>
      </c>
      <c r="E47" s="22" t="s">
        <v>60</v>
      </c>
      <c r="F47" s="22" t="s">
        <v>52</v>
      </c>
      <c r="G47" s="22">
        <v>46</v>
      </c>
      <c r="H47" s="2">
        <v>26.67</v>
      </c>
      <c r="I47" s="64">
        <v>1226.82</v>
      </c>
      <c r="J47" s="2">
        <v>83.55</v>
      </c>
      <c r="K47" s="2">
        <v>430.27</v>
      </c>
      <c r="L47" s="22" t="s">
        <v>19</v>
      </c>
      <c r="M47" s="22" t="s">
        <v>32</v>
      </c>
      <c r="N47" s="22" t="s">
        <v>28</v>
      </c>
    </row>
    <row r="48" spans="1:14" x14ac:dyDescent="0.25">
      <c r="A48" s="22" t="s">
        <v>133</v>
      </c>
      <c r="B48" s="63">
        <v>45622</v>
      </c>
      <c r="C48" s="22" t="str">
        <f>TRIM(Raw_Data!C48)</f>
        <v>Johnson, Sarah</v>
      </c>
      <c r="D48" s="22" t="str">
        <f>PROPER(TRIM(Raw_Data!D48))</f>
        <v>Uk</v>
      </c>
      <c r="E48" s="22" t="s">
        <v>83</v>
      </c>
      <c r="F48" s="22" t="s">
        <v>52</v>
      </c>
      <c r="G48" s="22">
        <v>12</v>
      </c>
      <c r="H48" s="2">
        <v>42.84</v>
      </c>
      <c r="I48" s="64">
        <v>514.08000000000004</v>
      </c>
      <c r="J48" s="2">
        <v>22.74</v>
      </c>
      <c r="K48" s="2">
        <v>155.34</v>
      </c>
      <c r="L48" s="22" t="s">
        <v>38</v>
      </c>
      <c r="M48" s="22" t="s">
        <v>20</v>
      </c>
      <c r="N48" s="22" t="s">
        <v>28</v>
      </c>
    </row>
    <row r="49" spans="1:14" x14ac:dyDescent="0.25">
      <c r="A49" s="22" t="s">
        <v>134</v>
      </c>
      <c r="B49" s="63">
        <v>45496</v>
      </c>
      <c r="C49" s="22" t="str">
        <f>TRIM(Raw_Data!C49)</f>
        <v>Smith, Daniel</v>
      </c>
      <c r="D49" s="22" t="str">
        <f>PROPER(TRIM(Raw_Data!D49))</f>
        <v>Singapore</v>
      </c>
      <c r="E49" s="22" t="s">
        <v>25</v>
      </c>
      <c r="F49" s="22" t="s">
        <v>18</v>
      </c>
      <c r="G49" s="22">
        <v>18</v>
      </c>
      <c r="H49" s="2">
        <v>30.89</v>
      </c>
      <c r="I49" s="64">
        <v>556.02</v>
      </c>
      <c r="J49" s="2">
        <v>12</v>
      </c>
      <c r="K49" s="2">
        <v>220.02</v>
      </c>
      <c r="L49" s="22" t="s">
        <v>26</v>
      </c>
      <c r="M49" s="22" t="s">
        <v>20</v>
      </c>
      <c r="N49" s="22" t="s">
        <v>58</v>
      </c>
    </row>
    <row r="50" spans="1:14" x14ac:dyDescent="0.25">
      <c r="A50" s="22" t="s">
        <v>136</v>
      </c>
      <c r="B50" s="63">
        <v>45649</v>
      </c>
      <c r="C50" s="22" t="str">
        <f>TRIM(Raw_Data!C50)</f>
        <v>Jones, David</v>
      </c>
      <c r="D50" s="22" t="str">
        <f>PROPER(TRIM(Raw_Data!D50))</f>
        <v>Canada</v>
      </c>
      <c r="E50" s="22" t="s">
        <v>17</v>
      </c>
      <c r="F50" s="22" t="s">
        <v>18</v>
      </c>
      <c r="G50" s="22">
        <v>21</v>
      </c>
      <c r="H50" s="2">
        <v>52.41</v>
      </c>
      <c r="I50" s="64">
        <v>1100.6099999999999</v>
      </c>
      <c r="J50" s="2">
        <v>81.099999999999994</v>
      </c>
      <c r="K50" s="2">
        <v>284.51</v>
      </c>
      <c r="L50" s="22" t="s">
        <v>38</v>
      </c>
      <c r="M50" s="22" t="s">
        <v>27</v>
      </c>
      <c r="N50" s="22" t="s">
        <v>21</v>
      </c>
    </row>
    <row r="51" spans="1:14" x14ac:dyDescent="0.25">
      <c r="A51" s="22" t="s">
        <v>138</v>
      </c>
      <c r="B51" s="63">
        <v>45299</v>
      </c>
      <c r="C51" s="22" t="str">
        <f>TRIM(Raw_Data!C51)</f>
        <v>Brown, Sarah</v>
      </c>
      <c r="D51" s="22" t="str">
        <f>PROPER(TRIM(Raw_Data!D51))</f>
        <v>Australia</v>
      </c>
      <c r="E51" s="22" t="s">
        <v>83</v>
      </c>
      <c r="F51" s="22" t="s">
        <v>52</v>
      </c>
      <c r="G51" s="22">
        <v>17</v>
      </c>
      <c r="H51" s="2">
        <v>38.64</v>
      </c>
      <c r="I51" s="64">
        <v>656.88</v>
      </c>
      <c r="J51" s="2">
        <v>13.86</v>
      </c>
      <c r="K51" s="2">
        <v>167.02</v>
      </c>
      <c r="L51" s="22" t="s">
        <v>26</v>
      </c>
      <c r="M51" s="22" t="s">
        <v>20</v>
      </c>
      <c r="N51" s="22" t="s">
        <v>130</v>
      </c>
    </row>
    <row r="52" spans="1:14" x14ac:dyDescent="0.25">
      <c r="A52" s="22" t="s">
        <v>140</v>
      </c>
      <c r="B52" s="63">
        <v>45767</v>
      </c>
      <c r="C52" s="22" t="str">
        <f>TRIM(Raw_Data!C52)</f>
        <v>Smith, Michael</v>
      </c>
      <c r="D52" s="22" t="str">
        <f>PROPER(TRIM(Raw_Data!D52))</f>
        <v>Japan</v>
      </c>
      <c r="E52" s="22" t="s">
        <v>25</v>
      </c>
      <c r="F52" s="22" t="s">
        <v>18</v>
      </c>
      <c r="G52" s="22">
        <v>41</v>
      </c>
      <c r="H52" s="2">
        <v>25.79</v>
      </c>
      <c r="I52" s="64">
        <v>1057.3900000000001</v>
      </c>
      <c r="J52" s="2">
        <v>71.22</v>
      </c>
      <c r="K52" s="2">
        <v>248.17</v>
      </c>
      <c r="L52" s="22" t="s">
        <v>26</v>
      </c>
      <c r="M52" s="22" t="s">
        <v>27</v>
      </c>
      <c r="N52" s="22" t="s">
        <v>58</v>
      </c>
    </row>
    <row r="53" spans="1:14" x14ac:dyDescent="0.25">
      <c r="A53" s="22" t="s">
        <v>141</v>
      </c>
      <c r="B53" s="63">
        <v>45480</v>
      </c>
      <c r="C53" s="22" t="str">
        <f>TRIM(Raw_Data!C53)</f>
        <v>Martinez, Emma</v>
      </c>
      <c r="D53" s="22" t="str">
        <f>PROPER(TRIM(Raw_Data!D53))</f>
        <v>Japan</v>
      </c>
      <c r="E53" s="22" t="s">
        <v>83</v>
      </c>
      <c r="F53" s="22" t="s">
        <v>52</v>
      </c>
      <c r="G53" s="22">
        <v>41</v>
      </c>
      <c r="H53" s="2">
        <v>41.13</v>
      </c>
      <c r="I53" s="64">
        <v>1686.33</v>
      </c>
      <c r="J53" s="2">
        <v>80.12</v>
      </c>
      <c r="K53" s="2">
        <v>458.21</v>
      </c>
      <c r="L53" s="22" t="s">
        <v>26</v>
      </c>
      <c r="M53" s="22" t="s">
        <v>32</v>
      </c>
      <c r="N53" s="22" t="s">
        <v>58</v>
      </c>
    </row>
    <row r="54" spans="1:14" x14ac:dyDescent="0.25">
      <c r="A54" s="22" t="s">
        <v>143</v>
      </c>
      <c r="B54" s="63">
        <v>45599</v>
      </c>
      <c r="C54" s="22" t="str">
        <f>TRIM(Raw_Data!C54)</f>
        <v>Davis, James</v>
      </c>
      <c r="D54" s="22" t="str">
        <f>PROPER(TRIM(Raw_Data!D54))</f>
        <v>China</v>
      </c>
      <c r="E54" s="22" t="s">
        <v>43</v>
      </c>
      <c r="F54" s="22" t="s">
        <v>44</v>
      </c>
      <c r="G54" s="22">
        <v>33</v>
      </c>
      <c r="H54" s="2">
        <v>55.67</v>
      </c>
      <c r="I54" s="64">
        <v>1837.11</v>
      </c>
      <c r="J54" s="2">
        <v>144.32</v>
      </c>
      <c r="K54" s="2">
        <v>372.79</v>
      </c>
      <c r="L54" s="22" t="s">
        <v>19</v>
      </c>
      <c r="M54" s="22" t="s">
        <v>20</v>
      </c>
      <c r="N54" s="22" t="s">
        <v>58</v>
      </c>
    </row>
    <row r="55" spans="1:14" x14ac:dyDescent="0.25">
      <c r="A55" s="22" t="s">
        <v>144</v>
      </c>
      <c r="B55" s="63">
        <v>45602</v>
      </c>
      <c r="C55" s="22" t="str">
        <f>TRIM(Raw_Data!C55)</f>
        <v>Johnson, Daniel</v>
      </c>
      <c r="D55" s="22" t="str">
        <f>PROPER(TRIM(Raw_Data!D55))</f>
        <v>Japan</v>
      </c>
      <c r="E55" s="22" t="s">
        <v>43</v>
      </c>
      <c r="F55" s="22" t="s">
        <v>44</v>
      </c>
      <c r="G55" s="22">
        <v>18</v>
      </c>
      <c r="H55" s="2">
        <v>50.87</v>
      </c>
      <c r="I55" s="64">
        <v>915.66</v>
      </c>
      <c r="J55" s="2">
        <v>49.93</v>
      </c>
      <c r="K55" s="2">
        <v>145.72999999999999</v>
      </c>
      <c r="L55" s="22" t="s">
        <v>19</v>
      </c>
      <c r="M55" s="22" t="s">
        <v>27</v>
      </c>
      <c r="N55" s="22" t="s">
        <v>58</v>
      </c>
    </row>
    <row r="56" spans="1:14" x14ac:dyDescent="0.25">
      <c r="A56" s="22" t="s">
        <v>146</v>
      </c>
      <c r="B56" s="63">
        <v>45765</v>
      </c>
      <c r="C56" s="22" t="str">
        <f>TRIM(Raw_Data!C56)</f>
        <v>Jones, Sophia</v>
      </c>
      <c r="D56" s="22" t="str">
        <f>PROPER(TRIM(Raw_Data!D56))</f>
        <v>South Africa</v>
      </c>
      <c r="E56" s="22" t="s">
        <v>60</v>
      </c>
      <c r="F56" s="22" t="s">
        <v>52</v>
      </c>
      <c r="G56" s="22">
        <v>14</v>
      </c>
      <c r="H56" s="2">
        <v>26.7</v>
      </c>
      <c r="I56" s="64">
        <v>373.8</v>
      </c>
      <c r="J56" s="2">
        <v>11.84</v>
      </c>
      <c r="K56" s="2">
        <v>144.96</v>
      </c>
      <c r="L56" s="22" t="s">
        <v>38</v>
      </c>
      <c r="M56" s="22" t="s">
        <v>20</v>
      </c>
      <c r="N56" s="22" t="s">
        <v>87</v>
      </c>
    </row>
    <row r="57" spans="1:14" x14ac:dyDescent="0.25">
      <c r="A57" s="22" t="s">
        <v>148</v>
      </c>
      <c r="B57" s="63">
        <v>45543</v>
      </c>
      <c r="C57" s="22" t="str">
        <f>TRIM(Raw_Data!C57)</f>
        <v>Garcia, Sarah</v>
      </c>
      <c r="D57" s="22" t="str">
        <f>PROPER(TRIM(Raw_Data!D57))</f>
        <v>Usa</v>
      </c>
      <c r="E57" s="22" t="s">
        <v>25</v>
      </c>
      <c r="F57" s="22" t="s">
        <v>18</v>
      </c>
      <c r="G57" s="22">
        <v>16</v>
      </c>
      <c r="H57" s="2">
        <v>28.96</v>
      </c>
      <c r="I57" s="64">
        <v>463.36</v>
      </c>
      <c r="J57" s="2">
        <v>35.65</v>
      </c>
      <c r="K57" s="2">
        <v>139.71</v>
      </c>
      <c r="L57" s="22" t="s">
        <v>19</v>
      </c>
      <c r="M57" s="22" t="s">
        <v>32</v>
      </c>
      <c r="N57" s="22" t="s">
        <v>21</v>
      </c>
    </row>
    <row r="58" spans="1:14" x14ac:dyDescent="0.25">
      <c r="A58" s="22" t="s">
        <v>150</v>
      </c>
      <c r="B58" s="63">
        <v>45418</v>
      </c>
      <c r="C58" s="22" t="str">
        <f>TRIM(Raw_Data!C58)</f>
        <v>Davis, James</v>
      </c>
      <c r="D58" s="22" t="str">
        <f>PROPER(TRIM(Raw_Data!D58))</f>
        <v>Germany</v>
      </c>
      <c r="E58" s="22" t="s">
        <v>25</v>
      </c>
      <c r="F58" s="22" t="s">
        <v>18</v>
      </c>
      <c r="G58" s="22">
        <v>47</v>
      </c>
      <c r="H58" s="2">
        <v>23.03</v>
      </c>
      <c r="I58" s="64">
        <v>1082.4100000000001</v>
      </c>
      <c r="J58" s="2">
        <v>50.12</v>
      </c>
      <c r="K58" s="2">
        <v>186.29</v>
      </c>
      <c r="L58" s="22" t="s">
        <v>38</v>
      </c>
      <c r="M58" s="22" t="s">
        <v>20</v>
      </c>
      <c r="N58" s="22" t="s">
        <v>28</v>
      </c>
    </row>
    <row r="59" spans="1:14" x14ac:dyDescent="0.25">
      <c r="A59" s="22" t="s">
        <v>152</v>
      </c>
      <c r="B59" s="63">
        <v>45425</v>
      </c>
      <c r="C59" s="22" t="str">
        <f>TRIM(Raw_Data!C59)</f>
        <v>Garcia, Sarah</v>
      </c>
      <c r="D59" s="22" t="str">
        <f>PROPER(TRIM(Raw_Data!D59))</f>
        <v>Australia</v>
      </c>
      <c r="E59" s="22" t="s">
        <v>17</v>
      </c>
      <c r="F59" s="22" t="s">
        <v>18</v>
      </c>
      <c r="G59" s="22">
        <v>18</v>
      </c>
      <c r="H59" s="2">
        <v>50.03</v>
      </c>
      <c r="I59" s="64">
        <v>900.54</v>
      </c>
      <c r="J59" s="2">
        <v>68.44</v>
      </c>
      <c r="K59" s="2">
        <v>202.1</v>
      </c>
      <c r="L59" s="22" t="s">
        <v>38</v>
      </c>
      <c r="M59" s="22" t="s">
        <v>20</v>
      </c>
      <c r="N59" s="22" t="s">
        <v>130</v>
      </c>
    </row>
    <row r="60" spans="1:14" x14ac:dyDescent="0.25">
      <c r="A60" s="22" t="s">
        <v>153</v>
      </c>
      <c r="B60" s="63">
        <v>45493</v>
      </c>
      <c r="C60" s="22" t="str">
        <f>TRIM(Raw_Data!C60)</f>
        <v>Williams, Michael</v>
      </c>
      <c r="D60" s="22" t="str">
        <f>PROPER(TRIM(Raw_Data!D60))</f>
        <v>Uk</v>
      </c>
      <c r="E60" s="22" t="s">
        <v>56</v>
      </c>
      <c r="F60" s="22" t="s">
        <v>57</v>
      </c>
      <c r="G60" s="22">
        <v>38</v>
      </c>
      <c r="H60" s="2">
        <v>32.07</v>
      </c>
      <c r="I60" s="64">
        <v>1218.6600000000001</v>
      </c>
      <c r="J60" s="2">
        <v>54.49</v>
      </c>
      <c r="K60" s="2">
        <v>214.17</v>
      </c>
      <c r="L60" s="22" t="s">
        <v>38</v>
      </c>
      <c r="M60" s="22" t="s">
        <v>32</v>
      </c>
      <c r="N60" s="22" t="s">
        <v>28</v>
      </c>
    </row>
    <row r="61" spans="1:14" x14ac:dyDescent="0.25">
      <c r="A61" s="22" t="s">
        <v>155</v>
      </c>
      <c r="B61" s="63">
        <v>45752</v>
      </c>
      <c r="C61" s="22" t="str">
        <f>TRIM(Raw_Data!C61)</f>
        <v>Hernandez, James</v>
      </c>
      <c r="D61" s="22" t="str">
        <f>PROPER(TRIM(Raw_Data!D61))</f>
        <v>Brazil</v>
      </c>
      <c r="E61" s="22" t="s">
        <v>36</v>
      </c>
      <c r="F61" s="22" t="s">
        <v>37</v>
      </c>
      <c r="G61" s="22">
        <v>23</v>
      </c>
      <c r="H61" s="2">
        <v>50.96</v>
      </c>
      <c r="I61" s="64">
        <v>1172.08</v>
      </c>
      <c r="J61" s="2">
        <v>61</v>
      </c>
      <c r="K61" s="2">
        <v>375.08</v>
      </c>
      <c r="L61" s="22" t="s">
        <v>38</v>
      </c>
      <c r="M61" s="22" t="s">
        <v>27</v>
      </c>
      <c r="N61" s="22" t="s">
        <v>39</v>
      </c>
    </row>
    <row r="62" spans="1:14" x14ac:dyDescent="0.25">
      <c r="A62" s="22" t="s">
        <v>157</v>
      </c>
      <c r="B62" s="63">
        <v>45736</v>
      </c>
      <c r="C62" s="22" t="str">
        <f>TRIM(Raw_Data!C62)</f>
        <v>Williams, Sarah</v>
      </c>
      <c r="D62" s="22" t="str">
        <f>PROPER(TRIM(Raw_Data!D62))</f>
        <v>Japan</v>
      </c>
      <c r="E62" s="22" t="s">
        <v>43</v>
      </c>
      <c r="F62" s="22" t="s">
        <v>44</v>
      </c>
      <c r="G62" s="22">
        <v>46</v>
      </c>
      <c r="H62" s="2">
        <v>70.599999999999994</v>
      </c>
      <c r="I62" s="64">
        <v>3247.6</v>
      </c>
      <c r="J62" s="2">
        <v>166.91</v>
      </c>
      <c r="K62" s="2">
        <v>1240.69</v>
      </c>
      <c r="L62" s="22" t="s">
        <v>38</v>
      </c>
      <c r="M62" s="22" t="s">
        <v>27</v>
      </c>
      <c r="N62" s="22" t="s">
        <v>58</v>
      </c>
    </row>
    <row r="63" spans="1:14" x14ac:dyDescent="0.25">
      <c r="A63" s="22" t="s">
        <v>159</v>
      </c>
      <c r="B63" s="63">
        <v>45515</v>
      </c>
      <c r="C63" s="22" t="str">
        <f>TRIM(Raw_Data!C63)</f>
        <v>Johnson, Sarah</v>
      </c>
      <c r="D63" s="22" t="str">
        <f>PROPER(TRIM(Raw_Data!D63))</f>
        <v>Japan</v>
      </c>
      <c r="E63" s="22" t="s">
        <v>43</v>
      </c>
      <c r="F63" s="22" t="s">
        <v>44</v>
      </c>
      <c r="G63" s="22">
        <v>15</v>
      </c>
      <c r="H63" s="2">
        <v>53.36</v>
      </c>
      <c r="I63" s="64">
        <v>800.4</v>
      </c>
      <c r="J63" s="2">
        <v>56.29</v>
      </c>
      <c r="K63" s="2">
        <v>144.11000000000001</v>
      </c>
      <c r="L63" s="22" t="s">
        <v>19</v>
      </c>
      <c r="M63" s="22" t="s">
        <v>20</v>
      </c>
      <c r="N63" s="22" t="s">
        <v>58</v>
      </c>
    </row>
    <row r="64" spans="1:14" x14ac:dyDescent="0.25">
      <c r="A64" s="22" t="s">
        <v>160</v>
      </c>
      <c r="B64" s="63">
        <v>45369</v>
      </c>
      <c r="C64" s="22" t="str">
        <f>TRIM(Raw_Data!C64)</f>
        <v>Williams, Emily</v>
      </c>
      <c r="D64" s="22" t="str">
        <f>PROPER(TRIM(Raw_Data!D64))</f>
        <v>Australia</v>
      </c>
      <c r="E64" s="22" t="s">
        <v>36</v>
      </c>
      <c r="F64" s="22" t="s">
        <v>37</v>
      </c>
      <c r="G64" s="22">
        <v>42</v>
      </c>
      <c r="H64" s="2">
        <v>39.840000000000003</v>
      </c>
      <c r="I64" s="64">
        <v>1673.28</v>
      </c>
      <c r="J64" s="2">
        <v>132.74</v>
      </c>
      <c r="K64" s="2">
        <v>196.54</v>
      </c>
      <c r="L64" s="22" t="s">
        <v>19</v>
      </c>
      <c r="M64" s="22" t="s">
        <v>32</v>
      </c>
      <c r="N64" s="22" t="s">
        <v>130</v>
      </c>
    </row>
    <row r="65" spans="1:14" x14ac:dyDescent="0.25">
      <c r="A65" s="22" t="s">
        <v>162</v>
      </c>
      <c r="B65" s="63">
        <v>45756</v>
      </c>
      <c r="C65" s="22" t="str">
        <f>TRIM(Raw_Data!C65)</f>
        <v>Johnson, Daniel</v>
      </c>
      <c r="D65" s="22" t="str">
        <f>PROPER(TRIM(Raw_Data!D65))</f>
        <v>Japan</v>
      </c>
      <c r="E65" s="22" t="s">
        <v>56</v>
      </c>
      <c r="F65" s="22" t="s">
        <v>57</v>
      </c>
      <c r="G65" s="22">
        <v>31</v>
      </c>
      <c r="H65" s="2">
        <v>38.26</v>
      </c>
      <c r="I65" s="64">
        <v>1186.06</v>
      </c>
      <c r="J65" s="2">
        <v>69.33</v>
      </c>
      <c r="K65" s="2">
        <v>341.73</v>
      </c>
      <c r="L65" s="22" t="s">
        <v>26</v>
      </c>
      <c r="M65" s="22" t="s">
        <v>20</v>
      </c>
      <c r="N65" s="22" t="s">
        <v>58</v>
      </c>
    </row>
    <row r="66" spans="1:14" x14ac:dyDescent="0.25">
      <c r="A66" s="22" t="s">
        <v>163</v>
      </c>
      <c r="B66" s="63">
        <v>45579</v>
      </c>
      <c r="C66" s="22" t="str">
        <f>TRIM(Raw_Data!C66)</f>
        <v>Jones, Sophia</v>
      </c>
      <c r="D66" s="22" t="str">
        <f>PROPER(TRIM(Raw_Data!D66))</f>
        <v>France</v>
      </c>
      <c r="E66" s="22" t="s">
        <v>60</v>
      </c>
      <c r="F66" s="22" t="s">
        <v>52</v>
      </c>
      <c r="G66" s="22">
        <v>2</v>
      </c>
      <c r="H66" s="2">
        <v>23.09</v>
      </c>
      <c r="I66" s="64">
        <v>46.18</v>
      </c>
      <c r="J66" s="2">
        <v>2.52</v>
      </c>
      <c r="K66" s="2">
        <v>12.66</v>
      </c>
      <c r="L66" s="22" t="s">
        <v>26</v>
      </c>
      <c r="M66" s="22" t="s">
        <v>27</v>
      </c>
      <c r="N66" s="22" t="s">
        <v>28</v>
      </c>
    </row>
    <row r="67" spans="1:14" x14ac:dyDescent="0.25">
      <c r="A67" s="22" t="s">
        <v>164</v>
      </c>
      <c r="B67" s="63">
        <v>45647</v>
      </c>
      <c r="C67" s="22" t="str">
        <f>TRIM(Raw_Data!C67)</f>
        <v>Hernandez, Emma</v>
      </c>
      <c r="D67" s="22" t="str">
        <f>PROPER(TRIM(Raw_Data!D67))</f>
        <v>Uae</v>
      </c>
      <c r="E67" s="22" t="s">
        <v>36</v>
      </c>
      <c r="F67" s="22" t="s">
        <v>37</v>
      </c>
      <c r="G67" s="22">
        <v>40</v>
      </c>
      <c r="H67" s="2">
        <v>46.81</v>
      </c>
      <c r="I67" s="64">
        <v>1872.4</v>
      </c>
      <c r="J67" s="2">
        <v>43.01</v>
      </c>
      <c r="K67" s="2">
        <v>549.39</v>
      </c>
      <c r="L67" s="22" t="s">
        <v>19</v>
      </c>
      <c r="M67" s="22" t="s">
        <v>32</v>
      </c>
      <c r="N67" s="22" t="s">
        <v>58</v>
      </c>
    </row>
    <row r="68" spans="1:14" x14ac:dyDescent="0.25">
      <c r="A68" s="22" t="s">
        <v>165</v>
      </c>
      <c r="B68" s="63">
        <v>45719</v>
      </c>
      <c r="C68" s="22" t="str">
        <f>TRIM(Raw_Data!C68)</f>
        <v>Brown, Daniel</v>
      </c>
      <c r="D68" s="22" t="str">
        <f>PROPER(TRIM(Raw_Data!D68))</f>
        <v>China</v>
      </c>
      <c r="E68" s="22" t="s">
        <v>36</v>
      </c>
      <c r="F68" s="22" t="s">
        <v>37</v>
      </c>
      <c r="G68" s="22">
        <v>43</v>
      </c>
      <c r="H68" s="2">
        <v>57.01</v>
      </c>
      <c r="I68" s="64">
        <v>2451.4299999999998</v>
      </c>
      <c r="J68" s="2">
        <v>115.04</v>
      </c>
      <c r="K68" s="2">
        <v>960.39</v>
      </c>
      <c r="L68" s="22" t="s">
        <v>26</v>
      </c>
      <c r="M68" s="22" t="s">
        <v>20</v>
      </c>
      <c r="N68" s="22" t="s">
        <v>58</v>
      </c>
    </row>
    <row r="69" spans="1:14" x14ac:dyDescent="0.25">
      <c r="A69" s="22" t="s">
        <v>167</v>
      </c>
      <c r="B69" s="63">
        <v>45362</v>
      </c>
      <c r="C69" s="22" t="str">
        <f>TRIM(Raw_Data!C69)</f>
        <v>Martinez, Daniel</v>
      </c>
      <c r="D69" s="22" t="str">
        <f>PROPER(TRIM(Raw_Data!D69))</f>
        <v>Mexico</v>
      </c>
      <c r="E69" s="22" t="s">
        <v>63</v>
      </c>
      <c r="F69" s="22" t="s">
        <v>37</v>
      </c>
      <c r="G69" s="22">
        <v>15</v>
      </c>
      <c r="H69" s="2">
        <v>22.23</v>
      </c>
      <c r="I69" s="64">
        <v>333.45</v>
      </c>
      <c r="J69" s="2">
        <v>16.89</v>
      </c>
      <c r="K69" s="2">
        <v>125.31</v>
      </c>
      <c r="L69" s="22" t="s">
        <v>38</v>
      </c>
      <c r="M69" s="22" t="s">
        <v>27</v>
      </c>
      <c r="N69" s="22" t="s">
        <v>21</v>
      </c>
    </row>
    <row r="70" spans="1:14" x14ac:dyDescent="0.25">
      <c r="A70" s="22" t="s">
        <v>169</v>
      </c>
      <c r="B70" s="63">
        <v>45532</v>
      </c>
      <c r="C70" s="22" t="str">
        <f>TRIM(Raw_Data!C70)</f>
        <v>Jones, Michael</v>
      </c>
      <c r="D70" s="22" t="str">
        <f>PROPER(TRIM(Raw_Data!D70))</f>
        <v>France</v>
      </c>
      <c r="E70" s="22" t="s">
        <v>60</v>
      </c>
      <c r="F70" s="22" t="s">
        <v>52</v>
      </c>
      <c r="G70" s="22">
        <v>15</v>
      </c>
      <c r="H70" s="2">
        <v>19.23</v>
      </c>
      <c r="I70" s="64">
        <v>288.45</v>
      </c>
      <c r="J70" s="2">
        <v>20.22</v>
      </c>
      <c r="K70" s="2">
        <v>35.729999999999997</v>
      </c>
      <c r="L70" s="22" t="s">
        <v>19</v>
      </c>
      <c r="M70" s="22" t="s">
        <v>20</v>
      </c>
      <c r="N70" s="22" t="s">
        <v>28</v>
      </c>
    </row>
    <row r="71" spans="1:14" x14ac:dyDescent="0.25">
      <c r="A71" s="22" t="s">
        <v>171</v>
      </c>
      <c r="B71" s="63">
        <v>45458</v>
      </c>
      <c r="C71" s="22" t="str">
        <f>TRIM(Raw_Data!C71)</f>
        <v>Hernandez, Sophia</v>
      </c>
      <c r="D71" s="22" t="str">
        <f>PROPER(TRIM(Raw_Data!D71))</f>
        <v>Italy</v>
      </c>
      <c r="E71" s="22" t="s">
        <v>83</v>
      </c>
      <c r="F71" s="22" t="s">
        <v>52</v>
      </c>
      <c r="G71" s="22">
        <v>34</v>
      </c>
      <c r="H71" s="2">
        <v>45.54</v>
      </c>
      <c r="I71" s="64">
        <v>1548.36</v>
      </c>
      <c r="J71" s="2">
        <v>36.76</v>
      </c>
      <c r="K71" s="2">
        <v>559.6</v>
      </c>
      <c r="L71" s="22" t="s">
        <v>19</v>
      </c>
      <c r="M71" s="22" t="s">
        <v>20</v>
      </c>
      <c r="N71" s="22" t="s">
        <v>28</v>
      </c>
    </row>
    <row r="72" spans="1:14" x14ac:dyDescent="0.25">
      <c r="A72" s="22" t="s">
        <v>172</v>
      </c>
      <c r="B72" s="63">
        <v>45518</v>
      </c>
      <c r="C72" s="22" t="str">
        <f>TRIM(Raw_Data!C72)</f>
        <v>Garcia, Michael</v>
      </c>
      <c r="D72" s="22" t="str">
        <f>PROPER(TRIM(Raw_Data!D72))</f>
        <v>France</v>
      </c>
      <c r="E72" s="22" t="s">
        <v>43</v>
      </c>
      <c r="F72" s="22" t="s">
        <v>44</v>
      </c>
      <c r="G72" s="22">
        <v>33</v>
      </c>
      <c r="H72" s="2">
        <v>63.88</v>
      </c>
      <c r="I72" s="64">
        <v>2108.04</v>
      </c>
      <c r="J72" s="2">
        <v>111.7</v>
      </c>
      <c r="K72" s="2">
        <v>676.34</v>
      </c>
      <c r="L72" s="22" t="s">
        <v>19</v>
      </c>
      <c r="M72" s="22" t="s">
        <v>32</v>
      </c>
      <c r="N72" s="22" t="s">
        <v>28</v>
      </c>
    </row>
    <row r="73" spans="1:14" x14ac:dyDescent="0.25">
      <c r="A73" s="22" t="s">
        <v>174</v>
      </c>
      <c r="B73" s="63">
        <v>45446</v>
      </c>
      <c r="C73" s="22" t="str">
        <f>TRIM(Raw_Data!C73)</f>
        <v>Johnson, Sarah</v>
      </c>
      <c r="D73" s="22" t="str">
        <f>PROPER(TRIM(Raw_Data!D73))</f>
        <v>Germany</v>
      </c>
      <c r="E73" s="22" t="s">
        <v>25</v>
      </c>
      <c r="F73" s="22" t="s">
        <v>18</v>
      </c>
      <c r="G73" s="22">
        <v>39</v>
      </c>
      <c r="H73" s="2">
        <v>25.38</v>
      </c>
      <c r="I73" s="64">
        <v>989.82</v>
      </c>
      <c r="J73" s="2">
        <v>50.82</v>
      </c>
      <c r="K73" s="2">
        <v>237</v>
      </c>
      <c r="L73" s="22" t="s">
        <v>26</v>
      </c>
      <c r="M73" s="22" t="s">
        <v>27</v>
      </c>
      <c r="N73" s="22" t="s">
        <v>28</v>
      </c>
    </row>
    <row r="74" spans="1:14" x14ac:dyDescent="0.25">
      <c r="A74" s="22" t="s">
        <v>175</v>
      </c>
      <c r="B74" s="63">
        <v>45450</v>
      </c>
      <c r="C74" s="22" t="str">
        <f>TRIM(Raw_Data!C74)</f>
        <v>Smith, David</v>
      </c>
      <c r="D74" s="22" t="str">
        <f>PROPER(TRIM(Raw_Data!D74))</f>
        <v>India</v>
      </c>
      <c r="E74" s="22" t="s">
        <v>56</v>
      </c>
      <c r="F74" s="22" t="s">
        <v>57</v>
      </c>
      <c r="G74" s="22">
        <v>9</v>
      </c>
      <c r="H74" s="2">
        <v>38.979999999999997</v>
      </c>
      <c r="I74" s="64">
        <v>350.82</v>
      </c>
      <c r="J74" s="2">
        <v>25.56</v>
      </c>
      <c r="K74" s="2">
        <v>100.26</v>
      </c>
      <c r="L74" s="22" t="s">
        <v>19</v>
      </c>
      <c r="M74" s="22" t="s">
        <v>20</v>
      </c>
      <c r="N74" s="22" t="s">
        <v>58</v>
      </c>
    </row>
    <row r="75" spans="1:14" x14ac:dyDescent="0.25">
      <c r="A75" s="22" t="s">
        <v>178</v>
      </c>
      <c r="B75" s="63">
        <v>45569</v>
      </c>
      <c r="C75" s="22" t="str">
        <f>TRIM(Raw_Data!C75)</f>
        <v>Miller, Sophia</v>
      </c>
      <c r="D75" s="22" t="str">
        <f>PROPER(TRIM(Raw_Data!D75))</f>
        <v>South Africa</v>
      </c>
      <c r="E75" s="22" t="s">
        <v>48</v>
      </c>
      <c r="F75" s="22" t="s">
        <v>37</v>
      </c>
      <c r="G75" s="22">
        <v>14</v>
      </c>
      <c r="H75" s="2">
        <v>35.86</v>
      </c>
      <c r="I75" s="64">
        <v>502.04</v>
      </c>
      <c r="J75" s="2">
        <v>40.130000000000003</v>
      </c>
      <c r="K75" s="2">
        <v>181.91</v>
      </c>
      <c r="L75" s="22" t="s">
        <v>38</v>
      </c>
      <c r="M75" s="22" t="s">
        <v>32</v>
      </c>
      <c r="N75" s="22" t="s">
        <v>87</v>
      </c>
    </row>
    <row r="76" spans="1:14" x14ac:dyDescent="0.25">
      <c r="A76" s="22" t="s">
        <v>180</v>
      </c>
      <c r="B76" s="63">
        <v>45293</v>
      </c>
      <c r="C76" s="22" t="str">
        <f>TRIM(Raw_Data!C76)</f>
        <v>Garcia, Laura</v>
      </c>
      <c r="D76" s="22" t="str">
        <f>PROPER(TRIM(Raw_Data!D76))</f>
        <v>Japan</v>
      </c>
      <c r="E76" s="22" t="s">
        <v>60</v>
      </c>
      <c r="F76" s="22" t="s">
        <v>52</v>
      </c>
      <c r="G76" s="22">
        <v>49</v>
      </c>
      <c r="H76" s="2">
        <v>21.37</v>
      </c>
      <c r="I76" s="64">
        <v>1047.1300000000001</v>
      </c>
      <c r="J76" s="2">
        <v>65.98</v>
      </c>
      <c r="K76" s="2">
        <v>221.65</v>
      </c>
      <c r="L76" s="22" t="s">
        <v>38</v>
      </c>
      <c r="M76" s="22" t="s">
        <v>32</v>
      </c>
      <c r="N76" s="22" t="s">
        <v>58</v>
      </c>
    </row>
    <row r="77" spans="1:14" x14ac:dyDescent="0.25">
      <c r="A77" s="22" t="s">
        <v>182</v>
      </c>
      <c r="B77" s="63">
        <v>45745</v>
      </c>
      <c r="C77" s="22" t="str">
        <f>TRIM(Raw_Data!C77)</f>
        <v>Davis, Michael</v>
      </c>
      <c r="D77" s="22" t="str">
        <f>PROPER(TRIM(Raw_Data!D77))</f>
        <v>Mexico</v>
      </c>
      <c r="E77" s="22" t="s">
        <v>25</v>
      </c>
      <c r="F77" s="22" t="s">
        <v>18</v>
      </c>
      <c r="G77" s="22">
        <v>42</v>
      </c>
      <c r="H77" s="2">
        <v>24.57</v>
      </c>
      <c r="I77" s="64">
        <v>1031.94</v>
      </c>
      <c r="J77" s="2">
        <v>56.45</v>
      </c>
      <c r="K77" s="2">
        <v>219.49</v>
      </c>
      <c r="L77" s="22" t="s">
        <v>26</v>
      </c>
      <c r="M77" s="22" t="s">
        <v>20</v>
      </c>
      <c r="N77" s="22" t="s">
        <v>21</v>
      </c>
    </row>
    <row r="78" spans="1:14" x14ac:dyDescent="0.25">
      <c r="A78" s="22" t="s">
        <v>184</v>
      </c>
      <c r="B78" s="63">
        <v>45620</v>
      </c>
      <c r="C78" s="22" t="str">
        <f>TRIM(Raw_Data!C78)</f>
        <v>Davis, Michael</v>
      </c>
      <c r="D78" s="22" t="str">
        <f>PROPER(TRIM(Raw_Data!D78))</f>
        <v>Singapore</v>
      </c>
      <c r="E78" s="22" t="s">
        <v>25</v>
      </c>
      <c r="F78" s="22" t="s">
        <v>18</v>
      </c>
      <c r="G78" s="22">
        <v>42</v>
      </c>
      <c r="H78" s="2">
        <v>26.39</v>
      </c>
      <c r="I78" s="64">
        <v>1108.3800000000001</v>
      </c>
      <c r="J78" s="2">
        <v>44.56</v>
      </c>
      <c r="K78" s="2">
        <v>307.82</v>
      </c>
      <c r="L78" s="22" t="s">
        <v>26</v>
      </c>
      <c r="M78" s="22" t="s">
        <v>20</v>
      </c>
      <c r="N78" s="22" t="s">
        <v>58</v>
      </c>
    </row>
    <row r="79" spans="1:14" x14ac:dyDescent="0.25">
      <c r="A79" s="22" t="s">
        <v>185</v>
      </c>
      <c r="B79" s="63">
        <v>45598</v>
      </c>
      <c r="C79" s="22" t="str">
        <f>TRIM(Raw_Data!C79)</f>
        <v>Garcia, Laura</v>
      </c>
      <c r="D79" s="22" t="str">
        <f>PROPER(TRIM(Raw_Data!D79))</f>
        <v>Canada</v>
      </c>
      <c r="E79" s="22" t="s">
        <v>48</v>
      </c>
      <c r="F79" s="22" t="s">
        <v>37</v>
      </c>
      <c r="G79" s="22">
        <v>50</v>
      </c>
      <c r="H79" s="2">
        <v>29.73</v>
      </c>
      <c r="I79" s="64">
        <v>1486.5</v>
      </c>
      <c r="J79" s="2">
        <v>96.77</v>
      </c>
      <c r="K79" s="2">
        <v>389.73</v>
      </c>
      <c r="L79" s="22" t="s">
        <v>38</v>
      </c>
      <c r="M79" s="22" t="s">
        <v>20</v>
      </c>
      <c r="N79" s="22" t="s">
        <v>21</v>
      </c>
    </row>
    <row r="80" spans="1:14" x14ac:dyDescent="0.25">
      <c r="A80" s="22" t="s">
        <v>186</v>
      </c>
      <c r="B80" s="63">
        <v>45737</v>
      </c>
      <c r="C80" s="22" t="str">
        <f>TRIM(Raw_Data!C80)</f>
        <v>Miller, Sophia</v>
      </c>
      <c r="D80" s="22" t="str">
        <f>PROPER(TRIM(Raw_Data!D80))</f>
        <v>China</v>
      </c>
      <c r="E80" s="22" t="s">
        <v>60</v>
      </c>
      <c r="F80" s="22" t="s">
        <v>52</v>
      </c>
      <c r="G80" s="22">
        <v>39</v>
      </c>
      <c r="H80" s="2">
        <v>20.56</v>
      </c>
      <c r="I80" s="64">
        <v>801.84</v>
      </c>
      <c r="J80" s="2">
        <v>43.55</v>
      </c>
      <c r="K80" s="2">
        <v>153.79</v>
      </c>
      <c r="L80" s="22" t="s">
        <v>19</v>
      </c>
      <c r="M80" s="22" t="s">
        <v>20</v>
      </c>
      <c r="N80" s="22" t="s">
        <v>58</v>
      </c>
    </row>
    <row r="81" spans="1:14" x14ac:dyDescent="0.25">
      <c r="A81" s="22" t="s">
        <v>187</v>
      </c>
      <c r="B81" s="63">
        <v>45297</v>
      </c>
      <c r="C81" s="22" t="str">
        <f>TRIM(Raw_Data!C81)</f>
        <v>Brown, Laura</v>
      </c>
      <c r="D81" s="22" t="str">
        <f>PROPER(TRIM(Raw_Data!D81))</f>
        <v>China</v>
      </c>
      <c r="E81" s="22" t="s">
        <v>60</v>
      </c>
      <c r="F81" s="22" t="s">
        <v>52</v>
      </c>
      <c r="G81" s="22">
        <v>48</v>
      </c>
      <c r="H81" s="2">
        <v>24.36</v>
      </c>
      <c r="I81" s="64">
        <v>1169.28</v>
      </c>
      <c r="J81" s="2">
        <v>81.599999999999994</v>
      </c>
      <c r="K81" s="2">
        <v>343.68</v>
      </c>
      <c r="L81" s="22" t="s">
        <v>38</v>
      </c>
      <c r="M81" s="22" t="s">
        <v>32</v>
      </c>
      <c r="N81" s="22" t="s">
        <v>58</v>
      </c>
    </row>
    <row r="82" spans="1:14" x14ac:dyDescent="0.25">
      <c r="A82" s="22" t="s">
        <v>188</v>
      </c>
      <c r="B82" s="63">
        <v>45563</v>
      </c>
      <c r="C82" s="22" t="str">
        <f>TRIM(Raw_Data!C82)</f>
        <v>Davis, Emma</v>
      </c>
      <c r="D82" s="22" t="str">
        <f>PROPER(TRIM(Raw_Data!D82))</f>
        <v>Germany</v>
      </c>
      <c r="E82" s="22" t="s">
        <v>51</v>
      </c>
      <c r="F82" s="22" t="s">
        <v>52</v>
      </c>
      <c r="G82" s="22">
        <v>40</v>
      </c>
      <c r="H82" s="2">
        <v>27.95</v>
      </c>
      <c r="I82" s="64">
        <v>1118</v>
      </c>
      <c r="J82" s="2">
        <v>37.590000000000003</v>
      </c>
      <c r="K82" s="2">
        <v>180.41</v>
      </c>
      <c r="L82" s="22" t="s">
        <v>38</v>
      </c>
      <c r="M82" s="22" t="s">
        <v>32</v>
      </c>
      <c r="N82" s="22" t="s">
        <v>28</v>
      </c>
    </row>
    <row r="83" spans="1:14" x14ac:dyDescent="0.25">
      <c r="A83" s="22" t="s">
        <v>190</v>
      </c>
      <c r="B83" s="63">
        <v>45716</v>
      </c>
      <c r="C83" s="22" t="str">
        <f>TRIM(Raw_Data!C83)</f>
        <v>Smith, Michael</v>
      </c>
      <c r="D83" s="22" t="str">
        <f>PROPER(TRIM(Raw_Data!D83))</f>
        <v>India</v>
      </c>
      <c r="E83" s="22" t="s">
        <v>83</v>
      </c>
      <c r="F83" s="22" t="s">
        <v>52</v>
      </c>
      <c r="G83" s="22">
        <v>21</v>
      </c>
      <c r="H83" s="2">
        <v>40.19</v>
      </c>
      <c r="I83" s="64">
        <v>843.99</v>
      </c>
      <c r="J83" s="2">
        <v>32.4</v>
      </c>
      <c r="K83" s="2">
        <v>223.59</v>
      </c>
      <c r="L83" s="22" t="s">
        <v>26</v>
      </c>
      <c r="M83" s="22" t="s">
        <v>27</v>
      </c>
      <c r="N83" s="22" t="s">
        <v>58</v>
      </c>
    </row>
    <row r="84" spans="1:14" x14ac:dyDescent="0.25">
      <c r="A84" s="22" t="s">
        <v>191</v>
      </c>
      <c r="B84" s="63">
        <v>45445</v>
      </c>
      <c r="C84" s="22" t="str">
        <f>TRIM(Raw_Data!C84)</f>
        <v>Davis, David</v>
      </c>
      <c r="D84" s="22" t="str">
        <f>PROPER(TRIM(Raw_Data!D84))</f>
        <v>Singapore</v>
      </c>
      <c r="E84" s="22" t="s">
        <v>63</v>
      </c>
      <c r="F84" s="22" t="s">
        <v>37</v>
      </c>
      <c r="G84" s="22">
        <v>26</v>
      </c>
      <c r="H84" s="2">
        <v>16.670000000000002</v>
      </c>
      <c r="I84" s="64">
        <v>433.42</v>
      </c>
      <c r="J84" s="2">
        <v>32.79</v>
      </c>
      <c r="K84" s="2">
        <v>69.13</v>
      </c>
      <c r="L84" s="22" t="s">
        <v>38</v>
      </c>
      <c r="M84" s="22" t="s">
        <v>27</v>
      </c>
      <c r="N84" s="22" t="s">
        <v>58</v>
      </c>
    </row>
    <row r="85" spans="1:14" x14ac:dyDescent="0.25">
      <c r="A85" s="22" t="s">
        <v>192</v>
      </c>
      <c r="B85" s="63">
        <v>45614</v>
      </c>
      <c r="C85" s="22" t="str">
        <f>TRIM(Raw_Data!C85)</f>
        <v>Hernandez, Laura</v>
      </c>
      <c r="D85" s="22" t="str">
        <f>PROPER(TRIM(Raw_Data!D85))</f>
        <v>Brazil</v>
      </c>
      <c r="E85" s="22" t="s">
        <v>36</v>
      </c>
      <c r="F85" s="22" t="s">
        <v>37</v>
      </c>
      <c r="G85" s="22">
        <v>28</v>
      </c>
      <c r="H85" s="2">
        <v>39.85</v>
      </c>
      <c r="I85" s="64">
        <v>1115.8</v>
      </c>
      <c r="J85" s="2">
        <v>43.87</v>
      </c>
      <c r="K85" s="2">
        <v>175.93</v>
      </c>
      <c r="L85" s="22" t="s">
        <v>38</v>
      </c>
      <c r="M85" s="22" t="s">
        <v>20</v>
      </c>
      <c r="N85" s="22" t="s">
        <v>39</v>
      </c>
    </row>
    <row r="86" spans="1:14" x14ac:dyDescent="0.25">
      <c r="A86" s="22" t="s">
        <v>194</v>
      </c>
      <c r="B86" s="63">
        <v>45608</v>
      </c>
      <c r="C86" s="22" t="str">
        <f>TRIM(Raw_Data!C86)</f>
        <v>Hernandez, Laura</v>
      </c>
      <c r="D86" s="22" t="str">
        <f>PROPER(TRIM(Raw_Data!D86))</f>
        <v>Mexico</v>
      </c>
      <c r="E86" s="22" t="s">
        <v>63</v>
      </c>
      <c r="F86" s="22" t="s">
        <v>37</v>
      </c>
      <c r="G86" s="22">
        <v>47</v>
      </c>
      <c r="H86" s="2">
        <v>15.97</v>
      </c>
      <c r="I86" s="64">
        <v>750.59</v>
      </c>
      <c r="J86" s="2">
        <v>48.55</v>
      </c>
      <c r="K86" s="2">
        <v>102.79</v>
      </c>
      <c r="L86" s="22" t="s">
        <v>38</v>
      </c>
      <c r="M86" s="22" t="s">
        <v>32</v>
      </c>
      <c r="N86" s="22" t="s">
        <v>21</v>
      </c>
    </row>
    <row r="87" spans="1:14" x14ac:dyDescent="0.25">
      <c r="A87" s="22" t="s">
        <v>195</v>
      </c>
      <c r="B87" s="63">
        <v>45597</v>
      </c>
      <c r="C87" s="22" t="str">
        <f>TRIM(Raw_Data!C87)</f>
        <v>Smith, Daniel</v>
      </c>
      <c r="D87" s="22" t="str">
        <f>PROPER(TRIM(Raw_Data!D87))</f>
        <v>China</v>
      </c>
      <c r="E87" s="22" t="s">
        <v>43</v>
      </c>
      <c r="F87" s="22" t="s">
        <v>44</v>
      </c>
      <c r="G87" s="22">
        <v>28</v>
      </c>
      <c r="H87" s="2">
        <v>53.6</v>
      </c>
      <c r="I87" s="64">
        <v>1500.8</v>
      </c>
      <c r="J87" s="2">
        <v>68.55</v>
      </c>
      <c r="K87" s="2">
        <v>312.25</v>
      </c>
      <c r="L87" s="22" t="s">
        <v>26</v>
      </c>
      <c r="M87" s="22" t="s">
        <v>27</v>
      </c>
      <c r="N87" s="22" t="s">
        <v>58</v>
      </c>
    </row>
    <row r="88" spans="1:14" x14ac:dyDescent="0.25">
      <c r="A88" s="22" t="s">
        <v>196</v>
      </c>
      <c r="B88" s="63">
        <v>45647</v>
      </c>
      <c r="C88" s="22" t="str">
        <f>TRIM(Raw_Data!C88)</f>
        <v>Garcia, Sophia</v>
      </c>
      <c r="D88" s="22" t="str">
        <f>PROPER(TRIM(Raw_Data!D88))</f>
        <v>India</v>
      </c>
      <c r="E88" s="22" t="s">
        <v>83</v>
      </c>
      <c r="F88" s="22" t="s">
        <v>52</v>
      </c>
      <c r="G88" s="22">
        <v>37</v>
      </c>
      <c r="H88" s="2">
        <v>40.049999999999997</v>
      </c>
      <c r="I88" s="64">
        <v>1481.85</v>
      </c>
      <c r="J88" s="2">
        <v>45.6</v>
      </c>
      <c r="K88" s="2">
        <v>400.25</v>
      </c>
      <c r="L88" s="22" t="s">
        <v>19</v>
      </c>
      <c r="M88" s="22" t="s">
        <v>32</v>
      </c>
      <c r="N88" s="22" t="s">
        <v>58</v>
      </c>
    </row>
    <row r="89" spans="1:14" x14ac:dyDescent="0.25">
      <c r="A89" s="22" t="s">
        <v>197</v>
      </c>
      <c r="B89" s="63">
        <v>45709</v>
      </c>
      <c r="C89" s="22" t="str">
        <f>TRIM(Raw_Data!C89)</f>
        <v>Brown, Sarah</v>
      </c>
      <c r="D89" s="22" t="str">
        <f>PROPER(TRIM(Raw_Data!D89))</f>
        <v>Italy</v>
      </c>
      <c r="E89" s="22" t="s">
        <v>17</v>
      </c>
      <c r="F89" s="22" t="s">
        <v>18</v>
      </c>
      <c r="G89" s="22">
        <v>45</v>
      </c>
      <c r="H89" s="2">
        <v>43.74</v>
      </c>
      <c r="I89" s="64">
        <v>1968.3</v>
      </c>
      <c r="J89" s="2">
        <v>80.55</v>
      </c>
      <c r="K89" s="2">
        <v>312.75</v>
      </c>
      <c r="L89" s="22" t="s">
        <v>26</v>
      </c>
      <c r="M89" s="22" t="s">
        <v>32</v>
      </c>
      <c r="N89" s="22" t="s">
        <v>28</v>
      </c>
    </row>
    <row r="90" spans="1:14" x14ac:dyDescent="0.25">
      <c r="A90" s="22" t="s">
        <v>198</v>
      </c>
      <c r="B90" s="63">
        <v>45724</v>
      </c>
      <c r="C90" s="22" t="str">
        <f>TRIM(Raw_Data!C90)</f>
        <v>Davis, Emily</v>
      </c>
      <c r="D90" s="22" t="str">
        <f>PROPER(TRIM(Raw_Data!D90))</f>
        <v>Uk</v>
      </c>
      <c r="E90" s="22" t="s">
        <v>60</v>
      </c>
      <c r="F90" s="22" t="s">
        <v>52</v>
      </c>
      <c r="G90" s="22">
        <v>9</v>
      </c>
      <c r="H90" s="2">
        <v>24.63</v>
      </c>
      <c r="I90" s="64">
        <v>221.67</v>
      </c>
      <c r="J90" s="2">
        <v>13.53</v>
      </c>
      <c r="K90" s="2">
        <v>68.64</v>
      </c>
      <c r="L90" s="22" t="s">
        <v>26</v>
      </c>
      <c r="M90" s="22" t="s">
        <v>32</v>
      </c>
      <c r="N90" s="22" t="s">
        <v>28</v>
      </c>
    </row>
    <row r="91" spans="1:14" x14ac:dyDescent="0.25">
      <c r="A91" s="22" t="s">
        <v>200</v>
      </c>
      <c r="B91" s="63">
        <v>45731</v>
      </c>
      <c r="C91" s="22" t="str">
        <f>TRIM(Raw_Data!C91)</f>
        <v>Johnson, Emma</v>
      </c>
      <c r="D91" s="22" t="str">
        <f>PROPER(TRIM(Raw_Data!D91))</f>
        <v>South Africa</v>
      </c>
      <c r="E91" s="22" t="s">
        <v>60</v>
      </c>
      <c r="F91" s="22" t="s">
        <v>52</v>
      </c>
      <c r="G91" s="22">
        <v>6</v>
      </c>
      <c r="H91" s="2">
        <v>21.79</v>
      </c>
      <c r="I91" s="64">
        <v>130.74</v>
      </c>
      <c r="J91" s="2">
        <v>7.75</v>
      </c>
      <c r="K91" s="2">
        <v>29.99</v>
      </c>
      <c r="L91" s="22" t="s">
        <v>26</v>
      </c>
      <c r="M91" s="22" t="s">
        <v>32</v>
      </c>
      <c r="N91" s="22" t="s">
        <v>87</v>
      </c>
    </row>
    <row r="92" spans="1:14" x14ac:dyDescent="0.25">
      <c r="A92" s="22" t="s">
        <v>201</v>
      </c>
      <c r="B92" s="63">
        <v>45480</v>
      </c>
      <c r="C92" s="22" t="str">
        <f>TRIM(Raw_Data!C92)</f>
        <v>Johnson, James</v>
      </c>
      <c r="D92" s="22" t="str">
        <f>PROPER(TRIM(Raw_Data!D92))</f>
        <v>France</v>
      </c>
      <c r="E92" s="22" t="s">
        <v>17</v>
      </c>
      <c r="F92" s="22" t="s">
        <v>18</v>
      </c>
      <c r="G92" s="22">
        <v>23</v>
      </c>
      <c r="H92" s="2">
        <v>58.43</v>
      </c>
      <c r="I92" s="64">
        <v>1343.89</v>
      </c>
      <c r="J92" s="2">
        <v>38.729999999999997</v>
      </c>
      <c r="K92" s="2">
        <v>500.16</v>
      </c>
      <c r="L92" s="22" t="s">
        <v>26</v>
      </c>
      <c r="M92" s="22" t="s">
        <v>20</v>
      </c>
      <c r="N92" s="22" t="s">
        <v>28</v>
      </c>
    </row>
    <row r="93" spans="1:14" x14ac:dyDescent="0.25">
      <c r="A93" s="22" t="s">
        <v>203</v>
      </c>
      <c r="B93" s="63">
        <v>45547</v>
      </c>
      <c r="C93" s="22" t="str">
        <f>TRIM(Raw_Data!C93)</f>
        <v>Martinez, Sophia</v>
      </c>
      <c r="D93" s="22" t="str">
        <f>PROPER(TRIM(Raw_Data!D93))</f>
        <v>Singapore</v>
      </c>
      <c r="E93" s="22" t="s">
        <v>43</v>
      </c>
      <c r="F93" s="22" t="s">
        <v>44</v>
      </c>
      <c r="G93" s="22">
        <v>19</v>
      </c>
      <c r="H93" s="2">
        <v>67.06</v>
      </c>
      <c r="I93" s="64">
        <v>1274.1400000000001</v>
      </c>
      <c r="J93" s="2">
        <v>85.73</v>
      </c>
      <c r="K93" s="2">
        <v>428.41</v>
      </c>
      <c r="L93" s="22" t="s">
        <v>19</v>
      </c>
      <c r="M93" s="22" t="s">
        <v>27</v>
      </c>
      <c r="N93" s="22" t="s">
        <v>58</v>
      </c>
    </row>
    <row r="94" spans="1:14" x14ac:dyDescent="0.25">
      <c r="A94" s="22" t="s">
        <v>205</v>
      </c>
      <c r="B94" s="63">
        <v>45502</v>
      </c>
      <c r="C94" s="22" t="str">
        <f>TRIM(Raw_Data!C94)</f>
        <v>Davis, Emily</v>
      </c>
      <c r="D94" s="22" t="str">
        <f>PROPER(TRIM(Raw_Data!D94))</f>
        <v>Italy</v>
      </c>
      <c r="E94" s="22" t="s">
        <v>25</v>
      </c>
      <c r="F94" s="22" t="s">
        <v>18</v>
      </c>
      <c r="G94" s="22">
        <v>4</v>
      </c>
      <c r="H94" s="2">
        <v>25.13</v>
      </c>
      <c r="I94" s="64">
        <v>100.52</v>
      </c>
      <c r="J94" s="2">
        <v>5.6</v>
      </c>
      <c r="K94" s="2">
        <v>22.92</v>
      </c>
      <c r="L94" s="22" t="s">
        <v>26</v>
      </c>
      <c r="M94" s="22" t="s">
        <v>32</v>
      </c>
      <c r="N94" s="22" t="s">
        <v>28</v>
      </c>
    </row>
    <row r="95" spans="1:14" x14ac:dyDescent="0.25">
      <c r="A95" s="22" t="s">
        <v>206</v>
      </c>
      <c r="B95" s="63">
        <v>45755</v>
      </c>
      <c r="C95" s="22" t="str">
        <f>TRIM(Raw_Data!C95)</f>
        <v>Miller, Sarah</v>
      </c>
      <c r="D95" s="22" t="str">
        <f>PROPER(TRIM(Raw_Data!D95))</f>
        <v>Italy</v>
      </c>
      <c r="E95" s="22" t="s">
        <v>60</v>
      </c>
      <c r="F95" s="22" t="s">
        <v>52</v>
      </c>
      <c r="G95" s="22">
        <v>26</v>
      </c>
      <c r="H95" s="2">
        <v>19.34</v>
      </c>
      <c r="I95" s="64">
        <v>502.84</v>
      </c>
      <c r="J95" s="2">
        <v>26.51</v>
      </c>
      <c r="K95" s="2">
        <v>73.33</v>
      </c>
      <c r="L95" s="22" t="s">
        <v>26</v>
      </c>
      <c r="M95" s="22" t="s">
        <v>20</v>
      </c>
      <c r="N95" s="22" t="s">
        <v>28</v>
      </c>
    </row>
    <row r="96" spans="1:14" x14ac:dyDescent="0.25">
      <c r="A96" s="22" t="s">
        <v>208</v>
      </c>
      <c r="B96" s="63">
        <v>45549</v>
      </c>
      <c r="C96" s="22" t="str">
        <f>TRIM(Raw_Data!C96)</f>
        <v>Williams, James</v>
      </c>
      <c r="D96" s="22" t="str">
        <f>PROPER(TRIM(Raw_Data!D96))</f>
        <v>South Africa</v>
      </c>
      <c r="E96" s="22" t="s">
        <v>48</v>
      </c>
      <c r="F96" s="22" t="s">
        <v>37</v>
      </c>
      <c r="G96" s="22">
        <v>26</v>
      </c>
      <c r="H96" s="2">
        <v>35.81</v>
      </c>
      <c r="I96" s="64">
        <v>931.06</v>
      </c>
      <c r="J96" s="2">
        <v>61.06</v>
      </c>
      <c r="K96" s="2">
        <v>350</v>
      </c>
      <c r="L96" s="22" t="s">
        <v>19</v>
      </c>
      <c r="M96" s="22" t="s">
        <v>20</v>
      </c>
      <c r="N96" s="22" t="s">
        <v>87</v>
      </c>
    </row>
    <row r="97" spans="1:14" x14ac:dyDescent="0.25">
      <c r="A97" s="22" t="s">
        <v>210</v>
      </c>
      <c r="B97" s="63">
        <v>45717</v>
      </c>
      <c r="C97" s="22" t="str">
        <f>TRIM(Raw_Data!C97)</f>
        <v>Garcia, Emma</v>
      </c>
      <c r="D97" s="22" t="str">
        <f>PROPER(TRIM(Raw_Data!D97))</f>
        <v>Singapore</v>
      </c>
      <c r="E97" s="22" t="s">
        <v>51</v>
      </c>
      <c r="F97" s="22" t="s">
        <v>52</v>
      </c>
      <c r="G97" s="22">
        <v>42</v>
      </c>
      <c r="H97" s="2">
        <v>39.950000000000003</v>
      </c>
      <c r="I97" s="64">
        <v>1677.9</v>
      </c>
      <c r="J97" s="2">
        <v>93.95</v>
      </c>
      <c r="K97" s="2">
        <v>638.95000000000005</v>
      </c>
      <c r="L97" s="22" t="s">
        <v>26</v>
      </c>
      <c r="M97" s="22" t="s">
        <v>27</v>
      </c>
      <c r="N97" s="22" t="s">
        <v>58</v>
      </c>
    </row>
    <row r="98" spans="1:14" x14ac:dyDescent="0.25">
      <c r="A98" s="22" t="s">
        <v>212</v>
      </c>
      <c r="B98" s="63">
        <v>45501</v>
      </c>
      <c r="C98" s="22" t="str">
        <f>TRIM(Raw_Data!C98)</f>
        <v>Davis, David</v>
      </c>
      <c r="D98" s="22" t="str">
        <f>PROPER(TRIM(Raw_Data!D98))</f>
        <v>Uae</v>
      </c>
      <c r="E98" s="22" t="s">
        <v>17</v>
      </c>
      <c r="F98" s="22" t="s">
        <v>18</v>
      </c>
      <c r="G98" s="22">
        <v>38</v>
      </c>
      <c r="H98" s="2">
        <v>49.98</v>
      </c>
      <c r="I98" s="64">
        <v>1899.24</v>
      </c>
      <c r="J98" s="2">
        <v>112.91</v>
      </c>
      <c r="K98" s="2">
        <v>456.33</v>
      </c>
      <c r="L98" s="22" t="s">
        <v>38</v>
      </c>
      <c r="M98" s="22" t="s">
        <v>32</v>
      </c>
      <c r="N98" s="22" t="s">
        <v>58</v>
      </c>
    </row>
    <row r="99" spans="1:14" x14ac:dyDescent="0.25">
      <c r="A99" s="22" t="s">
        <v>213</v>
      </c>
      <c r="B99" s="63">
        <v>45505</v>
      </c>
      <c r="C99" s="22" t="str">
        <f>TRIM(Raw_Data!C99)</f>
        <v>Smith, Michael</v>
      </c>
      <c r="D99" s="22" t="str">
        <f>PROPER(TRIM(Raw_Data!D99))</f>
        <v>Japan</v>
      </c>
      <c r="E99" s="22" t="s">
        <v>83</v>
      </c>
      <c r="F99" s="22" t="s">
        <v>52</v>
      </c>
      <c r="G99" s="22">
        <v>1</v>
      </c>
      <c r="H99" s="2">
        <v>45.84</v>
      </c>
      <c r="I99" s="64">
        <v>45.84</v>
      </c>
      <c r="J99" s="2">
        <v>1.26</v>
      </c>
      <c r="K99" s="2">
        <v>16.579999999999998</v>
      </c>
      <c r="L99" s="22" t="s">
        <v>38</v>
      </c>
      <c r="M99" s="22" t="s">
        <v>20</v>
      </c>
      <c r="N99" s="22" t="s">
        <v>58</v>
      </c>
    </row>
    <row r="100" spans="1:14" x14ac:dyDescent="0.25">
      <c r="A100" s="22" t="s">
        <v>214</v>
      </c>
      <c r="B100" s="63">
        <v>45749</v>
      </c>
      <c r="C100" s="22" t="str">
        <f>TRIM(Raw_Data!C100)</f>
        <v>Davis, Emma</v>
      </c>
      <c r="D100" s="22" t="str">
        <f>PROPER(TRIM(Raw_Data!D100))</f>
        <v>Australia</v>
      </c>
      <c r="E100" s="22" t="s">
        <v>25</v>
      </c>
      <c r="F100" s="22" t="s">
        <v>18</v>
      </c>
      <c r="G100" s="22">
        <v>38</v>
      </c>
      <c r="H100" s="2">
        <v>26.34</v>
      </c>
      <c r="I100" s="64">
        <v>1000.92</v>
      </c>
      <c r="J100" s="2">
        <v>47.88</v>
      </c>
      <c r="K100" s="2">
        <v>269.04000000000002</v>
      </c>
      <c r="L100" s="22" t="s">
        <v>19</v>
      </c>
      <c r="M100" s="22" t="s">
        <v>27</v>
      </c>
      <c r="N100" s="22" t="s">
        <v>130</v>
      </c>
    </row>
    <row r="101" spans="1:14" x14ac:dyDescent="0.25">
      <c r="A101" s="22" t="s">
        <v>215</v>
      </c>
      <c r="B101" s="63">
        <v>45590</v>
      </c>
      <c r="C101" s="22" t="str">
        <f>TRIM(Raw_Data!C101)</f>
        <v>Martinez, Daniel</v>
      </c>
      <c r="D101" s="22" t="str">
        <f>PROPER(TRIM(Raw_Data!D101))</f>
        <v>France</v>
      </c>
      <c r="E101" s="22" t="s">
        <v>56</v>
      </c>
      <c r="F101" s="22" t="s">
        <v>57</v>
      </c>
      <c r="G101" s="22">
        <v>30</v>
      </c>
      <c r="H101" s="2">
        <v>36.43</v>
      </c>
      <c r="I101" s="64">
        <v>1092.9000000000001</v>
      </c>
      <c r="J101" s="2">
        <v>61.97</v>
      </c>
      <c r="K101" s="2">
        <v>280.93</v>
      </c>
      <c r="L101" s="22" t="s">
        <v>38</v>
      </c>
      <c r="M101" s="22" t="s">
        <v>27</v>
      </c>
      <c r="N101" s="22" t="s">
        <v>28</v>
      </c>
    </row>
    <row r="102" spans="1:14" x14ac:dyDescent="0.25">
      <c r="A102" s="22" t="s">
        <v>216</v>
      </c>
      <c r="B102" s="63">
        <v>45468</v>
      </c>
      <c r="C102" s="22" t="str">
        <f>TRIM(Raw_Data!C102)</f>
        <v>Hernandez, Laura</v>
      </c>
      <c r="D102" s="22" t="str">
        <f>PROPER(TRIM(Raw_Data!D102))</f>
        <v>Italy</v>
      </c>
      <c r="E102" s="22" t="s">
        <v>63</v>
      </c>
      <c r="F102" s="22" t="s">
        <v>37</v>
      </c>
      <c r="G102" s="22">
        <v>9</v>
      </c>
      <c r="H102" s="2">
        <v>22.27</v>
      </c>
      <c r="I102" s="64">
        <v>200.43</v>
      </c>
      <c r="J102" s="2">
        <v>13.21</v>
      </c>
      <c r="K102" s="2">
        <v>72.47</v>
      </c>
      <c r="L102" s="22" t="s">
        <v>26</v>
      </c>
      <c r="M102" s="22" t="s">
        <v>27</v>
      </c>
      <c r="N102" s="22" t="s">
        <v>28</v>
      </c>
    </row>
    <row r="103" spans="1:14" x14ac:dyDescent="0.25">
      <c r="A103" s="22" t="s">
        <v>217</v>
      </c>
      <c r="B103" s="63">
        <v>45547</v>
      </c>
      <c r="C103" s="22" t="str">
        <f>TRIM(Raw_Data!C103)</f>
        <v>Jones, Laura</v>
      </c>
      <c r="D103" s="22" t="str">
        <f>PROPER(TRIM(Raw_Data!D103))</f>
        <v>Australia</v>
      </c>
      <c r="E103" s="22" t="s">
        <v>60</v>
      </c>
      <c r="F103" s="22" t="s">
        <v>52</v>
      </c>
      <c r="G103" s="22">
        <v>26</v>
      </c>
      <c r="H103" s="2">
        <v>27.65</v>
      </c>
      <c r="I103" s="64">
        <v>718.9</v>
      </c>
      <c r="J103" s="2">
        <v>46.25</v>
      </c>
      <c r="K103" s="2">
        <v>269.64999999999998</v>
      </c>
      <c r="L103" s="22" t="s">
        <v>26</v>
      </c>
      <c r="M103" s="22" t="s">
        <v>32</v>
      </c>
      <c r="N103" s="22" t="s">
        <v>130</v>
      </c>
    </row>
    <row r="104" spans="1:14" x14ac:dyDescent="0.25">
      <c r="A104" s="22" t="s">
        <v>218</v>
      </c>
      <c r="B104" s="63">
        <v>45503</v>
      </c>
      <c r="C104" s="22" t="str">
        <f>TRIM(Raw_Data!C104)</f>
        <v>Davis, Emma</v>
      </c>
      <c r="D104" s="22" t="str">
        <f>PROPER(TRIM(Raw_Data!D104))</f>
        <v>Uk</v>
      </c>
      <c r="E104" s="22" t="s">
        <v>60</v>
      </c>
      <c r="F104" s="22" t="s">
        <v>52</v>
      </c>
      <c r="G104" s="22">
        <v>23</v>
      </c>
      <c r="H104" s="2">
        <v>22.45</v>
      </c>
      <c r="I104" s="64">
        <v>516.35</v>
      </c>
      <c r="J104" s="2">
        <v>15.68</v>
      </c>
      <c r="K104" s="2">
        <v>144.16999999999999</v>
      </c>
      <c r="L104" s="22" t="s">
        <v>38</v>
      </c>
      <c r="M104" s="22" t="s">
        <v>32</v>
      </c>
      <c r="N104" s="22" t="s">
        <v>28</v>
      </c>
    </row>
    <row r="105" spans="1:14" x14ac:dyDescent="0.25">
      <c r="A105" s="22" t="s">
        <v>219</v>
      </c>
      <c r="B105" s="63">
        <v>45528</v>
      </c>
      <c r="C105" s="22" t="str">
        <f>TRIM(Raw_Data!C105)</f>
        <v>Garcia, Emily</v>
      </c>
      <c r="D105" s="22" t="str">
        <f>PROPER(TRIM(Raw_Data!D105))</f>
        <v>Uk</v>
      </c>
      <c r="E105" s="22" t="s">
        <v>60</v>
      </c>
      <c r="F105" s="22" t="s">
        <v>52</v>
      </c>
      <c r="G105" s="22">
        <v>30</v>
      </c>
      <c r="H105" s="2">
        <v>21.93</v>
      </c>
      <c r="I105" s="64">
        <v>657.9</v>
      </c>
      <c r="J105" s="2">
        <v>24.66</v>
      </c>
      <c r="K105" s="2">
        <v>168.24</v>
      </c>
      <c r="L105" s="22" t="s">
        <v>26</v>
      </c>
      <c r="M105" s="22" t="s">
        <v>20</v>
      </c>
      <c r="N105" s="22" t="s">
        <v>28</v>
      </c>
    </row>
    <row r="106" spans="1:14" x14ac:dyDescent="0.25">
      <c r="A106" s="22" t="s">
        <v>220</v>
      </c>
      <c r="B106" s="63">
        <v>45546</v>
      </c>
      <c r="C106" s="22" t="str">
        <f>TRIM(Raw_Data!C106)</f>
        <v>Johnson, David</v>
      </c>
      <c r="D106" s="22" t="str">
        <f>PROPER(TRIM(Raw_Data!D106))</f>
        <v>Singapore</v>
      </c>
      <c r="E106" s="22" t="s">
        <v>63</v>
      </c>
      <c r="F106" s="22" t="s">
        <v>37</v>
      </c>
      <c r="G106" s="22">
        <v>43</v>
      </c>
      <c r="H106" s="2">
        <v>21.92</v>
      </c>
      <c r="I106" s="64">
        <v>942.56</v>
      </c>
      <c r="J106" s="2">
        <v>51.15</v>
      </c>
      <c r="K106" s="2">
        <v>343.16</v>
      </c>
      <c r="L106" s="22" t="s">
        <v>19</v>
      </c>
      <c r="M106" s="22" t="s">
        <v>32</v>
      </c>
      <c r="N106" s="22" t="s">
        <v>58</v>
      </c>
    </row>
    <row r="107" spans="1:14" x14ac:dyDescent="0.25">
      <c r="A107" s="22" t="s">
        <v>222</v>
      </c>
      <c r="B107" s="63">
        <v>45692</v>
      </c>
      <c r="C107" s="22" t="str">
        <f>TRIM(Raw_Data!C107)</f>
        <v>Martinez, Laura</v>
      </c>
      <c r="D107" s="22" t="str">
        <f>PROPER(TRIM(Raw_Data!D107))</f>
        <v>Brazil</v>
      </c>
      <c r="E107" s="22" t="s">
        <v>43</v>
      </c>
      <c r="F107" s="22" t="s">
        <v>44</v>
      </c>
      <c r="G107" s="22">
        <v>3</v>
      </c>
      <c r="H107" s="2">
        <v>56.21</v>
      </c>
      <c r="I107" s="64">
        <v>168.63</v>
      </c>
      <c r="J107" s="2">
        <v>7.56</v>
      </c>
      <c r="K107" s="2">
        <v>41.07</v>
      </c>
      <c r="L107" s="22" t="s">
        <v>38</v>
      </c>
      <c r="M107" s="22" t="s">
        <v>20</v>
      </c>
      <c r="N107" s="22" t="s">
        <v>39</v>
      </c>
    </row>
    <row r="108" spans="1:14" x14ac:dyDescent="0.25">
      <c r="A108" s="22" t="s">
        <v>223</v>
      </c>
      <c r="B108" s="63">
        <v>45384</v>
      </c>
      <c r="C108" s="22" t="str">
        <f>TRIM(Raw_Data!C108)</f>
        <v>Smith, Emily</v>
      </c>
      <c r="D108" s="22" t="str">
        <f>PROPER(TRIM(Raw_Data!D108))</f>
        <v>Italy</v>
      </c>
      <c r="E108" s="22" t="s">
        <v>63</v>
      </c>
      <c r="F108" s="22" t="s">
        <v>37</v>
      </c>
      <c r="G108" s="22">
        <v>33</v>
      </c>
      <c r="H108" s="2">
        <v>15.44</v>
      </c>
      <c r="I108" s="64">
        <v>509.52</v>
      </c>
      <c r="J108" s="2">
        <v>19.7</v>
      </c>
      <c r="K108" s="2">
        <v>69.069999999999993</v>
      </c>
      <c r="L108" s="22" t="s">
        <v>19</v>
      </c>
      <c r="M108" s="22" t="s">
        <v>32</v>
      </c>
      <c r="N108" s="22" t="s">
        <v>28</v>
      </c>
    </row>
    <row r="109" spans="1:14" x14ac:dyDescent="0.25">
      <c r="A109" s="22" t="s">
        <v>224</v>
      </c>
      <c r="B109" s="63">
        <v>45557</v>
      </c>
      <c r="C109" s="22" t="str">
        <f>TRIM(Raw_Data!C109)</f>
        <v>Hernandez, Sophia</v>
      </c>
      <c r="D109" s="22" t="str">
        <f>PROPER(TRIM(Raw_Data!D109))</f>
        <v>South Africa</v>
      </c>
      <c r="E109" s="22" t="s">
        <v>60</v>
      </c>
      <c r="F109" s="22" t="s">
        <v>52</v>
      </c>
      <c r="G109" s="22">
        <v>50</v>
      </c>
      <c r="H109" s="2">
        <v>23.02</v>
      </c>
      <c r="I109" s="64">
        <v>1151</v>
      </c>
      <c r="J109" s="2">
        <v>69.3</v>
      </c>
      <c r="K109" s="2">
        <v>306.7</v>
      </c>
      <c r="L109" s="22" t="s">
        <v>26</v>
      </c>
      <c r="M109" s="22" t="s">
        <v>27</v>
      </c>
      <c r="N109" s="22" t="s">
        <v>87</v>
      </c>
    </row>
    <row r="110" spans="1:14" x14ac:dyDescent="0.25">
      <c r="A110" s="22" t="s">
        <v>225</v>
      </c>
      <c r="B110" s="63">
        <v>45362</v>
      </c>
      <c r="C110" s="22" t="str">
        <f>TRIM(Raw_Data!C110)</f>
        <v>Miller, Emily</v>
      </c>
      <c r="D110" s="22" t="str">
        <f>PROPER(TRIM(Raw_Data!D110))</f>
        <v>Brazil</v>
      </c>
      <c r="E110" s="22" t="s">
        <v>63</v>
      </c>
      <c r="F110" s="22" t="s">
        <v>37</v>
      </c>
      <c r="G110" s="22">
        <v>8</v>
      </c>
      <c r="H110" s="2">
        <v>17.010000000000002</v>
      </c>
      <c r="I110" s="64">
        <v>136.08000000000001</v>
      </c>
      <c r="J110" s="2">
        <v>8.84</v>
      </c>
      <c r="K110" s="2">
        <v>25.24</v>
      </c>
      <c r="L110" s="22" t="s">
        <v>19</v>
      </c>
      <c r="M110" s="22" t="s">
        <v>32</v>
      </c>
      <c r="N110" s="22" t="s">
        <v>39</v>
      </c>
    </row>
    <row r="111" spans="1:14" x14ac:dyDescent="0.25">
      <c r="A111" s="22" t="s">
        <v>227</v>
      </c>
      <c r="B111" s="63">
        <v>45591</v>
      </c>
      <c r="C111" s="22" t="str">
        <f>TRIM(Raw_Data!C111)</f>
        <v>Davis, Emma</v>
      </c>
      <c r="D111" s="22" t="str">
        <f>PROPER(TRIM(Raw_Data!D111))</f>
        <v>France</v>
      </c>
      <c r="E111" s="22" t="s">
        <v>25</v>
      </c>
      <c r="F111" s="22" t="s">
        <v>18</v>
      </c>
      <c r="G111" s="22">
        <v>16</v>
      </c>
      <c r="H111" s="2">
        <v>26.47</v>
      </c>
      <c r="I111" s="64">
        <v>423.52</v>
      </c>
      <c r="J111" s="2">
        <v>15.87</v>
      </c>
      <c r="K111" s="2">
        <v>119.65</v>
      </c>
      <c r="L111" s="22" t="s">
        <v>26</v>
      </c>
      <c r="M111" s="22" t="s">
        <v>20</v>
      </c>
      <c r="N111" s="22" t="s">
        <v>28</v>
      </c>
    </row>
    <row r="112" spans="1:14" x14ac:dyDescent="0.25">
      <c r="A112" s="22" t="s">
        <v>228</v>
      </c>
      <c r="B112" s="63">
        <v>45565</v>
      </c>
      <c r="C112" s="22" t="str">
        <f>TRIM(Raw_Data!C112)</f>
        <v>Jones, Michael</v>
      </c>
      <c r="D112" s="22" t="str">
        <f>PROPER(TRIM(Raw_Data!D112))</f>
        <v>Brazil</v>
      </c>
      <c r="E112" s="22" t="s">
        <v>36</v>
      </c>
      <c r="F112" s="22" t="s">
        <v>37</v>
      </c>
      <c r="G112" s="22">
        <v>32</v>
      </c>
      <c r="H112" s="2">
        <v>43.18</v>
      </c>
      <c r="I112" s="64">
        <v>1381.76</v>
      </c>
      <c r="J112" s="2">
        <v>88.54</v>
      </c>
      <c r="K112" s="2">
        <v>269.22000000000003</v>
      </c>
      <c r="L112" s="22" t="s">
        <v>26</v>
      </c>
      <c r="M112" s="22" t="s">
        <v>32</v>
      </c>
      <c r="N112" s="22" t="s">
        <v>39</v>
      </c>
    </row>
    <row r="113" spans="1:14" x14ac:dyDescent="0.25">
      <c r="A113" s="22" t="s">
        <v>229</v>
      </c>
      <c r="B113" s="63">
        <v>45472</v>
      </c>
      <c r="C113" s="22" t="str">
        <f>TRIM(Raw_Data!C113)</f>
        <v>Smith, Sophia</v>
      </c>
      <c r="D113" s="22" t="str">
        <f>PROPER(TRIM(Raw_Data!D113))</f>
        <v>Australia</v>
      </c>
      <c r="E113" s="22" t="s">
        <v>60</v>
      </c>
      <c r="F113" s="22" t="s">
        <v>52</v>
      </c>
      <c r="G113" s="22">
        <v>29</v>
      </c>
      <c r="H113" s="2">
        <v>18.850000000000001</v>
      </c>
      <c r="I113" s="64">
        <v>546.65</v>
      </c>
      <c r="J113" s="2">
        <v>13.22</v>
      </c>
      <c r="K113" s="2">
        <v>83.93</v>
      </c>
      <c r="L113" s="22" t="s">
        <v>19</v>
      </c>
      <c r="M113" s="22" t="s">
        <v>32</v>
      </c>
      <c r="N113" s="22" t="s">
        <v>130</v>
      </c>
    </row>
    <row r="114" spans="1:14" x14ac:dyDescent="0.25">
      <c r="A114" s="22" t="s">
        <v>230</v>
      </c>
      <c r="B114" s="63">
        <v>45664</v>
      </c>
      <c r="C114" s="22" t="str">
        <f>TRIM(Raw_Data!C114)</f>
        <v>Martinez, Emily</v>
      </c>
      <c r="D114" s="22" t="str">
        <f>PROPER(TRIM(Raw_Data!D114))</f>
        <v>France</v>
      </c>
      <c r="E114" s="22" t="s">
        <v>43</v>
      </c>
      <c r="F114" s="22" t="s">
        <v>44</v>
      </c>
      <c r="G114" s="22">
        <v>16</v>
      </c>
      <c r="H114" s="2">
        <v>64.400000000000006</v>
      </c>
      <c r="I114" s="64">
        <v>1030.4000000000001</v>
      </c>
      <c r="J114" s="2">
        <v>61.72</v>
      </c>
      <c r="K114" s="2">
        <v>328.68</v>
      </c>
      <c r="L114" s="22" t="s">
        <v>26</v>
      </c>
      <c r="M114" s="22" t="s">
        <v>27</v>
      </c>
      <c r="N114" s="22" t="s">
        <v>28</v>
      </c>
    </row>
    <row r="115" spans="1:14" x14ac:dyDescent="0.25">
      <c r="A115" s="22" t="s">
        <v>232</v>
      </c>
      <c r="B115" s="63">
        <v>45611</v>
      </c>
      <c r="C115" s="22" t="str">
        <f>TRIM(Raw_Data!C115)</f>
        <v>Hernandez, Daniel</v>
      </c>
      <c r="D115" s="22" t="str">
        <f>PROPER(TRIM(Raw_Data!D115))</f>
        <v>Singapore</v>
      </c>
      <c r="E115" s="22" t="s">
        <v>60</v>
      </c>
      <c r="F115" s="22" t="s">
        <v>52</v>
      </c>
      <c r="G115" s="22">
        <v>15</v>
      </c>
      <c r="H115" s="2">
        <v>19.53</v>
      </c>
      <c r="I115" s="64">
        <v>292.95</v>
      </c>
      <c r="J115" s="2">
        <v>7.15</v>
      </c>
      <c r="K115" s="2">
        <v>53.3</v>
      </c>
      <c r="L115" s="22" t="s">
        <v>38</v>
      </c>
      <c r="M115" s="22" t="s">
        <v>27</v>
      </c>
      <c r="N115" s="22" t="s">
        <v>58</v>
      </c>
    </row>
    <row r="116" spans="1:14" x14ac:dyDescent="0.25">
      <c r="A116" s="22" t="s">
        <v>234</v>
      </c>
      <c r="B116" s="63">
        <v>45502</v>
      </c>
      <c r="C116" s="22" t="str">
        <f>TRIM(Raw_Data!C116)</f>
        <v>Hernandez, John</v>
      </c>
      <c r="D116" s="22" t="str">
        <f>PROPER(TRIM(Raw_Data!D116))</f>
        <v>Germany</v>
      </c>
      <c r="E116" s="22" t="s">
        <v>48</v>
      </c>
      <c r="F116" s="22" t="s">
        <v>37</v>
      </c>
      <c r="G116" s="22">
        <v>36</v>
      </c>
      <c r="H116" s="2">
        <v>26.05</v>
      </c>
      <c r="I116" s="64">
        <v>937.8</v>
      </c>
      <c r="J116" s="2">
        <v>32.799999999999997</v>
      </c>
      <c r="K116" s="2">
        <v>185</v>
      </c>
      <c r="L116" s="22" t="s">
        <v>19</v>
      </c>
      <c r="M116" s="22" t="s">
        <v>32</v>
      </c>
      <c r="N116" s="22" t="s">
        <v>28</v>
      </c>
    </row>
    <row r="117" spans="1:14" x14ac:dyDescent="0.25">
      <c r="A117" s="22" t="s">
        <v>235</v>
      </c>
      <c r="B117" s="63">
        <v>45329</v>
      </c>
      <c r="C117" s="22" t="str">
        <f>TRIM(Raw_Data!C117)</f>
        <v>Miller, John</v>
      </c>
      <c r="D117" s="22" t="str">
        <f>PROPER(TRIM(Raw_Data!D117))</f>
        <v>South Africa</v>
      </c>
      <c r="E117" s="22" t="s">
        <v>36</v>
      </c>
      <c r="F117" s="22" t="s">
        <v>37</v>
      </c>
      <c r="G117" s="22">
        <v>26</v>
      </c>
      <c r="H117" s="2">
        <v>47.52</v>
      </c>
      <c r="I117" s="64">
        <v>1235.52</v>
      </c>
      <c r="J117" s="2">
        <v>31.41</v>
      </c>
      <c r="K117" s="2">
        <v>372.11</v>
      </c>
      <c r="L117" s="22" t="s">
        <v>26</v>
      </c>
      <c r="M117" s="22" t="s">
        <v>20</v>
      </c>
      <c r="N117" s="22" t="s">
        <v>87</v>
      </c>
    </row>
    <row r="118" spans="1:14" x14ac:dyDescent="0.25">
      <c r="A118" s="22" t="s">
        <v>236</v>
      </c>
      <c r="B118" s="63">
        <v>45564</v>
      </c>
      <c r="C118" s="22" t="str">
        <f>TRIM(Raw_Data!C118)</f>
        <v>Garcia, Emma</v>
      </c>
      <c r="D118" s="22" t="str">
        <f>PROPER(TRIM(Raw_Data!D118))</f>
        <v>France</v>
      </c>
      <c r="E118" s="22" t="s">
        <v>25</v>
      </c>
      <c r="F118" s="22" t="s">
        <v>18</v>
      </c>
      <c r="G118" s="22">
        <v>38</v>
      </c>
      <c r="H118" s="2">
        <v>26.38</v>
      </c>
      <c r="I118" s="64">
        <v>1002.44</v>
      </c>
      <c r="J118" s="2">
        <v>33.049999999999997</v>
      </c>
      <c r="K118" s="2">
        <v>285.39</v>
      </c>
      <c r="L118" s="22" t="s">
        <v>26</v>
      </c>
      <c r="M118" s="22" t="s">
        <v>20</v>
      </c>
      <c r="N118" s="22" t="s">
        <v>28</v>
      </c>
    </row>
    <row r="119" spans="1:14" x14ac:dyDescent="0.25">
      <c r="A119" s="22" t="s">
        <v>237</v>
      </c>
      <c r="B119" s="63">
        <v>45755</v>
      </c>
      <c r="C119" s="22" t="str">
        <f>TRIM(Raw_Data!C119)</f>
        <v>Brown, Sarah</v>
      </c>
      <c r="D119" s="22" t="str">
        <f>PROPER(TRIM(Raw_Data!D119))</f>
        <v>Japan</v>
      </c>
      <c r="E119" s="22" t="s">
        <v>63</v>
      </c>
      <c r="F119" s="22" t="s">
        <v>37</v>
      </c>
      <c r="G119" s="22">
        <v>7</v>
      </c>
      <c r="H119" s="2">
        <v>17.66</v>
      </c>
      <c r="I119" s="64">
        <v>123.62</v>
      </c>
      <c r="J119" s="2">
        <v>6.95</v>
      </c>
      <c r="K119" s="2">
        <v>27.42</v>
      </c>
      <c r="L119" s="22" t="s">
        <v>19</v>
      </c>
      <c r="M119" s="22" t="s">
        <v>20</v>
      </c>
      <c r="N119" s="22" t="s">
        <v>58</v>
      </c>
    </row>
    <row r="120" spans="1:14" x14ac:dyDescent="0.25">
      <c r="A120" s="22" t="s">
        <v>238</v>
      </c>
      <c r="B120" s="63">
        <v>45608</v>
      </c>
      <c r="C120" s="22" t="str">
        <f>TRIM(Raw_Data!C120)</f>
        <v>Martinez, Emma</v>
      </c>
      <c r="D120" s="22" t="str">
        <f>PROPER(TRIM(Raw_Data!D120))</f>
        <v>Australia</v>
      </c>
      <c r="E120" s="22" t="s">
        <v>17</v>
      </c>
      <c r="F120" s="22" t="s">
        <v>18</v>
      </c>
      <c r="G120" s="22">
        <v>26</v>
      </c>
      <c r="H120" s="2">
        <v>51.5</v>
      </c>
      <c r="I120" s="64">
        <v>1339</v>
      </c>
      <c r="J120" s="2">
        <v>92.09</v>
      </c>
      <c r="K120" s="2">
        <v>336.91</v>
      </c>
      <c r="L120" s="22" t="s">
        <v>26</v>
      </c>
      <c r="M120" s="22" t="s">
        <v>27</v>
      </c>
      <c r="N120" s="22" t="s">
        <v>130</v>
      </c>
    </row>
    <row r="121" spans="1:14" x14ac:dyDescent="0.25">
      <c r="A121" s="22" t="s">
        <v>239</v>
      </c>
      <c r="B121" s="63">
        <v>45759</v>
      </c>
      <c r="C121" s="22" t="str">
        <f>TRIM(Raw_Data!C121)</f>
        <v>Hernandez, David</v>
      </c>
      <c r="D121" s="22" t="str">
        <f>PROPER(TRIM(Raw_Data!D121))</f>
        <v>Usa</v>
      </c>
      <c r="E121" s="22" t="s">
        <v>60</v>
      </c>
      <c r="F121" s="22" t="s">
        <v>52</v>
      </c>
      <c r="G121" s="22">
        <v>27</v>
      </c>
      <c r="H121" s="2">
        <v>25</v>
      </c>
      <c r="I121" s="64">
        <v>675</v>
      </c>
      <c r="J121" s="2">
        <v>15.49</v>
      </c>
      <c r="K121" s="2">
        <v>241.01</v>
      </c>
      <c r="L121" s="22" t="s">
        <v>26</v>
      </c>
      <c r="M121" s="22" t="s">
        <v>27</v>
      </c>
      <c r="N121" s="22" t="s">
        <v>21</v>
      </c>
    </row>
    <row r="122" spans="1:14" x14ac:dyDescent="0.25">
      <c r="A122" s="22" t="s">
        <v>241</v>
      </c>
      <c r="B122" s="63">
        <v>45497</v>
      </c>
      <c r="C122" s="22" t="str">
        <f>TRIM(Raw_Data!C122)</f>
        <v>Johnson, Michael</v>
      </c>
      <c r="D122" s="22" t="str">
        <f>PROPER(TRIM(Raw_Data!D122))</f>
        <v>South Africa</v>
      </c>
      <c r="E122" s="22" t="s">
        <v>63</v>
      </c>
      <c r="F122" s="22" t="s">
        <v>37</v>
      </c>
      <c r="G122" s="22">
        <v>4</v>
      </c>
      <c r="H122" s="2">
        <v>19</v>
      </c>
      <c r="I122" s="64">
        <v>76</v>
      </c>
      <c r="J122" s="2">
        <v>3.78</v>
      </c>
      <c r="K122" s="2">
        <v>21.22</v>
      </c>
      <c r="L122" s="22" t="s">
        <v>26</v>
      </c>
      <c r="M122" s="22" t="s">
        <v>32</v>
      </c>
      <c r="N122" s="22" t="s">
        <v>87</v>
      </c>
    </row>
    <row r="123" spans="1:14" x14ac:dyDescent="0.25">
      <c r="A123" s="22" t="s">
        <v>242</v>
      </c>
      <c r="B123" s="63">
        <v>45426</v>
      </c>
      <c r="C123" s="22" t="str">
        <f>TRIM(Raw_Data!C123)</f>
        <v>Hernandez, Laura</v>
      </c>
      <c r="D123" s="22" t="str">
        <f>PROPER(TRIM(Raw_Data!D123))</f>
        <v>Canada</v>
      </c>
      <c r="E123" s="22" t="s">
        <v>60</v>
      </c>
      <c r="F123" s="22" t="s">
        <v>52</v>
      </c>
      <c r="G123" s="22">
        <v>24</v>
      </c>
      <c r="H123" s="2">
        <v>26.63</v>
      </c>
      <c r="I123" s="64">
        <v>639.12</v>
      </c>
      <c r="J123" s="2">
        <v>31.92</v>
      </c>
      <c r="K123" s="2">
        <v>235.2</v>
      </c>
      <c r="L123" s="22" t="s">
        <v>38</v>
      </c>
      <c r="M123" s="22" t="s">
        <v>32</v>
      </c>
      <c r="N123" s="22" t="s">
        <v>21</v>
      </c>
    </row>
    <row r="124" spans="1:14" x14ac:dyDescent="0.25">
      <c r="A124" s="22" t="s">
        <v>243</v>
      </c>
      <c r="B124" s="63">
        <v>45661</v>
      </c>
      <c r="C124" s="22" t="str">
        <f>TRIM(Raw_Data!C124)</f>
        <v>Smith, Sarah</v>
      </c>
      <c r="D124" s="22" t="str">
        <f>PROPER(TRIM(Raw_Data!D124))</f>
        <v>Singapore</v>
      </c>
      <c r="E124" s="22" t="s">
        <v>56</v>
      </c>
      <c r="F124" s="22" t="s">
        <v>57</v>
      </c>
      <c r="G124" s="22">
        <v>26</v>
      </c>
      <c r="H124" s="2">
        <v>43.14</v>
      </c>
      <c r="I124" s="64">
        <v>1121.6400000000001</v>
      </c>
      <c r="J124" s="2">
        <v>48.08</v>
      </c>
      <c r="K124" s="2">
        <v>423.56</v>
      </c>
      <c r="L124" s="22" t="s">
        <v>19</v>
      </c>
      <c r="M124" s="22" t="s">
        <v>27</v>
      </c>
      <c r="N124" s="22" t="s">
        <v>58</v>
      </c>
    </row>
    <row r="125" spans="1:14" x14ac:dyDescent="0.25">
      <c r="A125" s="22" t="s">
        <v>244</v>
      </c>
      <c r="B125" s="63">
        <v>45643</v>
      </c>
      <c r="C125" s="22" t="str">
        <f>TRIM(Raw_Data!C125)</f>
        <v>Davis, Emily</v>
      </c>
      <c r="D125" s="22" t="str">
        <f>PROPER(TRIM(Raw_Data!D125))</f>
        <v>Canada</v>
      </c>
      <c r="E125" s="22" t="s">
        <v>56</v>
      </c>
      <c r="F125" s="22" t="s">
        <v>57</v>
      </c>
      <c r="G125" s="22">
        <v>39</v>
      </c>
      <c r="H125" s="2">
        <v>30.01</v>
      </c>
      <c r="I125" s="64">
        <v>1170.3900000000001</v>
      </c>
      <c r="J125" s="2">
        <v>60.43</v>
      </c>
      <c r="K125" s="2">
        <v>134.96</v>
      </c>
      <c r="L125" s="22" t="s">
        <v>26</v>
      </c>
      <c r="M125" s="22" t="s">
        <v>20</v>
      </c>
      <c r="N125" s="22" t="s">
        <v>21</v>
      </c>
    </row>
    <row r="126" spans="1:14" x14ac:dyDescent="0.25">
      <c r="A126" s="22" t="s">
        <v>245</v>
      </c>
      <c r="B126" s="63">
        <v>45655</v>
      </c>
      <c r="C126" s="22" t="str">
        <f>TRIM(Raw_Data!C126)</f>
        <v>Martinez, John</v>
      </c>
      <c r="D126" s="22" t="str">
        <f>PROPER(TRIM(Raw_Data!D126))</f>
        <v>Germany</v>
      </c>
      <c r="E126" s="22" t="s">
        <v>51</v>
      </c>
      <c r="F126" s="22" t="s">
        <v>52</v>
      </c>
      <c r="G126" s="22">
        <v>5</v>
      </c>
      <c r="H126" s="2">
        <v>31.31</v>
      </c>
      <c r="I126" s="64">
        <v>156.55000000000001</v>
      </c>
      <c r="J126" s="2">
        <v>4.04</v>
      </c>
      <c r="K126" s="2">
        <v>40.01</v>
      </c>
      <c r="L126" s="22" t="s">
        <v>38</v>
      </c>
      <c r="M126" s="22" t="s">
        <v>32</v>
      </c>
      <c r="N126" s="22" t="s">
        <v>28</v>
      </c>
    </row>
    <row r="127" spans="1:14" x14ac:dyDescent="0.25">
      <c r="A127" s="22" t="s">
        <v>247</v>
      </c>
      <c r="B127" s="63">
        <v>45535</v>
      </c>
      <c r="C127" s="22" t="str">
        <f>TRIM(Raw_Data!C127)</f>
        <v>Davis, Michael</v>
      </c>
      <c r="D127" s="22" t="str">
        <f>PROPER(TRIM(Raw_Data!D127))</f>
        <v>Usa</v>
      </c>
      <c r="E127" s="22" t="s">
        <v>83</v>
      </c>
      <c r="F127" s="22" t="s">
        <v>52</v>
      </c>
      <c r="G127" s="22">
        <v>42</v>
      </c>
      <c r="H127" s="2">
        <v>36.950000000000003</v>
      </c>
      <c r="I127" s="64">
        <v>1551.9</v>
      </c>
      <c r="J127" s="2">
        <v>74.260000000000005</v>
      </c>
      <c r="K127" s="2">
        <v>301.64</v>
      </c>
      <c r="L127" s="22" t="s">
        <v>26</v>
      </c>
      <c r="M127" s="22" t="s">
        <v>27</v>
      </c>
      <c r="N127" s="22" t="s">
        <v>21</v>
      </c>
    </row>
    <row r="128" spans="1:14" x14ac:dyDescent="0.25">
      <c r="A128" s="22" t="s">
        <v>248</v>
      </c>
      <c r="B128" s="63">
        <v>45682</v>
      </c>
      <c r="C128" s="22" t="str">
        <f>TRIM(Raw_Data!C128)</f>
        <v>Garcia, David</v>
      </c>
      <c r="D128" s="22" t="str">
        <f>PROPER(TRIM(Raw_Data!D128))</f>
        <v>Singapore</v>
      </c>
      <c r="E128" s="22" t="s">
        <v>43</v>
      </c>
      <c r="F128" s="22" t="s">
        <v>44</v>
      </c>
      <c r="G128" s="22">
        <v>36</v>
      </c>
      <c r="H128" s="2">
        <v>57.37</v>
      </c>
      <c r="I128" s="64">
        <v>2065.3200000000002</v>
      </c>
      <c r="J128" s="2">
        <v>94.34</v>
      </c>
      <c r="K128" s="2">
        <v>530.98</v>
      </c>
      <c r="L128" s="22" t="s">
        <v>38</v>
      </c>
      <c r="M128" s="22" t="s">
        <v>20</v>
      </c>
      <c r="N128" s="22" t="s">
        <v>58</v>
      </c>
    </row>
    <row r="129" spans="1:14" x14ac:dyDescent="0.25">
      <c r="A129" s="22" t="s">
        <v>250</v>
      </c>
      <c r="B129" s="63">
        <v>45625</v>
      </c>
      <c r="C129" s="22" t="str">
        <f>TRIM(Raw_Data!C129)</f>
        <v>Miller, Daniel</v>
      </c>
      <c r="D129" s="22" t="str">
        <f>PROPER(TRIM(Raw_Data!D129))</f>
        <v>Uae</v>
      </c>
      <c r="E129" s="22" t="s">
        <v>83</v>
      </c>
      <c r="F129" s="22" t="s">
        <v>52</v>
      </c>
      <c r="G129" s="22">
        <v>13</v>
      </c>
      <c r="H129" s="2">
        <v>40.18</v>
      </c>
      <c r="I129" s="64">
        <v>522.34</v>
      </c>
      <c r="J129" s="2">
        <v>37.369999999999997</v>
      </c>
      <c r="K129" s="2">
        <v>120.97</v>
      </c>
      <c r="L129" s="22" t="s">
        <v>26</v>
      </c>
      <c r="M129" s="22" t="s">
        <v>32</v>
      </c>
      <c r="N129" s="22" t="s">
        <v>58</v>
      </c>
    </row>
    <row r="130" spans="1:14" x14ac:dyDescent="0.25">
      <c r="A130" s="22" t="s">
        <v>251</v>
      </c>
      <c r="B130" s="63">
        <v>45758</v>
      </c>
      <c r="C130" s="22" t="str">
        <f>TRIM(Raw_Data!C130)</f>
        <v>Miller, Sarah</v>
      </c>
      <c r="D130" s="22" t="str">
        <f>PROPER(TRIM(Raw_Data!D130))</f>
        <v>Japan</v>
      </c>
      <c r="E130" s="22" t="s">
        <v>36</v>
      </c>
      <c r="F130" s="22" t="s">
        <v>37</v>
      </c>
      <c r="G130" s="22">
        <v>37</v>
      </c>
      <c r="H130" s="2">
        <v>39.299999999999997</v>
      </c>
      <c r="I130" s="64">
        <v>1454.1</v>
      </c>
      <c r="J130" s="2">
        <v>67.08</v>
      </c>
      <c r="K130" s="2">
        <v>203.02</v>
      </c>
      <c r="L130" s="22" t="s">
        <v>38</v>
      </c>
      <c r="M130" s="22" t="s">
        <v>20</v>
      </c>
      <c r="N130" s="22" t="s">
        <v>58</v>
      </c>
    </row>
    <row r="131" spans="1:14" x14ac:dyDescent="0.25">
      <c r="A131" s="22" t="s">
        <v>252</v>
      </c>
      <c r="B131" s="63">
        <v>45760</v>
      </c>
      <c r="C131" s="22" t="str">
        <f>TRIM(Raw_Data!C131)</f>
        <v>Hernandez, Laura</v>
      </c>
      <c r="D131" s="22" t="str">
        <f>PROPER(TRIM(Raw_Data!D131))</f>
        <v>Canada</v>
      </c>
      <c r="E131" s="22" t="s">
        <v>36</v>
      </c>
      <c r="F131" s="22" t="s">
        <v>37</v>
      </c>
      <c r="G131" s="22">
        <v>17</v>
      </c>
      <c r="H131" s="2">
        <v>43.28</v>
      </c>
      <c r="I131" s="64">
        <v>735.76</v>
      </c>
      <c r="J131" s="2">
        <v>50.96</v>
      </c>
      <c r="K131" s="2">
        <v>140.80000000000001</v>
      </c>
      <c r="L131" s="22" t="s">
        <v>26</v>
      </c>
      <c r="M131" s="22" t="s">
        <v>27</v>
      </c>
      <c r="N131" s="22" t="s">
        <v>21</v>
      </c>
    </row>
    <row r="132" spans="1:14" x14ac:dyDescent="0.25">
      <c r="A132" s="22" t="s">
        <v>253</v>
      </c>
      <c r="B132" s="63">
        <v>45570</v>
      </c>
      <c r="C132" s="22" t="str">
        <f>TRIM(Raw_Data!C132)</f>
        <v>Smith, Emily</v>
      </c>
      <c r="D132" s="22" t="str">
        <f>PROPER(TRIM(Raw_Data!D132))</f>
        <v>Uae</v>
      </c>
      <c r="E132" s="22" t="s">
        <v>17</v>
      </c>
      <c r="F132" s="22" t="s">
        <v>18</v>
      </c>
      <c r="G132" s="22">
        <v>22</v>
      </c>
      <c r="H132" s="2">
        <v>62.79</v>
      </c>
      <c r="I132" s="64">
        <v>1381.38</v>
      </c>
      <c r="J132" s="2">
        <v>75.84</v>
      </c>
      <c r="K132" s="2">
        <v>535.54</v>
      </c>
      <c r="L132" s="22" t="s">
        <v>38</v>
      </c>
      <c r="M132" s="22" t="s">
        <v>32</v>
      </c>
      <c r="N132" s="22" t="s">
        <v>58</v>
      </c>
    </row>
    <row r="133" spans="1:14" x14ac:dyDescent="0.25">
      <c r="A133" s="22" t="s">
        <v>254</v>
      </c>
      <c r="B133" s="63">
        <v>45763</v>
      </c>
      <c r="C133" s="22" t="str">
        <f>TRIM(Raw_Data!C133)</f>
        <v>Hernandez, James</v>
      </c>
      <c r="D133" s="22" t="str">
        <f>PROPER(TRIM(Raw_Data!D133))</f>
        <v>Germany</v>
      </c>
      <c r="E133" s="22" t="s">
        <v>43</v>
      </c>
      <c r="F133" s="22" t="s">
        <v>44</v>
      </c>
      <c r="G133" s="22">
        <v>23</v>
      </c>
      <c r="H133" s="2">
        <v>56.76</v>
      </c>
      <c r="I133" s="64">
        <v>1305.48</v>
      </c>
      <c r="J133" s="2">
        <v>62.93</v>
      </c>
      <c r="K133" s="2">
        <v>322.55</v>
      </c>
      <c r="L133" s="22" t="s">
        <v>38</v>
      </c>
      <c r="M133" s="22" t="s">
        <v>32</v>
      </c>
      <c r="N133" s="22" t="s">
        <v>28</v>
      </c>
    </row>
    <row r="134" spans="1:14" x14ac:dyDescent="0.25">
      <c r="A134" s="22" t="s">
        <v>255</v>
      </c>
      <c r="B134" s="63">
        <v>45484</v>
      </c>
      <c r="C134" s="22" t="str">
        <f>TRIM(Raw_Data!C134)</f>
        <v>Davis, John</v>
      </c>
      <c r="D134" s="22" t="str">
        <f>PROPER(TRIM(Raw_Data!D134))</f>
        <v>Uk</v>
      </c>
      <c r="E134" s="22" t="s">
        <v>43</v>
      </c>
      <c r="F134" s="22" t="s">
        <v>44</v>
      </c>
      <c r="G134" s="22">
        <v>22</v>
      </c>
      <c r="H134" s="2">
        <v>60.13</v>
      </c>
      <c r="I134" s="64">
        <v>1322.86</v>
      </c>
      <c r="J134" s="2">
        <v>54.06</v>
      </c>
      <c r="K134" s="2">
        <v>388.8</v>
      </c>
      <c r="L134" s="22" t="s">
        <v>38</v>
      </c>
      <c r="M134" s="22" t="s">
        <v>27</v>
      </c>
      <c r="N134" s="22" t="s">
        <v>28</v>
      </c>
    </row>
    <row r="135" spans="1:14" x14ac:dyDescent="0.25">
      <c r="A135" s="22" t="s">
        <v>256</v>
      </c>
      <c r="B135" s="63">
        <v>45661</v>
      </c>
      <c r="C135" s="22" t="str">
        <f>TRIM(Raw_Data!C135)</f>
        <v>Smith, James</v>
      </c>
      <c r="D135" s="22" t="str">
        <f>PROPER(TRIM(Raw_Data!D135))</f>
        <v>Singapore</v>
      </c>
      <c r="E135" s="22" t="s">
        <v>56</v>
      </c>
      <c r="F135" s="22" t="s">
        <v>57</v>
      </c>
      <c r="G135" s="22">
        <v>21</v>
      </c>
      <c r="H135" s="2">
        <v>40.98</v>
      </c>
      <c r="I135" s="64">
        <v>860.58</v>
      </c>
      <c r="J135" s="2">
        <v>37.01</v>
      </c>
      <c r="K135" s="2">
        <v>298.57</v>
      </c>
      <c r="L135" s="22" t="s">
        <v>19</v>
      </c>
      <c r="M135" s="22" t="s">
        <v>32</v>
      </c>
      <c r="N135" s="22" t="s">
        <v>58</v>
      </c>
    </row>
    <row r="136" spans="1:14" x14ac:dyDescent="0.25">
      <c r="A136" s="22" t="s">
        <v>258</v>
      </c>
      <c r="B136" s="63">
        <v>45651</v>
      </c>
      <c r="C136" s="22" t="str">
        <f>TRIM(Raw_Data!C136)</f>
        <v>Miller, David</v>
      </c>
      <c r="D136" s="22" t="str">
        <f>PROPER(TRIM(Raw_Data!D136))</f>
        <v>Brazil</v>
      </c>
      <c r="E136" s="22" t="s">
        <v>43</v>
      </c>
      <c r="F136" s="22" t="s">
        <v>44</v>
      </c>
      <c r="G136" s="22">
        <v>36</v>
      </c>
      <c r="H136" s="2">
        <v>54.6</v>
      </c>
      <c r="I136" s="64">
        <v>1965.6</v>
      </c>
      <c r="J136" s="2">
        <v>150.34</v>
      </c>
      <c r="K136" s="2">
        <v>375.26</v>
      </c>
      <c r="L136" s="22" t="s">
        <v>26</v>
      </c>
      <c r="M136" s="22" t="s">
        <v>20</v>
      </c>
      <c r="N136" s="22" t="s">
        <v>39</v>
      </c>
    </row>
    <row r="137" spans="1:14" x14ac:dyDescent="0.25">
      <c r="A137" s="22" t="s">
        <v>259</v>
      </c>
      <c r="B137" s="63">
        <v>45500</v>
      </c>
      <c r="C137" s="22" t="str">
        <f>TRIM(Raw_Data!C137)</f>
        <v>Miller, Emily</v>
      </c>
      <c r="D137" s="22" t="str">
        <f>PROPER(TRIM(Raw_Data!D137))</f>
        <v>Italy</v>
      </c>
      <c r="E137" s="22" t="s">
        <v>60</v>
      </c>
      <c r="F137" s="22" t="s">
        <v>52</v>
      </c>
      <c r="G137" s="22">
        <v>1</v>
      </c>
      <c r="H137" s="2">
        <v>27.49</v>
      </c>
      <c r="I137" s="64">
        <v>27.49</v>
      </c>
      <c r="J137" s="2">
        <v>0.63</v>
      </c>
      <c r="K137" s="2">
        <v>11.36</v>
      </c>
      <c r="L137" s="22" t="s">
        <v>26</v>
      </c>
      <c r="M137" s="22" t="s">
        <v>32</v>
      </c>
      <c r="N137" s="22" t="s">
        <v>28</v>
      </c>
    </row>
    <row r="138" spans="1:14" x14ac:dyDescent="0.25">
      <c r="A138" s="22" t="s">
        <v>260</v>
      </c>
      <c r="B138" s="63">
        <v>45301</v>
      </c>
      <c r="C138" s="22" t="str">
        <f>TRIM(Raw_Data!C138)</f>
        <v>Brown, Emily</v>
      </c>
      <c r="D138" s="22" t="str">
        <f>PROPER(TRIM(Raw_Data!D138))</f>
        <v>Singapore</v>
      </c>
      <c r="E138" s="22" t="s">
        <v>36</v>
      </c>
      <c r="F138" s="22" t="s">
        <v>37</v>
      </c>
      <c r="G138" s="22">
        <v>50</v>
      </c>
      <c r="H138" s="2">
        <v>41.11</v>
      </c>
      <c r="I138" s="64">
        <v>2055.5</v>
      </c>
      <c r="J138" s="2">
        <v>95.61</v>
      </c>
      <c r="K138" s="2">
        <v>359.89</v>
      </c>
      <c r="L138" s="22" t="s">
        <v>38</v>
      </c>
      <c r="M138" s="22" t="s">
        <v>27</v>
      </c>
      <c r="N138" s="22" t="s">
        <v>58</v>
      </c>
    </row>
    <row r="139" spans="1:14" x14ac:dyDescent="0.25">
      <c r="A139" s="22" t="s">
        <v>262</v>
      </c>
      <c r="B139" s="63">
        <v>45653</v>
      </c>
      <c r="C139" s="22" t="str">
        <f>TRIM(Raw_Data!C139)</f>
        <v>Smith, Michael</v>
      </c>
      <c r="D139" s="22" t="str">
        <f>PROPER(TRIM(Raw_Data!D139))</f>
        <v>China</v>
      </c>
      <c r="E139" s="22" t="s">
        <v>60</v>
      </c>
      <c r="F139" s="22" t="s">
        <v>52</v>
      </c>
      <c r="G139" s="22">
        <v>18</v>
      </c>
      <c r="H139" s="2">
        <v>25.54</v>
      </c>
      <c r="I139" s="64">
        <v>459.72</v>
      </c>
      <c r="J139" s="2">
        <v>27.02</v>
      </c>
      <c r="K139" s="2">
        <v>153.69999999999999</v>
      </c>
      <c r="L139" s="22" t="s">
        <v>26</v>
      </c>
      <c r="M139" s="22" t="s">
        <v>20</v>
      </c>
      <c r="N139" s="22" t="s">
        <v>58</v>
      </c>
    </row>
    <row r="140" spans="1:14" x14ac:dyDescent="0.25">
      <c r="A140" s="22" t="s">
        <v>263</v>
      </c>
      <c r="B140" s="63">
        <v>45671</v>
      </c>
      <c r="C140" s="22" t="str">
        <f>TRIM(Raw_Data!C140)</f>
        <v>Martinez, Emily</v>
      </c>
      <c r="D140" s="22" t="str">
        <f>PROPER(TRIM(Raw_Data!D140))</f>
        <v>Japan</v>
      </c>
      <c r="E140" s="22" t="s">
        <v>83</v>
      </c>
      <c r="F140" s="22" t="s">
        <v>52</v>
      </c>
      <c r="G140" s="22">
        <v>4</v>
      </c>
      <c r="H140" s="2">
        <v>47.52</v>
      </c>
      <c r="I140" s="64">
        <v>190.08</v>
      </c>
      <c r="J140" s="2">
        <v>10.23</v>
      </c>
      <c r="K140" s="2">
        <v>67.849999999999994</v>
      </c>
      <c r="L140" s="22" t="s">
        <v>19</v>
      </c>
      <c r="M140" s="22" t="s">
        <v>20</v>
      </c>
      <c r="N140" s="22" t="s">
        <v>58</v>
      </c>
    </row>
    <row r="141" spans="1:14" x14ac:dyDescent="0.25">
      <c r="A141" s="22" t="s">
        <v>264</v>
      </c>
      <c r="B141" s="63">
        <v>45526</v>
      </c>
      <c r="C141" s="22" t="str">
        <f>TRIM(Raw_Data!C141)</f>
        <v>Jones, Michael</v>
      </c>
      <c r="D141" s="22" t="str">
        <f>PROPER(TRIM(Raw_Data!D141))</f>
        <v>Italy</v>
      </c>
      <c r="E141" s="22" t="s">
        <v>56</v>
      </c>
      <c r="F141" s="22" t="s">
        <v>57</v>
      </c>
      <c r="G141" s="22">
        <v>29</v>
      </c>
      <c r="H141" s="2">
        <v>30.48</v>
      </c>
      <c r="I141" s="64">
        <v>883.92</v>
      </c>
      <c r="J141" s="2">
        <v>33.15</v>
      </c>
      <c r="K141" s="2">
        <v>125.77</v>
      </c>
      <c r="L141" s="22" t="s">
        <v>38</v>
      </c>
      <c r="M141" s="22" t="s">
        <v>20</v>
      </c>
      <c r="N141" s="22" t="s">
        <v>28</v>
      </c>
    </row>
    <row r="142" spans="1:14" x14ac:dyDescent="0.25">
      <c r="A142" s="22" t="s">
        <v>265</v>
      </c>
      <c r="B142" s="63">
        <v>45369</v>
      </c>
      <c r="C142" s="22" t="str">
        <f>TRIM(Raw_Data!C142)</f>
        <v>Martinez, Daniel</v>
      </c>
      <c r="D142" s="22" t="str">
        <f>PROPER(TRIM(Raw_Data!D142))</f>
        <v>South Africa</v>
      </c>
      <c r="E142" s="22" t="s">
        <v>43</v>
      </c>
      <c r="F142" s="22" t="s">
        <v>44</v>
      </c>
      <c r="G142" s="22">
        <v>27</v>
      </c>
      <c r="H142" s="2">
        <v>50.39</v>
      </c>
      <c r="I142" s="64">
        <v>1360.53</v>
      </c>
      <c r="J142" s="2">
        <v>106.4</v>
      </c>
      <c r="K142" s="2">
        <v>174.13</v>
      </c>
      <c r="L142" s="22" t="s">
        <v>26</v>
      </c>
      <c r="M142" s="22" t="s">
        <v>27</v>
      </c>
      <c r="N142" s="22" t="s">
        <v>87</v>
      </c>
    </row>
    <row r="143" spans="1:14" x14ac:dyDescent="0.25">
      <c r="A143" s="22" t="s">
        <v>266</v>
      </c>
      <c r="B143" s="63">
        <v>45670</v>
      </c>
      <c r="C143" s="22" t="str">
        <f>TRIM(Raw_Data!C143)</f>
        <v>Johnson, Daniel</v>
      </c>
      <c r="D143" s="22" t="str">
        <f>PROPER(TRIM(Raw_Data!D143))</f>
        <v>Germany</v>
      </c>
      <c r="E143" s="22" t="s">
        <v>56</v>
      </c>
      <c r="F143" s="22" t="s">
        <v>57</v>
      </c>
      <c r="G143" s="22">
        <v>34</v>
      </c>
      <c r="H143" s="2">
        <v>37.68</v>
      </c>
      <c r="I143" s="64">
        <v>1281.1199999999999</v>
      </c>
      <c r="J143" s="2">
        <v>54.86</v>
      </c>
      <c r="K143" s="2">
        <v>376.26</v>
      </c>
      <c r="L143" s="22" t="s">
        <v>38</v>
      </c>
      <c r="M143" s="22" t="s">
        <v>20</v>
      </c>
      <c r="N143" s="22" t="s">
        <v>28</v>
      </c>
    </row>
    <row r="144" spans="1:14" x14ac:dyDescent="0.25">
      <c r="A144" s="22" t="s">
        <v>267</v>
      </c>
      <c r="B144" s="63">
        <v>45754</v>
      </c>
      <c r="C144" s="22" t="str">
        <f>TRIM(Raw_Data!C144)</f>
        <v>Brown, James</v>
      </c>
      <c r="D144" s="22" t="str">
        <f>PROPER(TRIM(Raw_Data!D144))</f>
        <v>Japan</v>
      </c>
      <c r="E144" s="22" t="s">
        <v>56</v>
      </c>
      <c r="F144" s="22" t="s">
        <v>57</v>
      </c>
      <c r="G144" s="22">
        <v>3</v>
      </c>
      <c r="H144" s="2">
        <v>39.32</v>
      </c>
      <c r="I144" s="64">
        <v>117.96</v>
      </c>
      <c r="J144" s="2">
        <v>6.97</v>
      </c>
      <c r="K144" s="2">
        <v>35.99</v>
      </c>
      <c r="L144" s="22" t="s">
        <v>26</v>
      </c>
      <c r="M144" s="22" t="s">
        <v>27</v>
      </c>
      <c r="N144" s="22" t="s">
        <v>58</v>
      </c>
    </row>
    <row r="145" spans="1:14" x14ac:dyDescent="0.25">
      <c r="A145" s="22" t="s">
        <v>269</v>
      </c>
      <c r="B145" s="63">
        <v>45655</v>
      </c>
      <c r="C145" s="22" t="str">
        <f>TRIM(Raw_Data!C145)</f>
        <v>Hernandez, Daniel</v>
      </c>
      <c r="D145" s="22" t="str">
        <f>PROPER(TRIM(Raw_Data!D145))</f>
        <v>Canada</v>
      </c>
      <c r="E145" s="22" t="s">
        <v>63</v>
      </c>
      <c r="F145" s="22" t="s">
        <v>37</v>
      </c>
      <c r="G145" s="22">
        <v>24</v>
      </c>
      <c r="H145" s="2">
        <v>18</v>
      </c>
      <c r="I145" s="64">
        <v>432</v>
      </c>
      <c r="J145" s="2">
        <v>22.68</v>
      </c>
      <c r="K145" s="2">
        <v>103.32</v>
      </c>
      <c r="L145" s="22" t="s">
        <v>19</v>
      </c>
      <c r="M145" s="22" t="s">
        <v>32</v>
      </c>
      <c r="N145" s="22" t="s">
        <v>21</v>
      </c>
    </row>
    <row r="146" spans="1:14" x14ac:dyDescent="0.25">
      <c r="A146" s="22" t="s">
        <v>270</v>
      </c>
      <c r="B146" s="63">
        <v>45636</v>
      </c>
      <c r="C146" s="22" t="str">
        <f>TRIM(Raw_Data!C146)</f>
        <v>Jones, Laura</v>
      </c>
      <c r="D146" s="22" t="str">
        <f>PROPER(TRIM(Raw_Data!D146))</f>
        <v>Uk</v>
      </c>
      <c r="E146" s="22" t="s">
        <v>51</v>
      </c>
      <c r="F146" s="22" t="s">
        <v>52</v>
      </c>
      <c r="G146" s="22">
        <v>5</v>
      </c>
      <c r="H146" s="2">
        <v>36.43</v>
      </c>
      <c r="I146" s="64">
        <v>182.15</v>
      </c>
      <c r="J146" s="2">
        <v>7.82</v>
      </c>
      <c r="K146" s="2">
        <v>61.83</v>
      </c>
      <c r="L146" s="22" t="s">
        <v>19</v>
      </c>
      <c r="M146" s="22" t="s">
        <v>32</v>
      </c>
      <c r="N146" s="22" t="s">
        <v>28</v>
      </c>
    </row>
    <row r="147" spans="1:14" x14ac:dyDescent="0.25">
      <c r="A147" s="22" t="s">
        <v>271</v>
      </c>
      <c r="B147" s="63">
        <v>45492</v>
      </c>
      <c r="C147" s="22" t="str">
        <f>TRIM(Raw_Data!C147)</f>
        <v>Miller, Laura</v>
      </c>
      <c r="D147" s="22" t="str">
        <f>PROPER(TRIM(Raw_Data!D147))</f>
        <v>China</v>
      </c>
      <c r="E147" s="22" t="s">
        <v>51</v>
      </c>
      <c r="F147" s="22" t="s">
        <v>52</v>
      </c>
      <c r="G147" s="22">
        <v>27</v>
      </c>
      <c r="H147" s="2">
        <v>38.39</v>
      </c>
      <c r="I147" s="64">
        <v>1036.53</v>
      </c>
      <c r="J147" s="2">
        <v>28.6</v>
      </c>
      <c r="K147" s="2">
        <v>400.43</v>
      </c>
      <c r="L147" s="22" t="s">
        <v>26</v>
      </c>
      <c r="M147" s="22" t="s">
        <v>20</v>
      </c>
      <c r="N147" s="22" t="s">
        <v>58</v>
      </c>
    </row>
    <row r="148" spans="1:14" x14ac:dyDescent="0.25">
      <c r="A148" s="22" t="s">
        <v>272</v>
      </c>
      <c r="B148" s="63">
        <v>45435</v>
      </c>
      <c r="C148" s="22" t="str">
        <f>TRIM(Raw_Data!C148)</f>
        <v>Jones, David</v>
      </c>
      <c r="D148" s="22" t="str">
        <f>PROPER(TRIM(Raw_Data!D148))</f>
        <v>Brazil</v>
      </c>
      <c r="E148" s="22" t="s">
        <v>83</v>
      </c>
      <c r="F148" s="22" t="s">
        <v>52</v>
      </c>
      <c r="G148" s="22">
        <v>10</v>
      </c>
      <c r="H148" s="2">
        <v>47.5</v>
      </c>
      <c r="I148" s="64">
        <v>475</v>
      </c>
      <c r="J148" s="2">
        <v>15.95</v>
      </c>
      <c r="K148" s="2">
        <v>179.05</v>
      </c>
      <c r="L148" s="22" t="s">
        <v>19</v>
      </c>
      <c r="M148" s="22" t="s">
        <v>20</v>
      </c>
      <c r="N148" s="22" t="s">
        <v>39</v>
      </c>
    </row>
    <row r="149" spans="1:14" x14ac:dyDescent="0.25">
      <c r="A149" s="22" t="s">
        <v>273</v>
      </c>
      <c r="B149" s="63">
        <v>45458</v>
      </c>
      <c r="C149" s="22" t="str">
        <f>TRIM(Raw_Data!C149)</f>
        <v>Johnson, Sophia</v>
      </c>
      <c r="D149" s="22" t="str">
        <f>PROPER(TRIM(Raw_Data!D149))</f>
        <v>Uae</v>
      </c>
      <c r="E149" s="22" t="s">
        <v>36</v>
      </c>
      <c r="F149" s="22" t="s">
        <v>37</v>
      </c>
      <c r="G149" s="22">
        <v>47</v>
      </c>
      <c r="H149" s="2">
        <v>50.13</v>
      </c>
      <c r="I149" s="64">
        <v>2356.11</v>
      </c>
      <c r="J149" s="2">
        <v>166.22</v>
      </c>
      <c r="K149" s="2">
        <v>685.89</v>
      </c>
      <c r="L149" s="22" t="s">
        <v>19</v>
      </c>
      <c r="M149" s="22" t="s">
        <v>20</v>
      </c>
      <c r="N149" s="22" t="s">
        <v>58</v>
      </c>
    </row>
    <row r="150" spans="1:14" x14ac:dyDescent="0.25">
      <c r="A150" s="22" t="s">
        <v>275</v>
      </c>
      <c r="B150" s="63">
        <v>45573</v>
      </c>
      <c r="C150" s="22" t="str">
        <f>TRIM(Raw_Data!C150)</f>
        <v>Davis, Sophia</v>
      </c>
      <c r="D150" s="22" t="str">
        <f>PROPER(TRIM(Raw_Data!D150))</f>
        <v>Mexico</v>
      </c>
      <c r="E150" s="22" t="s">
        <v>83</v>
      </c>
      <c r="F150" s="22" t="s">
        <v>52</v>
      </c>
      <c r="G150" s="22">
        <v>47</v>
      </c>
      <c r="H150" s="2">
        <v>42.25</v>
      </c>
      <c r="I150" s="64">
        <v>1985.75</v>
      </c>
      <c r="J150" s="2">
        <v>116.75</v>
      </c>
      <c r="K150" s="2">
        <v>553</v>
      </c>
      <c r="L150" s="22" t="s">
        <v>26</v>
      </c>
      <c r="M150" s="22" t="s">
        <v>20</v>
      </c>
      <c r="N150" s="22" t="s">
        <v>21</v>
      </c>
    </row>
    <row r="151" spans="1:14" x14ac:dyDescent="0.25">
      <c r="A151" s="22" t="s">
        <v>277</v>
      </c>
      <c r="B151" s="63">
        <v>45378</v>
      </c>
      <c r="C151" s="22" t="str">
        <f>TRIM(Raw_Data!C151)</f>
        <v>Jones, Daniel</v>
      </c>
      <c r="D151" s="22" t="str">
        <f>PROPER(TRIM(Raw_Data!D151))</f>
        <v>China</v>
      </c>
      <c r="E151" s="22" t="s">
        <v>56</v>
      </c>
      <c r="F151" s="22" t="s">
        <v>57</v>
      </c>
      <c r="G151" s="22">
        <v>18</v>
      </c>
      <c r="H151" s="2">
        <v>38.26</v>
      </c>
      <c r="I151" s="64">
        <v>688.68</v>
      </c>
      <c r="J151" s="2">
        <v>18.78</v>
      </c>
      <c r="K151" s="2">
        <v>219.9</v>
      </c>
      <c r="L151" s="22" t="s">
        <v>26</v>
      </c>
      <c r="M151" s="22" t="s">
        <v>20</v>
      </c>
      <c r="N151" s="22" t="s">
        <v>58</v>
      </c>
    </row>
    <row r="152" spans="1:14" x14ac:dyDescent="0.25">
      <c r="A152" s="22" t="s">
        <v>279</v>
      </c>
      <c r="B152" s="63">
        <v>45351</v>
      </c>
      <c r="C152" s="22" t="str">
        <f>TRIM(Raw_Data!C152)</f>
        <v>Miller, Michael</v>
      </c>
      <c r="D152" s="22" t="str">
        <f>PROPER(TRIM(Raw_Data!D152))</f>
        <v>Singapore</v>
      </c>
      <c r="E152" s="22" t="s">
        <v>83</v>
      </c>
      <c r="F152" s="22" t="s">
        <v>52</v>
      </c>
      <c r="G152" s="22">
        <v>31</v>
      </c>
      <c r="H152" s="2">
        <v>46.66</v>
      </c>
      <c r="I152" s="64">
        <v>1446.46</v>
      </c>
      <c r="J152" s="2">
        <v>109.24</v>
      </c>
      <c r="K152" s="2">
        <v>469.22</v>
      </c>
      <c r="L152" s="22" t="s">
        <v>19</v>
      </c>
      <c r="M152" s="22" t="s">
        <v>32</v>
      </c>
      <c r="N152" s="22" t="s">
        <v>58</v>
      </c>
    </row>
    <row r="153" spans="1:14" x14ac:dyDescent="0.25">
      <c r="A153" s="22" t="s">
        <v>280</v>
      </c>
      <c r="B153" s="63">
        <v>45354</v>
      </c>
      <c r="C153" s="22" t="str">
        <f>TRIM(Raw_Data!C153)</f>
        <v>Davis, Laura</v>
      </c>
      <c r="D153" s="22" t="str">
        <f>PROPER(TRIM(Raw_Data!D153))</f>
        <v>South Africa</v>
      </c>
      <c r="E153" s="22" t="s">
        <v>36</v>
      </c>
      <c r="F153" s="22" t="s">
        <v>37</v>
      </c>
      <c r="G153" s="22">
        <v>41</v>
      </c>
      <c r="H153" s="2">
        <v>52.65</v>
      </c>
      <c r="I153" s="64">
        <v>2158.65</v>
      </c>
      <c r="J153" s="2">
        <v>110.1</v>
      </c>
      <c r="K153" s="2">
        <v>736.55</v>
      </c>
      <c r="L153" s="22" t="s">
        <v>26</v>
      </c>
      <c r="M153" s="22" t="s">
        <v>32</v>
      </c>
      <c r="N153" s="22" t="s">
        <v>87</v>
      </c>
    </row>
    <row r="154" spans="1:14" x14ac:dyDescent="0.25">
      <c r="A154" s="22" t="s">
        <v>282</v>
      </c>
      <c r="B154" s="63">
        <v>45377</v>
      </c>
      <c r="C154" s="22" t="str">
        <f>TRIM(Raw_Data!C154)</f>
        <v>Williams, Laura</v>
      </c>
      <c r="D154" s="22" t="str">
        <f>PROPER(TRIM(Raw_Data!D154))</f>
        <v>Japan</v>
      </c>
      <c r="E154" s="22" t="s">
        <v>25</v>
      </c>
      <c r="F154" s="22" t="s">
        <v>18</v>
      </c>
      <c r="G154" s="22">
        <v>28</v>
      </c>
      <c r="H154" s="2">
        <v>22.66</v>
      </c>
      <c r="I154" s="64">
        <v>634.48</v>
      </c>
      <c r="J154" s="2">
        <v>15.55</v>
      </c>
      <c r="K154" s="2">
        <v>114.93</v>
      </c>
      <c r="L154" s="22" t="s">
        <v>38</v>
      </c>
      <c r="M154" s="22" t="s">
        <v>20</v>
      </c>
      <c r="N154" s="22" t="s">
        <v>58</v>
      </c>
    </row>
    <row r="155" spans="1:14" x14ac:dyDescent="0.25">
      <c r="A155" s="22" t="s">
        <v>283</v>
      </c>
      <c r="B155" s="63">
        <v>45697</v>
      </c>
      <c r="C155" s="22" t="str">
        <f>TRIM(Raw_Data!C155)</f>
        <v>Brown, James</v>
      </c>
      <c r="D155" s="22" t="str">
        <f>PROPER(TRIM(Raw_Data!D155))</f>
        <v>Mexico</v>
      </c>
      <c r="E155" s="22" t="s">
        <v>60</v>
      </c>
      <c r="F155" s="22" t="s">
        <v>52</v>
      </c>
      <c r="G155" s="22">
        <v>48</v>
      </c>
      <c r="H155" s="2">
        <v>25.07</v>
      </c>
      <c r="I155" s="64">
        <v>1203.3599999999999</v>
      </c>
      <c r="J155" s="2">
        <v>29.93</v>
      </c>
      <c r="K155" s="2">
        <v>429.43</v>
      </c>
      <c r="L155" s="22" t="s">
        <v>26</v>
      </c>
      <c r="M155" s="22" t="s">
        <v>27</v>
      </c>
      <c r="N155" s="22" t="s">
        <v>21</v>
      </c>
    </row>
    <row r="156" spans="1:14" x14ac:dyDescent="0.25">
      <c r="A156" s="22" t="s">
        <v>284</v>
      </c>
      <c r="B156" s="63">
        <v>45418</v>
      </c>
      <c r="C156" s="22" t="str">
        <f>TRIM(Raw_Data!C156)</f>
        <v>Miller, Daniel</v>
      </c>
      <c r="D156" s="22" t="str">
        <f>PROPER(TRIM(Raw_Data!D156))</f>
        <v>Brazil</v>
      </c>
      <c r="E156" s="22" t="s">
        <v>25</v>
      </c>
      <c r="F156" s="22" t="s">
        <v>18</v>
      </c>
      <c r="G156" s="22">
        <v>31</v>
      </c>
      <c r="H156" s="2">
        <v>30.53</v>
      </c>
      <c r="I156" s="64">
        <v>946.43</v>
      </c>
      <c r="J156" s="2">
        <v>72.150000000000006</v>
      </c>
      <c r="K156" s="2">
        <v>316.27999999999997</v>
      </c>
      <c r="L156" s="22" t="s">
        <v>38</v>
      </c>
      <c r="M156" s="22" t="s">
        <v>27</v>
      </c>
      <c r="N156" s="22" t="s">
        <v>39</v>
      </c>
    </row>
    <row r="157" spans="1:14" x14ac:dyDescent="0.25">
      <c r="A157" s="22" t="s">
        <v>285</v>
      </c>
      <c r="B157" s="63">
        <v>45629</v>
      </c>
      <c r="C157" s="22" t="str">
        <f>TRIM(Raw_Data!C157)</f>
        <v>Hernandez, Michael</v>
      </c>
      <c r="D157" s="22" t="str">
        <f>PROPER(TRIM(Raw_Data!D157))</f>
        <v>South Africa</v>
      </c>
      <c r="E157" s="22" t="s">
        <v>51</v>
      </c>
      <c r="F157" s="22" t="s">
        <v>52</v>
      </c>
      <c r="G157" s="22">
        <v>33</v>
      </c>
      <c r="H157" s="2">
        <v>31</v>
      </c>
      <c r="I157" s="64">
        <v>1023</v>
      </c>
      <c r="J157" s="2">
        <v>63.94</v>
      </c>
      <c r="K157" s="2">
        <v>216.56</v>
      </c>
      <c r="L157" s="22" t="s">
        <v>26</v>
      </c>
      <c r="M157" s="22" t="s">
        <v>20</v>
      </c>
      <c r="N157" s="22" t="s">
        <v>87</v>
      </c>
    </row>
    <row r="158" spans="1:14" x14ac:dyDescent="0.25">
      <c r="A158" s="22" t="s">
        <v>287</v>
      </c>
      <c r="B158" s="63">
        <v>45582</v>
      </c>
      <c r="C158" s="22" t="str">
        <f>TRIM(Raw_Data!C158)</f>
        <v>Smith, Michael</v>
      </c>
      <c r="D158" s="22" t="str">
        <f>PROPER(TRIM(Raw_Data!D158))</f>
        <v>Uk</v>
      </c>
      <c r="E158" s="22" t="s">
        <v>60</v>
      </c>
      <c r="F158" s="22" t="s">
        <v>52</v>
      </c>
      <c r="G158" s="22">
        <v>32</v>
      </c>
      <c r="H158" s="2">
        <v>20.86</v>
      </c>
      <c r="I158" s="64">
        <v>667.52</v>
      </c>
      <c r="J158" s="2">
        <v>21.62</v>
      </c>
      <c r="K158" s="2">
        <v>149.9</v>
      </c>
      <c r="L158" s="22" t="s">
        <v>38</v>
      </c>
      <c r="M158" s="22" t="s">
        <v>32</v>
      </c>
      <c r="N158" s="22" t="s">
        <v>28</v>
      </c>
    </row>
    <row r="159" spans="1:14" x14ac:dyDescent="0.25">
      <c r="A159" s="22" t="s">
        <v>288</v>
      </c>
      <c r="B159" s="63">
        <v>45549</v>
      </c>
      <c r="C159" s="22" t="str">
        <f>TRIM(Raw_Data!C159)</f>
        <v>Brown, Sarah</v>
      </c>
      <c r="D159" s="22" t="str">
        <f>PROPER(TRIM(Raw_Data!D159))</f>
        <v>Germany</v>
      </c>
      <c r="E159" s="22" t="s">
        <v>48</v>
      </c>
      <c r="F159" s="22" t="s">
        <v>37</v>
      </c>
      <c r="G159" s="22">
        <v>18</v>
      </c>
      <c r="H159" s="2">
        <v>24.61</v>
      </c>
      <c r="I159" s="64">
        <v>442.98</v>
      </c>
      <c r="J159" s="2">
        <v>26.99</v>
      </c>
      <c r="K159" s="2">
        <v>55.99</v>
      </c>
      <c r="L159" s="22" t="s">
        <v>38</v>
      </c>
      <c r="M159" s="22" t="s">
        <v>20</v>
      </c>
      <c r="N159" s="22" t="s">
        <v>28</v>
      </c>
    </row>
    <row r="160" spans="1:14" x14ac:dyDescent="0.25">
      <c r="A160" s="22" t="s">
        <v>289</v>
      </c>
      <c r="B160" s="63">
        <v>45580</v>
      </c>
      <c r="C160" s="22" t="str">
        <f>TRIM(Raw_Data!C160)</f>
        <v>Williams, Daniel</v>
      </c>
      <c r="D160" s="22" t="str">
        <f>PROPER(TRIM(Raw_Data!D160))</f>
        <v>Singapore</v>
      </c>
      <c r="E160" s="22" t="s">
        <v>43</v>
      </c>
      <c r="F160" s="22" t="s">
        <v>44</v>
      </c>
      <c r="G160" s="22">
        <v>18</v>
      </c>
      <c r="H160" s="2">
        <v>64.83</v>
      </c>
      <c r="I160" s="64">
        <v>1166.94</v>
      </c>
      <c r="J160" s="2">
        <v>34.28</v>
      </c>
      <c r="K160" s="2">
        <v>412.66</v>
      </c>
      <c r="L160" s="22" t="s">
        <v>38</v>
      </c>
      <c r="M160" s="22" t="s">
        <v>20</v>
      </c>
      <c r="N160" s="22" t="s">
        <v>58</v>
      </c>
    </row>
    <row r="161" spans="1:14" x14ac:dyDescent="0.25">
      <c r="A161" s="22" t="s">
        <v>290</v>
      </c>
      <c r="B161" s="63">
        <v>45476</v>
      </c>
      <c r="C161" s="22" t="str">
        <f>TRIM(Raw_Data!C161)</f>
        <v>Brown, John</v>
      </c>
      <c r="D161" s="22" t="str">
        <f>PROPER(TRIM(Raw_Data!D161))</f>
        <v>Mexico</v>
      </c>
      <c r="E161" s="22" t="s">
        <v>48</v>
      </c>
      <c r="F161" s="22" t="s">
        <v>37</v>
      </c>
      <c r="G161" s="22">
        <v>49</v>
      </c>
      <c r="H161" s="2">
        <v>29.52</v>
      </c>
      <c r="I161" s="64">
        <v>1446.48</v>
      </c>
      <c r="J161" s="2">
        <v>104.7</v>
      </c>
      <c r="K161" s="2">
        <v>361.78</v>
      </c>
      <c r="L161" s="22" t="s">
        <v>38</v>
      </c>
      <c r="M161" s="22" t="s">
        <v>32</v>
      </c>
      <c r="N161" s="22" t="s">
        <v>21</v>
      </c>
    </row>
    <row r="162" spans="1:14" x14ac:dyDescent="0.25">
      <c r="A162" s="22" t="s">
        <v>292</v>
      </c>
      <c r="B162" s="63">
        <v>45474</v>
      </c>
      <c r="C162" s="22" t="str">
        <f>TRIM(Raw_Data!C162)</f>
        <v>Martinez, David</v>
      </c>
      <c r="D162" s="22" t="str">
        <f>PROPER(TRIM(Raw_Data!D162))</f>
        <v>South Africa</v>
      </c>
      <c r="E162" s="22" t="s">
        <v>48</v>
      </c>
      <c r="F162" s="22" t="s">
        <v>37</v>
      </c>
      <c r="G162" s="22">
        <v>10</v>
      </c>
      <c r="H162" s="2">
        <v>26.73</v>
      </c>
      <c r="I162" s="64">
        <v>267.3</v>
      </c>
      <c r="J162" s="2">
        <v>10.210000000000001</v>
      </c>
      <c r="K162" s="2">
        <v>57.09</v>
      </c>
      <c r="L162" s="22" t="s">
        <v>38</v>
      </c>
      <c r="M162" s="22" t="s">
        <v>32</v>
      </c>
      <c r="N162" s="22" t="s">
        <v>87</v>
      </c>
    </row>
    <row r="163" spans="1:14" x14ac:dyDescent="0.25">
      <c r="A163" s="22" t="s">
        <v>294</v>
      </c>
      <c r="B163" s="63">
        <v>45323</v>
      </c>
      <c r="C163" s="22" t="str">
        <f>TRIM(Raw_Data!C163)</f>
        <v>Martinez, Laura</v>
      </c>
      <c r="D163" s="22" t="str">
        <f>PROPER(TRIM(Raw_Data!D163))</f>
        <v>Uk</v>
      </c>
      <c r="E163" s="22" t="s">
        <v>36</v>
      </c>
      <c r="F163" s="22" t="s">
        <v>37</v>
      </c>
      <c r="G163" s="22">
        <v>10</v>
      </c>
      <c r="H163" s="2">
        <v>54.45</v>
      </c>
      <c r="I163" s="64">
        <v>544.5</v>
      </c>
      <c r="J163" s="2">
        <v>16.59</v>
      </c>
      <c r="K163" s="2">
        <v>207.91</v>
      </c>
      <c r="L163" s="22" t="s">
        <v>19</v>
      </c>
      <c r="M163" s="22" t="s">
        <v>20</v>
      </c>
      <c r="N163" s="22" t="s">
        <v>28</v>
      </c>
    </row>
    <row r="164" spans="1:14" x14ac:dyDescent="0.25">
      <c r="A164" s="22" t="s">
        <v>295</v>
      </c>
      <c r="B164" s="63">
        <v>45466</v>
      </c>
      <c r="C164" s="22" t="str">
        <f>TRIM(Raw_Data!C164)</f>
        <v>Martinez, Laura</v>
      </c>
      <c r="D164" s="22" t="str">
        <f>PROPER(TRIM(Raw_Data!D164))</f>
        <v>India</v>
      </c>
      <c r="E164" s="22" t="s">
        <v>25</v>
      </c>
      <c r="F164" s="22" t="s">
        <v>18</v>
      </c>
      <c r="G164" s="22">
        <v>46</v>
      </c>
      <c r="H164" s="2">
        <v>30.06</v>
      </c>
      <c r="I164" s="64">
        <v>1382.76</v>
      </c>
      <c r="J164" s="2">
        <v>77.17</v>
      </c>
      <c r="K164" s="2">
        <v>477.59</v>
      </c>
      <c r="L164" s="22" t="s">
        <v>26</v>
      </c>
      <c r="M164" s="22" t="s">
        <v>27</v>
      </c>
      <c r="N164" s="22" t="s">
        <v>58</v>
      </c>
    </row>
    <row r="165" spans="1:14" x14ac:dyDescent="0.25">
      <c r="A165" s="22" t="s">
        <v>296</v>
      </c>
      <c r="B165" s="63">
        <v>45350</v>
      </c>
      <c r="C165" s="22" t="str">
        <f>TRIM(Raw_Data!C165)</f>
        <v>Johnson, Emily</v>
      </c>
      <c r="D165" s="22" t="str">
        <f>PROPER(TRIM(Raw_Data!D165))</f>
        <v>Mexico</v>
      </c>
      <c r="E165" s="22" t="s">
        <v>60</v>
      </c>
      <c r="F165" s="22" t="s">
        <v>52</v>
      </c>
      <c r="G165" s="22">
        <v>25</v>
      </c>
      <c r="H165" s="2">
        <v>21.52</v>
      </c>
      <c r="I165" s="64">
        <v>538</v>
      </c>
      <c r="J165" s="2">
        <v>26.73</v>
      </c>
      <c r="K165" s="2">
        <v>123.77</v>
      </c>
      <c r="L165" s="22" t="s">
        <v>26</v>
      </c>
      <c r="M165" s="22" t="s">
        <v>20</v>
      </c>
      <c r="N165" s="22" t="s">
        <v>21</v>
      </c>
    </row>
    <row r="166" spans="1:14" x14ac:dyDescent="0.25">
      <c r="A166" s="22" t="s">
        <v>298</v>
      </c>
      <c r="B166" s="63">
        <v>45334</v>
      </c>
      <c r="C166" s="22" t="str">
        <f>TRIM(Raw_Data!C166)</f>
        <v>Garcia, Emma</v>
      </c>
      <c r="D166" s="22" t="str">
        <f>PROPER(TRIM(Raw_Data!D166))</f>
        <v>India</v>
      </c>
      <c r="E166" s="22" t="s">
        <v>25</v>
      </c>
      <c r="F166" s="22" t="s">
        <v>18</v>
      </c>
      <c r="G166" s="22">
        <v>5</v>
      </c>
      <c r="H166" s="2">
        <v>26.25</v>
      </c>
      <c r="I166" s="64">
        <v>131.25</v>
      </c>
      <c r="J166" s="2">
        <v>3.35</v>
      </c>
      <c r="K166" s="2">
        <v>37.9</v>
      </c>
      <c r="L166" s="22" t="s">
        <v>26</v>
      </c>
      <c r="M166" s="22" t="s">
        <v>27</v>
      </c>
      <c r="N166" s="22" t="s">
        <v>58</v>
      </c>
    </row>
    <row r="167" spans="1:14" x14ac:dyDescent="0.25">
      <c r="A167" s="22" t="s">
        <v>299</v>
      </c>
      <c r="B167" s="63">
        <v>45450</v>
      </c>
      <c r="C167" s="22" t="str">
        <f>TRIM(Raw_Data!C167)</f>
        <v>Garcia, John</v>
      </c>
      <c r="D167" s="22" t="str">
        <f>PROPER(TRIM(Raw_Data!D167))</f>
        <v>Uk</v>
      </c>
      <c r="E167" s="22" t="s">
        <v>56</v>
      </c>
      <c r="F167" s="22" t="s">
        <v>57</v>
      </c>
      <c r="G167" s="22">
        <v>10</v>
      </c>
      <c r="H167" s="2">
        <v>31.48</v>
      </c>
      <c r="I167" s="64">
        <v>314.8</v>
      </c>
      <c r="J167" s="2">
        <v>10.23</v>
      </c>
      <c r="K167" s="2">
        <v>54.57</v>
      </c>
      <c r="L167" s="22" t="s">
        <v>38</v>
      </c>
      <c r="M167" s="22" t="s">
        <v>32</v>
      </c>
      <c r="N167" s="22" t="s">
        <v>28</v>
      </c>
    </row>
    <row r="168" spans="1:14" x14ac:dyDescent="0.25">
      <c r="A168" s="22" t="s">
        <v>301</v>
      </c>
      <c r="B168" s="63">
        <v>45525</v>
      </c>
      <c r="C168" s="22" t="str">
        <f>TRIM(Raw_Data!C168)</f>
        <v>Smith, Sophia</v>
      </c>
      <c r="D168" s="22" t="str">
        <f>PROPER(TRIM(Raw_Data!D168))</f>
        <v>Brazil</v>
      </c>
      <c r="E168" s="22" t="s">
        <v>48</v>
      </c>
      <c r="F168" s="22" t="s">
        <v>37</v>
      </c>
      <c r="G168" s="22">
        <v>21</v>
      </c>
      <c r="H168" s="2">
        <v>30.91</v>
      </c>
      <c r="I168" s="64">
        <v>649.11</v>
      </c>
      <c r="J168" s="2">
        <v>38.42</v>
      </c>
      <c r="K168" s="2">
        <v>190.69</v>
      </c>
      <c r="L168" s="22" t="s">
        <v>26</v>
      </c>
      <c r="M168" s="22" t="s">
        <v>32</v>
      </c>
      <c r="N168" s="22" t="s">
        <v>39</v>
      </c>
    </row>
    <row r="169" spans="1:14" x14ac:dyDescent="0.25">
      <c r="A169" s="22" t="s">
        <v>302</v>
      </c>
      <c r="B169" s="63">
        <v>45788</v>
      </c>
      <c r="C169" s="22" t="str">
        <f>TRIM(Raw_Data!C169)</f>
        <v>Jones, Emily</v>
      </c>
      <c r="D169" s="22" t="str">
        <f>PROPER(TRIM(Raw_Data!D169))</f>
        <v>Singapore</v>
      </c>
      <c r="E169" s="22" t="s">
        <v>63</v>
      </c>
      <c r="F169" s="22" t="s">
        <v>37</v>
      </c>
      <c r="G169" s="22">
        <v>29</v>
      </c>
      <c r="H169" s="2">
        <v>18.47</v>
      </c>
      <c r="I169" s="64">
        <v>535.63</v>
      </c>
      <c r="J169" s="2">
        <v>13.21</v>
      </c>
      <c r="K169" s="2">
        <v>152.66999999999999</v>
      </c>
      <c r="L169" s="22" t="s">
        <v>19</v>
      </c>
      <c r="M169" s="22" t="s">
        <v>20</v>
      </c>
      <c r="N169" s="22" t="s">
        <v>58</v>
      </c>
    </row>
    <row r="170" spans="1:14" x14ac:dyDescent="0.25">
      <c r="A170" s="22" t="s">
        <v>304</v>
      </c>
      <c r="B170" s="63">
        <v>45616</v>
      </c>
      <c r="C170" s="22" t="str">
        <f>TRIM(Raw_Data!C170)</f>
        <v>Williams, Laura</v>
      </c>
      <c r="D170" s="22" t="str">
        <f>PROPER(TRIM(Raw_Data!D170))</f>
        <v>Mexico</v>
      </c>
      <c r="E170" s="22" t="s">
        <v>17</v>
      </c>
      <c r="F170" s="22" t="s">
        <v>18</v>
      </c>
      <c r="G170" s="22">
        <v>36</v>
      </c>
      <c r="H170" s="2">
        <v>44.79</v>
      </c>
      <c r="I170" s="64">
        <v>1612.44</v>
      </c>
      <c r="J170" s="2">
        <v>68.599999999999994</v>
      </c>
      <c r="K170" s="2">
        <v>283.83999999999997</v>
      </c>
      <c r="L170" s="22" t="s">
        <v>38</v>
      </c>
      <c r="M170" s="22" t="s">
        <v>27</v>
      </c>
      <c r="N170" s="22" t="s">
        <v>21</v>
      </c>
    </row>
    <row r="171" spans="1:14" x14ac:dyDescent="0.25">
      <c r="A171" s="22" t="s">
        <v>305</v>
      </c>
      <c r="B171" s="63">
        <v>45405</v>
      </c>
      <c r="C171" s="22" t="str">
        <f>TRIM(Raw_Data!C171)</f>
        <v>Miller, James</v>
      </c>
      <c r="D171" s="22" t="str">
        <f>PROPER(TRIM(Raw_Data!D171))</f>
        <v>Brazil</v>
      </c>
      <c r="E171" s="22" t="s">
        <v>60</v>
      </c>
      <c r="F171" s="22" t="s">
        <v>52</v>
      </c>
      <c r="G171" s="22">
        <v>3</v>
      </c>
      <c r="H171" s="2">
        <v>18.86</v>
      </c>
      <c r="I171" s="64">
        <v>56.58</v>
      </c>
      <c r="J171" s="2">
        <v>2.61</v>
      </c>
      <c r="K171" s="2">
        <v>7.47</v>
      </c>
      <c r="L171" s="22" t="s">
        <v>26</v>
      </c>
      <c r="M171" s="22" t="s">
        <v>32</v>
      </c>
      <c r="N171" s="22" t="s">
        <v>39</v>
      </c>
    </row>
    <row r="172" spans="1:14" x14ac:dyDescent="0.25">
      <c r="A172" s="22" t="s">
        <v>307</v>
      </c>
      <c r="B172" s="63">
        <v>45597</v>
      </c>
      <c r="C172" s="22" t="str">
        <f>TRIM(Raw_Data!C172)</f>
        <v>Hernandez, Emma</v>
      </c>
      <c r="D172" s="22" t="str">
        <f>PROPER(TRIM(Raw_Data!D172))</f>
        <v>China</v>
      </c>
      <c r="E172" s="22" t="s">
        <v>83</v>
      </c>
      <c r="F172" s="22" t="s">
        <v>52</v>
      </c>
      <c r="G172" s="22">
        <v>10</v>
      </c>
      <c r="H172" s="2">
        <v>45.86</v>
      </c>
      <c r="I172" s="64">
        <v>458.6</v>
      </c>
      <c r="J172" s="2">
        <v>14.4</v>
      </c>
      <c r="K172" s="2">
        <v>164.2</v>
      </c>
      <c r="L172" s="22" t="s">
        <v>38</v>
      </c>
      <c r="M172" s="22" t="s">
        <v>20</v>
      </c>
      <c r="N172" s="22" t="s">
        <v>58</v>
      </c>
    </row>
    <row r="173" spans="1:14" x14ac:dyDescent="0.25">
      <c r="A173" s="22" t="s">
        <v>308</v>
      </c>
      <c r="B173" s="63">
        <v>45335</v>
      </c>
      <c r="C173" s="22" t="str">
        <f>TRIM(Raw_Data!C173)</f>
        <v>Miller, James</v>
      </c>
      <c r="D173" s="22" t="str">
        <f>PROPER(TRIM(Raw_Data!D173))</f>
        <v>Italy</v>
      </c>
      <c r="E173" s="22" t="s">
        <v>25</v>
      </c>
      <c r="F173" s="22" t="s">
        <v>18</v>
      </c>
      <c r="G173" s="22">
        <v>1</v>
      </c>
      <c r="H173" s="2">
        <v>24.64</v>
      </c>
      <c r="I173" s="64">
        <v>24.64</v>
      </c>
      <c r="J173" s="2">
        <v>0.65</v>
      </c>
      <c r="K173" s="2">
        <v>5.99</v>
      </c>
      <c r="L173" s="22" t="s">
        <v>38</v>
      </c>
      <c r="M173" s="22" t="s">
        <v>27</v>
      </c>
      <c r="N173" s="22" t="s">
        <v>28</v>
      </c>
    </row>
    <row r="174" spans="1:14" x14ac:dyDescent="0.25">
      <c r="A174" s="22" t="s">
        <v>309</v>
      </c>
      <c r="B174" s="63">
        <v>45503</v>
      </c>
      <c r="C174" s="22" t="str">
        <f>TRIM(Raw_Data!C174)</f>
        <v>Williams, Michael</v>
      </c>
      <c r="D174" s="22" t="str">
        <f>PROPER(TRIM(Raw_Data!D174))</f>
        <v>Italy</v>
      </c>
      <c r="E174" s="22" t="s">
        <v>60</v>
      </c>
      <c r="F174" s="22" t="s">
        <v>52</v>
      </c>
      <c r="G174" s="22">
        <v>49</v>
      </c>
      <c r="H174" s="2">
        <v>22.8</v>
      </c>
      <c r="I174" s="64">
        <v>1117.2</v>
      </c>
      <c r="J174" s="2">
        <v>51.06</v>
      </c>
      <c r="K174" s="2">
        <v>306.64</v>
      </c>
      <c r="L174" s="22" t="s">
        <v>19</v>
      </c>
      <c r="M174" s="22" t="s">
        <v>27</v>
      </c>
      <c r="N174" s="22" t="s">
        <v>28</v>
      </c>
    </row>
    <row r="175" spans="1:14" x14ac:dyDescent="0.25">
      <c r="A175" s="22" t="s">
        <v>310</v>
      </c>
      <c r="B175" s="63">
        <v>45596</v>
      </c>
      <c r="C175" s="22" t="str">
        <f>TRIM(Raw_Data!C175)</f>
        <v>Hernandez, Laura</v>
      </c>
      <c r="D175" s="22" t="str">
        <f>PROPER(TRIM(Raw_Data!D175))</f>
        <v>Mexico</v>
      </c>
      <c r="E175" s="22" t="s">
        <v>17</v>
      </c>
      <c r="F175" s="22" t="s">
        <v>18</v>
      </c>
      <c r="G175" s="22">
        <v>32</v>
      </c>
      <c r="H175" s="2">
        <v>44.5</v>
      </c>
      <c r="I175" s="64">
        <v>1424</v>
      </c>
      <c r="J175" s="2">
        <v>43.92</v>
      </c>
      <c r="K175" s="2">
        <v>260.08</v>
      </c>
      <c r="L175" s="22" t="s">
        <v>38</v>
      </c>
      <c r="M175" s="22" t="s">
        <v>27</v>
      </c>
      <c r="N175" s="22" t="s">
        <v>21</v>
      </c>
    </row>
    <row r="176" spans="1:14" x14ac:dyDescent="0.25">
      <c r="A176" s="22" t="s">
        <v>311</v>
      </c>
      <c r="B176" s="63">
        <v>45530</v>
      </c>
      <c r="C176" s="22" t="str">
        <f>TRIM(Raw_Data!C176)</f>
        <v>Williams, James</v>
      </c>
      <c r="D176" s="22" t="str">
        <f>PROPER(TRIM(Raw_Data!D176))</f>
        <v>Brazil</v>
      </c>
      <c r="E176" s="22" t="s">
        <v>17</v>
      </c>
      <c r="F176" s="22" t="s">
        <v>18</v>
      </c>
      <c r="G176" s="22">
        <v>43</v>
      </c>
      <c r="H176" s="2">
        <v>55.74</v>
      </c>
      <c r="I176" s="64">
        <v>2396.8200000000002</v>
      </c>
      <c r="J176" s="2">
        <v>63.85</v>
      </c>
      <c r="K176" s="2">
        <v>827.97</v>
      </c>
      <c r="L176" s="22" t="s">
        <v>26</v>
      </c>
      <c r="M176" s="22" t="s">
        <v>32</v>
      </c>
      <c r="N176" s="22" t="s">
        <v>39</v>
      </c>
    </row>
    <row r="177" spans="1:14" x14ac:dyDescent="0.25">
      <c r="A177" s="22" t="s">
        <v>312</v>
      </c>
      <c r="B177" s="63">
        <v>45592</v>
      </c>
      <c r="C177" s="22" t="str">
        <f>TRIM(Raw_Data!C177)</f>
        <v>Miller, Laura</v>
      </c>
      <c r="D177" s="22" t="str">
        <f>PROPER(TRIM(Raw_Data!D177))</f>
        <v>Singapore</v>
      </c>
      <c r="E177" s="22" t="s">
        <v>60</v>
      </c>
      <c r="F177" s="22" t="s">
        <v>52</v>
      </c>
      <c r="G177" s="22">
        <v>19</v>
      </c>
      <c r="H177" s="2">
        <v>25.78</v>
      </c>
      <c r="I177" s="64">
        <v>489.82</v>
      </c>
      <c r="J177" s="2">
        <v>28.4</v>
      </c>
      <c r="K177" s="2">
        <v>166.92</v>
      </c>
      <c r="L177" s="22" t="s">
        <v>38</v>
      </c>
      <c r="M177" s="22" t="s">
        <v>27</v>
      </c>
      <c r="N177" s="22" t="s">
        <v>58</v>
      </c>
    </row>
    <row r="178" spans="1:14" x14ac:dyDescent="0.25">
      <c r="A178" s="22" t="s">
        <v>313</v>
      </c>
      <c r="B178" s="63">
        <v>45348</v>
      </c>
      <c r="C178" s="22" t="str">
        <f>TRIM(Raw_Data!C178)</f>
        <v>Martinez, John</v>
      </c>
      <c r="D178" s="22" t="str">
        <f>PROPER(TRIM(Raw_Data!D178))</f>
        <v>Mexico</v>
      </c>
      <c r="E178" s="22" t="s">
        <v>25</v>
      </c>
      <c r="F178" s="22" t="s">
        <v>18</v>
      </c>
      <c r="G178" s="22">
        <v>43</v>
      </c>
      <c r="H178" s="2">
        <v>30.43</v>
      </c>
      <c r="I178" s="64">
        <v>1308.49</v>
      </c>
      <c r="J178" s="2">
        <v>35.340000000000003</v>
      </c>
      <c r="K178" s="2">
        <v>499.15</v>
      </c>
      <c r="L178" s="22" t="s">
        <v>26</v>
      </c>
      <c r="M178" s="22" t="s">
        <v>27</v>
      </c>
      <c r="N178" s="22" t="s">
        <v>21</v>
      </c>
    </row>
    <row r="179" spans="1:14" x14ac:dyDescent="0.25">
      <c r="A179" s="22" t="s">
        <v>314</v>
      </c>
      <c r="B179" s="63">
        <v>45629</v>
      </c>
      <c r="C179" s="22" t="str">
        <f>TRIM(Raw_Data!C179)</f>
        <v>Hernandez, Sarah</v>
      </c>
      <c r="D179" s="22" t="str">
        <f>PROPER(TRIM(Raw_Data!D179))</f>
        <v>France</v>
      </c>
      <c r="E179" s="22" t="s">
        <v>60</v>
      </c>
      <c r="F179" s="22" t="s">
        <v>52</v>
      </c>
      <c r="G179" s="22">
        <v>17</v>
      </c>
      <c r="H179" s="2">
        <v>18.71</v>
      </c>
      <c r="I179" s="64">
        <v>318.07</v>
      </c>
      <c r="J179" s="2">
        <v>22.03</v>
      </c>
      <c r="K179" s="2">
        <v>32.54</v>
      </c>
      <c r="L179" s="22" t="s">
        <v>38</v>
      </c>
      <c r="M179" s="22" t="s">
        <v>20</v>
      </c>
      <c r="N179" s="22" t="s">
        <v>28</v>
      </c>
    </row>
    <row r="180" spans="1:14" x14ac:dyDescent="0.25">
      <c r="A180" s="22" t="s">
        <v>316</v>
      </c>
      <c r="B180" s="63">
        <v>45362</v>
      </c>
      <c r="C180" s="22" t="str">
        <f>TRIM(Raw_Data!C180)</f>
        <v>Johnson, Emma</v>
      </c>
      <c r="D180" s="22" t="str">
        <f>PROPER(TRIM(Raw_Data!D180))</f>
        <v>China</v>
      </c>
      <c r="E180" s="22" t="s">
        <v>60</v>
      </c>
      <c r="F180" s="22" t="s">
        <v>52</v>
      </c>
      <c r="G180" s="22">
        <v>44</v>
      </c>
      <c r="H180" s="2">
        <v>23.87</v>
      </c>
      <c r="I180" s="64">
        <v>1050.28</v>
      </c>
      <c r="J180" s="2">
        <v>33.51</v>
      </c>
      <c r="K180" s="2">
        <v>334.77</v>
      </c>
      <c r="L180" s="22" t="s">
        <v>19</v>
      </c>
      <c r="M180" s="22" t="s">
        <v>27</v>
      </c>
      <c r="N180" s="22" t="s">
        <v>58</v>
      </c>
    </row>
    <row r="181" spans="1:14" x14ac:dyDescent="0.25">
      <c r="A181" s="22" t="s">
        <v>317</v>
      </c>
      <c r="B181" s="63">
        <v>45542</v>
      </c>
      <c r="C181" s="22" t="str">
        <f>TRIM(Raw_Data!C181)</f>
        <v>Martinez, Sarah</v>
      </c>
      <c r="D181" s="22" t="str">
        <f>PROPER(TRIM(Raw_Data!D181))</f>
        <v>Australia</v>
      </c>
      <c r="E181" s="22" t="s">
        <v>36</v>
      </c>
      <c r="F181" s="22" t="s">
        <v>37</v>
      </c>
      <c r="G181" s="22">
        <v>12</v>
      </c>
      <c r="H181" s="2">
        <v>42.91</v>
      </c>
      <c r="I181" s="64">
        <v>514.91999999999996</v>
      </c>
      <c r="J181" s="2">
        <v>15.18</v>
      </c>
      <c r="K181" s="2">
        <v>115.74</v>
      </c>
      <c r="L181" s="22" t="s">
        <v>38</v>
      </c>
      <c r="M181" s="22" t="s">
        <v>32</v>
      </c>
      <c r="N181" s="22" t="s">
        <v>130</v>
      </c>
    </row>
    <row r="182" spans="1:14" x14ac:dyDescent="0.25">
      <c r="A182" s="22" t="s">
        <v>318</v>
      </c>
      <c r="B182" s="63">
        <v>45617</v>
      </c>
      <c r="C182" s="22" t="str">
        <f>TRIM(Raw_Data!C182)</f>
        <v>Davis, Daniel</v>
      </c>
      <c r="D182" s="22" t="str">
        <f>PROPER(TRIM(Raw_Data!D182))</f>
        <v>India</v>
      </c>
      <c r="E182" s="22" t="s">
        <v>43</v>
      </c>
      <c r="F182" s="22" t="s">
        <v>44</v>
      </c>
      <c r="G182" s="22">
        <v>21</v>
      </c>
      <c r="H182" s="2">
        <v>50.49</v>
      </c>
      <c r="I182" s="64">
        <v>1060.29</v>
      </c>
      <c r="J182" s="2">
        <v>32.340000000000003</v>
      </c>
      <c r="K182" s="2">
        <v>187.95</v>
      </c>
      <c r="L182" s="22" t="s">
        <v>38</v>
      </c>
      <c r="M182" s="22" t="s">
        <v>20</v>
      </c>
      <c r="N182" s="22" t="s">
        <v>58</v>
      </c>
    </row>
    <row r="183" spans="1:14" x14ac:dyDescent="0.25">
      <c r="A183" s="22" t="s">
        <v>320</v>
      </c>
      <c r="B183" s="63">
        <v>45629</v>
      </c>
      <c r="C183" s="22" t="str">
        <f>TRIM(Raw_Data!C183)</f>
        <v>Hernandez, Laura</v>
      </c>
      <c r="D183" s="22" t="str">
        <f>PROPER(TRIM(Raw_Data!D183))</f>
        <v>Italy</v>
      </c>
      <c r="E183" s="22" t="s">
        <v>17</v>
      </c>
      <c r="F183" s="22" t="s">
        <v>18</v>
      </c>
      <c r="G183" s="22">
        <v>41</v>
      </c>
      <c r="H183" s="2">
        <v>43.18</v>
      </c>
      <c r="I183" s="64">
        <v>1770.38</v>
      </c>
      <c r="J183" s="2">
        <v>128.4</v>
      </c>
      <c r="K183" s="2">
        <v>206.98</v>
      </c>
      <c r="L183" s="22" t="s">
        <v>26</v>
      </c>
      <c r="M183" s="22" t="s">
        <v>32</v>
      </c>
      <c r="N183" s="22" t="s">
        <v>28</v>
      </c>
    </row>
    <row r="184" spans="1:14" x14ac:dyDescent="0.25">
      <c r="A184" s="22" t="s">
        <v>321</v>
      </c>
      <c r="B184" s="63">
        <v>45367</v>
      </c>
      <c r="C184" s="22" t="str">
        <f>TRIM(Raw_Data!C184)</f>
        <v>Jones, Laura</v>
      </c>
      <c r="D184" s="22" t="str">
        <f>PROPER(TRIM(Raw_Data!D184))</f>
        <v>Australia</v>
      </c>
      <c r="E184" s="22" t="s">
        <v>63</v>
      </c>
      <c r="F184" s="22" t="s">
        <v>37</v>
      </c>
      <c r="G184" s="22">
        <v>37</v>
      </c>
      <c r="H184" s="2">
        <v>19.8</v>
      </c>
      <c r="I184" s="64">
        <v>732.6</v>
      </c>
      <c r="J184" s="2">
        <v>54.68</v>
      </c>
      <c r="K184" s="2">
        <v>206.17</v>
      </c>
      <c r="L184" s="22" t="s">
        <v>19</v>
      </c>
      <c r="M184" s="22" t="s">
        <v>27</v>
      </c>
      <c r="N184" s="22" t="s">
        <v>130</v>
      </c>
    </row>
    <row r="185" spans="1:14" x14ac:dyDescent="0.25">
      <c r="A185" s="22" t="s">
        <v>322</v>
      </c>
      <c r="B185" s="63">
        <v>45372</v>
      </c>
      <c r="C185" s="22" t="str">
        <f>TRIM(Raw_Data!C185)</f>
        <v>Miller, Emma</v>
      </c>
      <c r="D185" s="22" t="str">
        <f>PROPER(TRIM(Raw_Data!D185))</f>
        <v>Mexico</v>
      </c>
      <c r="E185" s="22" t="s">
        <v>63</v>
      </c>
      <c r="F185" s="22" t="s">
        <v>37</v>
      </c>
      <c r="G185" s="22">
        <v>4</v>
      </c>
      <c r="H185" s="2">
        <v>18.059999999999999</v>
      </c>
      <c r="I185" s="64">
        <v>72.239999999999995</v>
      </c>
      <c r="J185" s="2">
        <v>4.66</v>
      </c>
      <c r="K185" s="2">
        <v>16.579999999999998</v>
      </c>
      <c r="L185" s="22" t="s">
        <v>19</v>
      </c>
      <c r="M185" s="22" t="s">
        <v>20</v>
      </c>
      <c r="N185" s="22" t="s">
        <v>21</v>
      </c>
    </row>
    <row r="186" spans="1:14" x14ac:dyDescent="0.25">
      <c r="A186" s="22" t="s">
        <v>324</v>
      </c>
      <c r="B186" s="63">
        <v>45651</v>
      </c>
      <c r="C186" s="22" t="str">
        <f>TRIM(Raw_Data!C186)</f>
        <v>Martinez, John</v>
      </c>
      <c r="D186" s="22" t="str">
        <f>PROPER(TRIM(Raw_Data!D186))</f>
        <v>Usa</v>
      </c>
      <c r="E186" s="22" t="s">
        <v>17</v>
      </c>
      <c r="F186" s="22" t="s">
        <v>18</v>
      </c>
      <c r="G186" s="22">
        <v>40</v>
      </c>
      <c r="H186" s="2">
        <v>55.59</v>
      </c>
      <c r="I186" s="64">
        <v>2223.6</v>
      </c>
      <c r="J186" s="2">
        <v>74.569999999999993</v>
      </c>
      <c r="K186" s="2">
        <v>749.03</v>
      </c>
      <c r="L186" s="22" t="s">
        <v>19</v>
      </c>
      <c r="M186" s="22" t="s">
        <v>20</v>
      </c>
      <c r="N186" s="22" t="s">
        <v>21</v>
      </c>
    </row>
    <row r="187" spans="1:14" x14ac:dyDescent="0.25">
      <c r="A187" s="22" t="s">
        <v>325</v>
      </c>
      <c r="B187" s="63">
        <v>45755</v>
      </c>
      <c r="C187" s="22" t="str">
        <f>TRIM(Raw_Data!C187)</f>
        <v>Smith, Emily</v>
      </c>
      <c r="D187" s="22" t="str">
        <f>PROPER(TRIM(Raw_Data!D187))</f>
        <v>Japan</v>
      </c>
      <c r="E187" s="22" t="s">
        <v>56</v>
      </c>
      <c r="F187" s="22" t="s">
        <v>57</v>
      </c>
      <c r="G187" s="22">
        <v>5</v>
      </c>
      <c r="H187" s="2">
        <v>31.58</v>
      </c>
      <c r="I187" s="64">
        <v>157.9</v>
      </c>
      <c r="J187" s="2">
        <v>3.73</v>
      </c>
      <c r="K187" s="2">
        <v>29.17</v>
      </c>
      <c r="L187" s="22" t="s">
        <v>19</v>
      </c>
      <c r="M187" s="22" t="s">
        <v>27</v>
      </c>
      <c r="N187" s="22" t="s">
        <v>58</v>
      </c>
    </row>
    <row r="188" spans="1:14" x14ac:dyDescent="0.25">
      <c r="A188" s="22" t="s">
        <v>326</v>
      </c>
      <c r="B188" s="63">
        <v>45396</v>
      </c>
      <c r="C188" s="22" t="str">
        <f>TRIM(Raw_Data!C188)</f>
        <v>Miller, David</v>
      </c>
      <c r="D188" s="22" t="str">
        <f>PROPER(TRIM(Raw_Data!D188))</f>
        <v>Canada</v>
      </c>
      <c r="E188" s="22" t="s">
        <v>25</v>
      </c>
      <c r="F188" s="22" t="s">
        <v>18</v>
      </c>
      <c r="G188" s="22">
        <v>50</v>
      </c>
      <c r="H188" s="2">
        <v>26.67</v>
      </c>
      <c r="I188" s="64">
        <v>1333.5</v>
      </c>
      <c r="J188" s="2">
        <v>80.150000000000006</v>
      </c>
      <c r="K188" s="2">
        <v>353.35</v>
      </c>
      <c r="L188" s="22" t="s">
        <v>38</v>
      </c>
      <c r="M188" s="22" t="s">
        <v>20</v>
      </c>
      <c r="N188" s="22" t="s">
        <v>21</v>
      </c>
    </row>
    <row r="189" spans="1:14" x14ac:dyDescent="0.25">
      <c r="A189" s="22" t="s">
        <v>327</v>
      </c>
      <c r="B189" s="63">
        <v>45381</v>
      </c>
      <c r="C189" s="22" t="str">
        <f>TRIM(Raw_Data!C189)</f>
        <v>Johnson, David</v>
      </c>
      <c r="D189" s="22" t="str">
        <f>PROPER(TRIM(Raw_Data!D189))</f>
        <v>Singapore</v>
      </c>
      <c r="E189" s="22" t="s">
        <v>60</v>
      </c>
      <c r="F189" s="22" t="s">
        <v>52</v>
      </c>
      <c r="G189" s="22">
        <v>17</v>
      </c>
      <c r="H189" s="2">
        <v>20.68</v>
      </c>
      <c r="I189" s="64">
        <v>351.56</v>
      </c>
      <c r="J189" s="2">
        <v>18.47</v>
      </c>
      <c r="K189" s="2">
        <v>69.59</v>
      </c>
      <c r="L189" s="22" t="s">
        <v>38</v>
      </c>
      <c r="M189" s="22" t="s">
        <v>27</v>
      </c>
      <c r="N189" s="22" t="s">
        <v>58</v>
      </c>
    </row>
    <row r="190" spans="1:14" x14ac:dyDescent="0.25">
      <c r="A190" s="22" t="s">
        <v>328</v>
      </c>
      <c r="B190" s="63">
        <v>45756</v>
      </c>
      <c r="C190" s="22" t="str">
        <f>TRIM(Raw_Data!C190)</f>
        <v>Davis, Sophia</v>
      </c>
      <c r="D190" s="22" t="str">
        <f>PROPER(TRIM(Raw_Data!D190))</f>
        <v>South Africa</v>
      </c>
      <c r="E190" s="22" t="s">
        <v>17</v>
      </c>
      <c r="F190" s="22" t="s">
        <v>18</v>
      </c>
      <c r="G190" s="22">
        <v>29</v>
      </c>
      <c r="H190" s="2">
        <v>55.19</v>
      </c>
      <c r="I190" s="64">
        <v>1600.51</v>
      </c>
      <c r="J190" s="2">
        <v>103.06</v>
      </c>
      <c r="K190" s="2">
        <v>482.45</v>
      </c>
      <c r="L190" s="22" t="s">
        <v>19</v>
      </c>
      <c r="M190" s="22" t="s">
        <v>32</v>
      </c>
      <c r="N190" s="22" t="s">
        <v>87</v>
      </c>
    </row>
    <row r="191" spans="1:14" x14ac:dyDescent="0.25">
      <c r="A191" s="22" t="s">
        <v>329</v>
      </c>
      <c r="B191" s="63">
        <v>45402</v>
      </c>
      <c r="C191" s="22" t="str">
        <f>TRIM(Raw_Data!C191)</f>
        <v>Garcia, Daniel</v>
      </c>
      <c r="D191" s="22" t="str">
        <f>PROPER(TRIM(Raw_Data!D191))</f>
        <v>Singapore</v>
      </c>
      <c r="E191" s="22" t="s">
        <v>17</v>
      </c>
      <c r="F191" s="22" t="s">
        <v>18</v>
      </c>
      <c r="G191" s="22">
        <v>34</v>
      </c>
      <c r="H191" s="2">
        <v>61.62</v>
      </c>
      <c r="I191" s="64">
        <v>2095.08</v>
      </c>
      <c r="J191" s="2">
        <v>80.13</v>
      </c>
      <c r="K191" s="2">
        <v>824.95</v>
      </c>
      <c r="L191" s="22" t="s">
        <v>26</v>
      </c>
      <c r="M191" s="22" t="s">
        <v>20</v>
      </c>
      <c r="N191" s="22" t="s">
        <v>58</v>
      </c>
    </row>
    <row r="192" spans="1:14" x14ac:dyDescent="0.25">
      <c r="A192" s="22" t="s">
        <v>331</v>
      </c>
      <c r="B192" s="63">
        <v>45614</v>
      </c>
      <c r="C192" s="22" t="str">
        <f>TRIM(Raw_Data!C192)</f>
        <v>Garcia, Michael</v>
      </c>
      <c r="D192" s="22" t="str">
        <f>PROPER(TRIM(Raw_Data!D192))</f>
        <v>Mexico</v>
      </c>
      <c r="E192" s="22" t="s">
        <v>51</v>
      </c>
      <c r="F192" s="22" t="s">
        <v>52</v>
      </c>
      <c r="G192" s="22">
        <v>10</v>
      </c>
      <c r="H192" s="2">
        <v>40.03</v>
      </c>
      <c r="I192" s="64">
        <v>400.3</v>
      </c>
      <c r="J192" s="2">
        <v>25.8</v>
      </c>
      <c r="K192" s="2">
        <v>149.5</v>
      </c>
      <c r="L192" s="22" t="s">
        <v>38</v>
      </c>
      <c r="M192" s="22" t="s">
        <v>20</v>
      </c>
      <c r="N192" s="22" t="s">
        <v>21</v>
      </c>
    </row>
    <row r="193" spans="1:14" x14ac:dyDescent="0.25">
      <c r="A193" s="22" t="s">
        <v>332</v>
      </c>
      <c r="B193" s="63">
        <v>45744</v>
      </c>
      <c r="C193" s="22" t="str">
        <f>TRIM(Raw_Data!C193)</f>
        <v>Smith, Sarah</v>
      </c>
      <c r="D193" s="22" t="str">
        <f>PROPER(TRIM(Raw_Data!D193))</f>
        <v>Uae</v>
      </c>
      <c r="E193" s="22" t="s">
        <v>48</v>
      </c>
      <c r="F193" s="22" t="s">
        <v>37</v>
      </c>
      <c r="G193" s="22">
        <v>23</v>
      </c>
      <c r="H193" s="2">
        <v>31.3</v>
      </c>
      <c r="I193" s="64">
        <v>719.9</v>
      </c>
      <c r="J193" s="2">
        <v>47.88</v>
      </c>
      <c r="K193" s="2">
        <v>212.02</v>
      </c>
      <c r="L193" s="22" t="s">
        <v>26</v>
      </c>
      <c r="M193" s="22" t="s">
        <v>27</v>
      </c>
      <c r="N193" s="22" t="s">
        <v>58</v>
      </c>
    </row>
    <row r="194" spans="1:14" x14ac:dyDescent="0.25">
      <c r="A194" s="22" t="s">
        <v>333</v>
      </c>
      <c r="B194" s="63">
        <v>45778</v>
      </c>
      <c r="C194" s="22" t="str">
        <f>TRIM(Raw_Data!C194)</f>
        <v>Johnson, Sarah</v>
      </c>
      <c r="D194" s="22" t="str">
        <f>PROPER(TRIM(Raw_Data!D194))</f>
        <v>Mexico</v>
      </c>
      <c r="E194" s="22" t="s">
        <v>17</v>
      </c>
      <c r="F194" s="22" t="s">
        <v>18</v>
      </c>
      <c r="G194" s="22">
        <v>37</v>
      </c>
      <c r="H194" s="2">
        <v>50.39</v>
      </c>
      <c r="I194" s="64">
        <v>1864.43</v>
      </c>
      <c r="J194" s="2">
        <v>60.06</v>
      </c>
      <c r="K194" s="2">
        <v>509.37</v>
      </c>
      <c r="L194" s="22" t="s">
        <v>26</v>
      </c>
      <c r="M194" s="22" t="s">
        <v>27</v>
      </c>
      <c r="N194" s="22" t="s">
        <v>21</v>
      </c>
    </row>
    <row r="195" spans="1:14" x14ac:dyDescent="0.25">
      <c r="A195" s="22" t="s">
        <v>334</v>
      </c>
      <c r="B195" s="63">
        <v>45644</v>
      </c>
      <c r="C195" s="22" t="str">
        <f>TRIM(Raw_Data!C195)</f>
        <v>Jones, Daniel</v>
      </c>
      <c r="D195" s="22" t="str">
        <f>PROPER(TRIM(Raw_Data!D195))</f>
        <v>Usa</v>
      </c>
      <c r="E195" s="22" t="s">
        <v>63</v>
      </c>
      <c r="F195" s="22" t="s">
        <v>37</v>
      </c>
      <c r="G195" s="22">
        <v>38</v>
      </c>
      <c r="H195" s="2">
        <v>16.97</v>
      </c>
      <c r="I195" s="64">
        <v>644.86</v>
      </c>
      <c r="J195" s="2">
        <v>40</v>
      </c>
      <c r="K195" s="2">
        <v>120.36</v>
      </c>
      <c r="L195" s="22" t="s">
        <v>38</v>
      </c>
      <c r="M195" s="22" t="s">
        <v>20</v>
      </c>
      <c r="N195" s="22" t="s">
        <v>21</v>
      </c>
    </row>
    <row r="196" spans="1:14" x14ac:dyDescent="0.25">
      <c r="A196" s="22" t="s">
        <v>335</v>
      </c>
      <c r="B196" s="63">
        <v>45484</v>
      </c>
      <c r="C196" s="22" t="str">
        <f>TRIM(Raw_Data!C196)</f>
        <v>Miller, Sarah</v>
      </c>
      <c r="D196" s="22" t="str">
        <f>PROPER(TRIM(Raw_Data!D196))</f>
        <v>South Africa</v>
      </c>
      <c r="E196" s="22" t="s">
        <v>48</v>
      </c>
      <c r="F196" s="22" t="s">
        <v>37</v>
      </c>
      <c r="G196" s="22">
        <v>2</v>
      </c>
      <c r="H196" s="2">
        <v>35.92</v>
      </c>
      <c r="I196" s="64">
        <v>71.84</v>
      </c>
      <c r="J196" s="2">
        <v>2.34</v>
      </c>
      <c r="K196" s="2">
        <v>29.5</v>
      </c>
      <c r="L196" s="22" t="s">
        <v>38</v>
      </c>
      <c r="M196" s="22" t="s">
        <v>27</v>
      </c>
      <c r="N196" s="22" t="s">
        <v>87</v>
      </c>
    </row>
    <row r="197" spans="1:14" x14ac:dyDescent="0.25">
      <c r="A197" s="22" t="s">
        <v>336</v>
      </c>
      <c r="B197" s="63">
        <v>45436</v>
      </c>
      <c r="C197" s="22" t="str">
        <f>TRIM(Raw_Data!C197)</f>
        <v>Martinez, Laura</v>
      </c>
      <c r="D197" s="22" t="str">
        <f>PROPER(TRIM(Raw_Data!D197))</f>
        <v>Brazil</v>
      </c>
      <c r="E197" s="22" t="s">
        <v>48</v>
      </c>
      <c r="F197" s="22" t="s">
        <v>37</v>
      </c>
      <c r="G197" s="22">
        <v>48</v>
      </c>
      <c r="H197" s="2">
        <v>31.87</v>
      </c>
      <c r="I197" s="64">
        <v>1529.76</v>
      </c>
      <c r="J197" s="2">
        <v>89.85</v>
      </c>
      <c r="K197" s="2">
        <v>479.91</v>
      </c>
      <c r="L197" s="22" t="s">
        <v>38</v>
      </c>
      <c r="M197" s="22" t="s">
        <v>20</v>
      </c>
      <c r="N197" s="22" t="s">
        <v>39</v>
      </c>
    </row>
    <row r="198" spans="1:14" x14ac:dyDescent="0.25">
      <c r="A198" s="22" t="s">
        <v>337</v>
      </c>
      <c r="B198" s="63">
        <v>45635</v>
      </c>
      <c r="C198" s="22" t="str">
        <f>TRIM(Raw_Data!C198)</f>
        <v>Johnson, David</v>
      </c>
      <c r="D198" s="22" t="str">
        <f>PROPER(TRIM(Raw_Data!D198))</f>
        <v>Australia</v>
      </c>
      <c r="E198" s="22" t="s">
        <v>43</v>
      </c>
      <c r="F198" s="22" t="s">
        <v>44</v>
      </c>
      <c r="G198" s="22">
        <v>46</v>
      </c>
      <c r="H198" s="2">
        <v>70</v>
      </c>
      <c r="I198" s="64">
        <v>3220</v>
      </c>
      <c r="J198" s="2">
        <v>160.11000000000001</v>
      </c>
      <c r="K198" s="2">
        <v>1219.8900000000001</v>
      </c>
      <c r="L198" s="22" t="s">
        <v>26</v>
      </c>
      <c r="M198" s="22" t="s">
        <v>27</v>
      </c>
      <c r="N198" s="22" t="s">
        <v>130</v>
      </c>
    </row>
    <row r="199" spans="1:14" x14ac:dyDescent="0.25">
      <c r="A199" s="22" t="s">
        <v>338</v>
      </c>
      <c r="B199" s="63">
        <v>45776</v>
      </c>
      <c r="C199" s="22" t="str">
        <f>TRIM(Raw_Data!C199)</f>
        <v>Jones, Emily</v>
      </c>
      <c r="D199" s="22" t="str">
        <f>PROPER(TRIM(Raw_Data!D199))</f>
        <v>Singapore</v>
      </c>
      <c r="E199" s="22" t="s">
        <v>17</v>
      </c>
      <c r="F199" s="22" t="s">
        <v>18</v>
      </c>
      <c r="G199" s="22">
        <v>45</v>
      </c>
      <c r="H199" s="2">
        <v>57.7</v>
      </c>
      <c r="I199" s="64">
        <v>2596.5</v>
      </c>
      <c r="J199" s="2">
        <v>102.52</v>
      </c>
      <c r="K199" s="2">
        <v>918.98</v>
      </c>
      <c r="L199" s="22" t="s">
        <v>26</v>
      </c>
      <c r="M199" s="22" t="s">
        <v>20</v>
      </c>
      <c r="N199" s="22" t="s">
        <v>58</v>
      </c>
    </row>
    <row r="200" spans="1:14" x14ac:dyDescent="0.25">
      <c r="A200" s="22" t="s">
        <v>339</v>
      </c>
      <c r="B200" s="63">
        <v>45782</v>
      </c>
      <c r="C200" s="22" t="str">
        <f>TRIM(Raw_Data!C200)</f>
        <v>Smith, Michael</v>
      </c>
      <c r="D200" s="22" t="str">
        <f>PROPER(TRIM(Raw_Data!D200))</f>
        <v>Japan</v>
      </c>
      <c r="E200" s="22" t="s">
        <v>63</v>
      </c>
      <c r="F200" s="22" t="s">
        <v>37</v>
      </c>
      <c r="G200" s="22">
        <v>23</v>
      </c>
      <c r="H200" s="2">
        <v>20.23</v>
      </c>
      <c r="I200" s="64">
        <v>465.29</v>
      </c>
      <c r="J200" s="2">
        <v>17.29</v>
      </c>
      <c r="K200" s="2">
        <v>154.75</v>
      </c>
      <c r="L200" s="22" t="s">
        <v>38</v>
      </c>
      <c r="M200" s="22" t="s">
        <v>20</v>
      </c>
      <c r="N200" s="22" t="s">
        <v>58</v>
      </c>
    </row>
    <row r="201" spans="1:14" x14ac:dyDescent="0.25">
      <c r="A201" s="22" t="s">
        <v>340</v>
      </c>
      <c r="B201" s="63">
        <v>45767</v>
      </c>
      <c r="C201" s="22" t="str">
        <f>TRIM(Raw_Data!C201)</f>
        <v>Martinez, Sarah</v>
      </c>
      <c r="D201" s="22" t="str">
        <f>PROPER(TRIM(Raw_Data!D201))</f>
        <v>Italy</v>
      </c>
      <c r="E201" s="22" t="s">
        <v>25</v>
      </c>
      <c r="F201" s="22" t="s">
        <v>18</v>
      </c>
      <c r="G201" s="22">
        <v>10</v>
      </c>
      <c r="H201" s="2">
        <v>22.96</v>
      </c>
      <c r="I201" s="64">
        <v>229.6</v>
      </c>
      <c r="J201" s="2">
        <v>18.260000000000002</v>
      </c>
      <c r="K201" s="2">
        <v>31.34</v>
      </c>
      <c r="L201" s="22" t="s">
        <v>19</v>
      </c>
      <c r="M201" s="22" t="s">
        <v>32</v>
      </c>
      <c r="N201" s="22" t="s">
        <v>28</v>
      </c>
    </row>
    <row r="202" spans="1:14" x14ac:dyDescent="0.25">
      <c r="A202" s="22" t="s">
        <v>341</v>
      </c>
      <c r="B202" s="63">
        <v>45530</v>
      </c>
      <c r="C202" s="22" t="str">
        <f>TRIM(Raw_Data!C202)</f>
        <v>Jones, Sarah</v>
      </c>
      <c r="D202" s="22" t="str">
        <f>PROPER(TRIM(Raw_Data!D202))</f>
        <v>Brazil</v>
      </c>
      <c r="E202" s="22" t="s">
        <v>17</v>
      </c>
      <c r="F202" s="22" t="s">
        <v>18</v>
      </c>
      <c r="G202" s="22">
        <v>40</v>
      </c>
      <c r="H202" s="2">
        <v>54.84</v>
      </c>
      <c r="I202" s="64">
        <v>2193.6</v>
      </c>
      <c r="J202" s="2">
        <v>89.26</v>
      </c>
      <c r="K202" s="2">
        <v>704.34</v>
      </c>
      <c r="L202" s="22" t="s">
        <v>26</v>
      </c>
      <c r="M202" s="22" t="s">
        <v>20</v>
      </c>
      <c r="N202" s="22" t="s">
        <v>39</v>
      </c>
    </row>
    <row r="203" spans="1:14" x14ac:dyDescent="0.25">
      <c r="A203" s="22" t="s">
        <v>343</v>
      </c>
      <c r="B203" s="63">
        <v>45389</v>
      </c>
      <c r="C203" s="22" t="str">
        <f>TRIM(Raw_Data!C203)</f>
        <v>Brown, Daniel</v>
      </c>
      <c r="D203" s="22" t="str">
        <f>PROPER(TRIM(Raw_Data!D203))</f>
        <v>Singapore</v>
      </c>
      <c r="E203" s="22" t="s">
        <v>56</v>
      </c>
      <c r="F203" s="22" t="s">
        <v>57</v>
      </c>
      <c r="G203" s="22">
        <v>7</v>
      </c>
      <c r="H203" s="2">
        <v>36.43</v>
      </c>
      <c r="I203" s="64">
        <v>255.01</v>
      </c>
      <c r="J203" s="2">
        <v>6.3</v>
      </c>
      <c r="K203" s="2">
        <v>73.709999999999994</v>
      </c>
      <c r="L203" s="22" t="s">
        <v>19</v>
      </c>
      <c r="M203" s="22" t="s">
        <v>27</v>
      </c>
      <c r="N203" s="22" t="s">
        <v>58</v>
      </c>
    </row>
    <row r="204" spans="1:14" x14ac:dyDescent="0.25">
      <c r="A204" s="22" t="s">
        <v>344</v>
      </c>
      <c r="B204" s="63">
        <v>45738</v>
      </c>
      <c r="C204" s="22" t="str">
        <f>TRIM(Raw_Data!C204)</f>
        <v>Miller, Sarah</v>
      </c>
      <c r="D204" s="22" t="str">
        <f>PROPER(TRIM(Raw_Data!D204))</f>
        <v>Mexico</v>
      </c>
      <c r="E204" s="22" t="s">
        <v>63</v>
      </c>
      <c r="F204" s="22" t="s">
        <v>37</v>
      </c>
      <c r="G204" s="22">
        <v>39</v>
      </c>
      <c r="H204" s="2">
        <v>19.48</v>
      </c>
      <c r="I204" s="64">
        <v>759.72</v>
      </c>
      <c r="J204" s="2">
        <v>40.090000000000003</v>
      </c>
      <c r="K204" s="2">
        <v>222.38</v>
      </c>
      <c r="L204" s="22" t="s">
        <v>38</v>
      </c>
      <c r="M204" s="22" t="s">
        <v>27</v>
      </c>
      <c r="N204" s="22" t="s">
        <v>21</v>
      </c>
    </row>
    <row r="205" spans="1:14" x14ac:dyDescent="0.25">
      <c r="A205" s="22" t="s">
        <v>345</v>
      </c>
      <c r="B205" s="63">
        <v>45351</v>
      </c>
      <c r="C205" s="22" t="str">
        <f>TRIM(Raw_Data!C205)</f>
        <v>Brown, James</v>
      </c>
      <c r="D205" s="22" t="str">
        <f>PROPER(TRIM(Raw_Data!D205))</f>
        <v>South Africa</v>
      </c>
      <c r="E205" s="22" t="s">
        <v>51</v>
      </c>
      <c r="F205" s="22" t="s">
        <v>52</v>
      </c>
      <c r="G205" s="22">
        <v>35</v>
      </c>
      <c r="H205" s="2">
        <v>38.83</v>
      </c>
      <c r="I205" s="64">
        <v>1359.05</v>
      </c>
      <c r="J205" s="2">
        <v>93.92</v>
      </c>
      <c r="K205" s="2">
        <v>477.63</v>
      </c>
      <c r="L205" s="22" t="s">
        <v>38</v>
      </c>
      <c r="M205" s="22" t="s">
        <v>27</v>
      </c>
      <c r="N205" s="22" t="s">
        <v>87</v>
      </c>
    </row>
    <row r="206" spans="1:14" x14ac:dyDescent="0.25">
      <c r="A206" s="22" t="s">
        <v>346</v>
      </c>
      <c r="B206" s="63">
        <v>45570</v>
      </c>
      <c r="C206" s="22" t="str">
        <f>TRIM(Raw_Data!C206)</f>
        <v>Johnson, Daniel</v>
      </c>
      <c r="D206" s="22" t="str">
        <f>PROPER(TRIM(Raw_Data!D206))</f>
        <v>China</v>
      </c>
      <c r="E206" s="22" t="s">
        <v>48</v>
      </c>
      <c r="F206" s="22" t="s">
        <v>37</v>
      </c>
      <c r="G206" s="22">
        <v>39</v>
      </c>
      <c r="H206" s="2">
        <v>32.76</v>
      </c>
      <c r="I206" s="64">
        <v>1277.6400000000001</v>
      </c>
      <c r="J206" s="2">
        <v>35.81</v>
      </c>
      <c r="K206" s="2">
        <v>461.83</v>
      </c>
      <c r="L206" s="22" t="s">
        <v>26</v>
      </c>
      <c r="M206" s="22" t="s">
        <v>32</v>
      </c>
      <c r="N206" s="22" t="s">
        <v>58</v>
      </c>
    </row>
    <row r="207" spans="1:14" x14ac:dyDescent="0.25">
      <c r="A207" s="22" t="s">
        <v>347</v>
      </c>
      <c r="B207" s="63">
        <v>45685</v>
      </c>
      <c r="C207" s="22" t="str">
        <f>TRIM(Raw_Data!C207)</f>
        <v>Davis, Emma</v>
      </c>
      <c r="D207" s="22" t="str">
        <f>PROPER(TRIM(Raw_Data!D207))</f>
        <v>Usa</v>
      </c>
      <c r="E207" s="22" t="s">
        <v>36</v>
      </c>
      <c r="F207" s="22" t="s">
        <v>37</v>
      </c>
      <c r="G207" s="22">
        <v>8</v>
      </c>
      <c r="H207" s="2">
        <v>39.869999999999997</v>
      </c>
      <c r="I207" s="64">
        <v>318.95999999999998</v>
      </c>
      <c r="J207" s="2">
        <v>15.95</v>
      </c>
      <c r="K207" s="2">
        <v>47.01</v>
      </c>
      <c r="L207" s="22" t="s">
        <v>38</v>
      </c>
      <c r="M207" s="22" t="s">
        <v>32</v>
      </c>
      <c r="N207" s="22" t="s">
        <v>21</v>
      </c>
    </row>
    <row r="208" spans="1:14" x14ac:dyDescent="0.25">
      <c r="A208" s="22" t="s">
        <v>348</v>
      </c>
      <c r="B208" s="63">
        <v>45771</v>
      </c>
      <c r="C208" s="22" t="str">
        <f>TRIM(Raw_Data!C208)</f>
        <v>Brown, Emily</v>
      </c>
      <c r="D208" s="22" t="str">
        <f>PROPER(TRIM(Raw_Data!D208))</f>
        <v>Uae</v>
      </c>
      <c r="E208" s="22" t="s">
        <v>43</v>
      </c>
      <c r="F208" s="22" t="s">
        <v>44</v>
      </c>
      <c r="G208" s="22">
        <v>10</v>
      </c>
      <c r="H208" s="2">
        <v>63.1</v>
      </c>
      <c r="I208" s="64">
        <v>631</v>
      </c>
      <c r="J208" s="2">
        <v>26.93</v>
      </c>
      <c r="K208" s="2">
        <v>204.07</v>
      </c>
      <c r="L208" s="22" t="s">
        <v>26</v>
      </c>
      <c r="M208" s="22" t="s">
        <v>27</v>
      </c>
      <c r="N208" s="22" t="s">
        <v>58</v>
      </c>
    </row>
    <row r="209" spans="1:14" x14ac:dyDescent="0.25">
      <c r="A209" s="22" t="s">
        <v>349</v>
      </c>
      <c r="B209" s="63">
        <v>45431</v>
      </c>
      <c r="C209" s="22" t="str">
        <f>TRIM(Raw_Data!C209)</f>
        <v>Jones, Laura</v>
      </c>
      <c r="D209" s="22" t="str">
        <f>PROPER(TRIM(Raw_Data!D209))</f>
        <v>Germany</v>
      </c>
      <c r="E209" s="22" t="s">
        <v>36</v>
      </c>
      <c r="F209" s="22" t="s">
        <v>37</v>
      </c>
      <c r="G209" s="22">
        <v>3</v>
      </c>
      <c r="H209" s="2">
        <v>55.1</v>
      </c>
      <c r="I209" s="64">
        <v>165.3</v>
      </c>
      <c r="J209" s="2">
        <v>9.17</v>
      </c>
      <c r="K209" s="2">
        <v>60.13</v>
      </c>
      <c r="L209" s="22" t="s">
        <v>19</v>
      </c>
      <c r="M209" s="22" t="s">
        <v>20</v>
      </c>
      <c r="N209" s="22" t="s">
        <v>28</v>
      </c>
    </row>
    <row r="210" spans="1:14" x14ac:dyDescent="0.25">
      <c r="A210" s="22" t="s">
        <v>350</v>
      </c>
      <c r="B210" s="63">
        <v>45337</v>
      </c>
      <c r="C210" s="22" t="str">
        <f>TRIM(Raw_Data!C210)</f>
        <v>Smith, Emma</v>
      </c>
      <c r="D210" s="22" t="str">
        <f>PROPER(TRIM(Raw_Data!D210))</f>
        <v>India</v>
      </c>
      <c r="E210" s="22" t="s">
        <v>60</v>
      </c>
      <c r="F210" s="22" t="s">
        <v>52</v>
      </c>
      <c r="G210" s="22">
        <v>26</v>
      </c>
      <c r="H210" s="2">
        <v>19.809999999999999</v>
      </c>
      <c r="I210" s="64">
        <v>515.05999999999995</v>
      </c>
      <c r="J210" s="2">
        <v>10.3</v>
      </c>
      <c r="K210" s="2">
        <v>101.76</v>
      </c>
      <c r="L210" s="22" t="s">
        <v>38</v>
      </c>
      <c r="M210" s="22" t="s">
        <v>27</v>
      </c>
      <c r="N210" s="22" t="s">
        <v>58</v>
      </c>
    </row>
    <row r="211" spans="1:14" x14ac:dyDescent="0.25">
      <c r="A211" s="22" t="s">
        <v>351</v>
      </c>
      <c r="B211" s="63">
        <v>45750</v>
      </c>
      <c r="C211" s="22" t="str">
        <f>TRIM(Raw_Data!C211)</f>
        <v>Garcia, Sophia</v>
      </c>
      <c r="D211" s="22" t="str">
        <f>PROPER(TRIM(Raw_Data!D211))</f>
        <v>Uae</v>
      </c>
      <c r="E211" s="22" t="s">
        <v>43</v>
      </c>
      <c r="F211" s="22" t="s">
        <v>44</v>
      </c>
      <c r="G211" s="22">
        <v>17</v>
      </c>
      <c r="H211" s="2">
        <v>53.34</v>
      </c>
      <c r="I211" s="64">
        <v>906.78</v>
      </c>
      <c r="J211" s="2">
        <v>30.6</v>
      </c>
      <c r="K211" s="2">
        <v>196.18</v>
      </c>
      <c r="L211" s="22" t="s">
        <v>19</v>
      </c>
      <c r="M211" s="22" t="s">
        <v>27</v>
      </c>
      <c r="N211" s="22" t="s">
        <v>58</v>
      </c>
    </row>
    <row r="212" spans="1:14" x14ac:dyDescent="0.25">
      <c r="A212" s="22" t="s">
        <v>352</v>
      </c>
      <c r="B212" s="63">
        <v>45478</v>
      </c>
      <c r="C212" s="22" t="str">
        <f>TRIM(Raw_Data!C212)</f>
        <v>Hernandez, Sophia</v>
      </c>
      <c r="D212" s="22" t="str">
        <f>PROPER(TRIM(Raw_Data!D212))</f>
        <v>China</v>
      </c>
      <c r="E212" s="22" t="s">
        <v>48</v>
      </c>
      <c r="F212" s="22" t="s">
        <v>37</v>
      </c>
      <c r="G212" s="22">
        <v>17</v>
      </c>
      <c r="H212" s="2">
        <v>28.23</v>
      </c>
      <c r="I212" s="64">
        <v>479.91</v>
      </c>
      <c r="J212" s="2">
        <v>31.88</v>
      </c>
      <c r="K212" s="2">
        <v>108.03</v>
      </c>
      <c r="L212" s="22" t="s">
        <v>26</v>
      </c>
      <c r="M212" s="22" t="s">
        <v>20</v>
      </c>
      <c r="N212" s="22" t="s">
        <v>58</v>
      </c>
    </row>
    <row r="213" spans="1:14" x14ac:dyDescent="0.25">
      <c r="A213" s="22" t="s">
        <v>353</v>
      </c>
      <c r="B213" s="63">
        <v>45357</v>
      </c>
      <c r="C213" s="22" t="str">
        <f>TRIM(Raw_Data!C213)</f>
        <v>Brown, David</v>
      </c>
      <c r="D213" s="22" t="str">
        <f>PROPER(TRIM(Raw_Data!D213))</f>
        <v>Germany</v>
      </c>
      <c r="E213" s="22" t="s">
        <v>25</v>
      </c>
      <c r="F213" s="22" t="s">
        <v>18</v>
      </c>
      <c r="G213" s="22">
        <v>42</v>
      </c>
      <c r="H213" s="2">
        <v>25.26</v>
      </c>
      <c r="I213" s="64">
        <v>1060.92</v>
      </c>
      <c r="J213" s="2">
        <v>77.05</v>
      </c>
      <c r="K213" s="2">
        <v>227.87</v>
      </c>
      <c r="L213" s="22" t="s">
        <v>19</v>
      </c>
      <c r="M213" s="22" t="s">
        <v>32</v>
      </c>
      <c r="N213" s="22" t="s">
        <v>28</v>
      </c>
    </row>
    <row r="214" spans="1:14" x14ac:dyDescent="0.25">
      <c r="A214" s="22" t="s">
        <v>355</v>
      </c>
      <c r="B214" s="63">
        <v>45555</v>
      </c>
      <c r="C214" s="22" t="str">
        <f>TRIM(Raw_Data!C214)</f>
        <v>Garcia, Sarah</v>
      </c>
      <c r="D214" s="22" t="str">
        <f>PROPER(TRIM(Raw_Data!D214))</f>
        <v>India</v>
      </c>
      <c r="E214" s="22" t="s">
        <v>25</v>
      </c>
      <c r="F214" s="22" t="s">
        <v>18</v>
      </c>
      <c r="G214" s="22">
        <v>2</v>
      </c>
      <c r="H214" s="2">
        <v>27.27</v>
      </c>
      <c r="I214" s="64">
        <v>54.54</v>
      </c>
      <c r="J214" s="2">
        <v>1.45</v>
      </c>
      <c r="K214" s="2">
        <v>17.09</v>
      </c>
      <c r="L214" s="22" t="s">
        <v>19</v>
      </c>
      <c r="M214" s="22" t="s">
        <v>32</v>
      </c>
      <c r="N214" s="22" t="s">
        <v>58</v>
      </c>
    </row>
    <row r="215" spans="1:14" x14ac:dyDescent="0.25">
      <c r="A215" s="22" t="s">
        <v>356</v>
      </c>
      <c r="B215" s="63">
        <v>45618</v>
      </c>
      <c r="C215" s="22" t="str">
        <f>TRIM(Raw_Data!C215)</f>
        <v>Martinez, Emily</v>
      </c>
      <c r="D215" s="22" t="str">
        <f>PROPER(TRIM(Raw_Data!D215))</f>
        <v>Uae</v>
      </c>
      <c r="E215" s="22" t="s">
        <v>83</v>
      </c>
      <c r="F215" s="22" t="s">
        <v>52</v>
      </c>
      <c r="G215" s="22">
        <v>48</v>
      </c>
      <c r="H215" s="2">
        <v>44.95</v>
      </c>
      <c r="I215" s="64">
        <v>2157.6</v>
      </c>
      <c r="J215" s="2">
        <v>148.41</v>
      </c>
      <c r="K215" s="2">
        <v>665.19</v>
      </c>
      <c r="L215" s="22" t="s">
        <v>19</v>
      </c>
      <c r="M215" s="22" t="s">
        <v>20</v>
      </c>
      <c r="N215" s="22" t="s">
        <v>58</v>
      </c>
    </row>
    <row r="216" spans="1:14" x14ac:dyDescent="0.25">
      <c r="A216" s="22" t="s">
        <v>357</v>
      </c>
      <c r="B216" s="63">
        <v>45758</v>
      </c>
      <c r="C216" s="22" t="str">
        <f>TRIM(Raw_Data!C216)</f>
        <v>Brown, David</v>
      </c>
      <c r="D216" s="22" t="str">
        <f>PROPER(TRIM(Raw_Data!D216))</f>
        <v>Singapore</v>
      </c>
      <c r="E216" s="22" t="s">
        <v>48</v>
      </c>
      <c r="F216" s="22" t="s">
        <v>37</v>
      </c>
      <c r="G216" s="22">
        <v>23</v>
      </c>
      <c r="H216" s="2">
        <v>28.6</v>
      </c>
      <c r="I216" s="64">
        <v>657.8</v>
      </c>
      <c r="J216" s="2">
        <v>13.36</v>
      </c>
      <c r="K216" s="2">
        <v>184.44</v>
      </c>
      <c r="L216" s="22" t="s">
        <v>19</v>
      </c>
      <c r="M216" s="22" t="s">
        <v>32</v>
      </c>
      <c r="N216" s="22" t="s">
        <v>58</v>
      </c>
    </row>
    <row r="217" spans="1:14" x14ac:dyDescent="0.25">
      <c r="A217" s="22" t="s">
        <v>358</v>
      </c>
      <c r="B217" s="63">
        <v>45608</v>
      </c>
      <c r="C217" s="22" t="str">
        <f>TRIM(Raw_Data!C217)</f>
        <v>Garcia, Sophia</v>
      </c>
      <c r="D217" s="22" t="str">
        <f>PROPER(TRIM(Raw_Data!D217))</f>
        <v>France</v>
      </c>
      <c r="E217" s="22" t="s">
        <v>60</v>
      </c>
      <c r="F217" s="22" t="s">
        <v>52</v>
      </c>
      <c r="G217" s="22">
        <v>18</v>
      </c>
      <c r="H217" s="2">
        <v>26.1</v>
      </c>
      <c r="I217" s="64">
        <v>469.8</v>
      </c>
      <c r="J217" s="2">
        <v>19.52</v>
      </c>
      <c r="K217" s="2">
        <v>171.28</v>
      </c>
      <c r="L217" s="22" t="s">
        <v>38</v>
      </c>
      <c r="M217" s="22" t="s">
        <v>20</v>
      </c>
      <c r="N217" s="22" t="s">
        <v>28</v>
      </c>
    </row>
    <row r="218" spans="1:14" x14ac:dyDescent="0.25">
      <c r="A218" s="22" t="s">
        <v>359</v>
      </c>
      <c r="B218" s="63">
        <v>45567</v>
      </c>
      <c r="C218" s="22" t="str">
        <f>TRIM(Raw_Data!C218)</f>
        <v>Johnson, John</v>
      </c>
      <c r="D218" s="22" t="str">
        <f>PROPER(TRIM(Raw_Data!D218))</f>
        <v>Mexico</v>
      </c>
      <c r="E218" s="22" t="s">
        <v>83</v>
      </c>
      <c r="F218" s="22" t="s">
        <v>52</v>
      </c>
      <c r="G218" s="22">
        <v>21</v>
      </c>
      <c r="H218" s="2">
        <v>37.450000000000003</v>
      </c>
      <c r="I218" s="64">
        <v>786.45</v>
      </c>
      <c r="J218" s="2">
        <v>62.4</v>
      </c>
      <c r="K218" s="2">
        <v>136.05000000000001</v>
      </c>
      <c r="L218" s="22" t="s">
        <v>19</v>
      </c>
      <c r="M218" s="22" t="s">
        <v>32</v>
      </c>
      <c r="N218" s="22" t="s">
        <v>21</v>
      </c>
    </row>
    <row r="219" spans="1:14" x14ac:dyDescent="0.25">
      <c r="A219" s="22" t="s">
        <v>361</v>
      </c>
      <c r="B219" s="63">
        <v>45641</v>
      </c>
      <c r="C219" s="22" t="str">
        <f>TRIM(Raw_Data!C219)</f>
        <v>Miller, Emma</v>
      </c>
      <c r="D219" s="22" t="str">
        <f>PROPER(TRIM(Raw_Data!D219))</f>
        <v>Singapore</v>
      </c>
      <c r="E219" s="22" t="s">
        <v>48</v>
      </c>
      <c r="F219" s="22" t="s">
        <v>37</v>
      </c>
      <c r="G219" s="22">
        <v>25</v>
      </c>
      <c r="H219" s="2">
        <v>28.54</v>
      </c>
      <c r="I219" s="64">
        <v>713.5</v>
      </c>
      <c r="J219" s="2">
        <v>50.38</v>
      </c>
      <c r="K219" s="2">
        <v>163.12</v>
      </c>
      <c r="L219" s="22" t="s">
        <v>19</v>
      </c>
      <c r="M219" s="22" t="s">
        <v>20</v>
      </c>
      <c r="N219" s="22" t="s">
        <v>58</v>
      </c>
    </row>
    <row r="220" spans="1:14" x14ac:dyDescent="0.25">
      <c r="A220" s="22" t="s">
        <v>362</v>
      </c>
      <c r="B220" s="63">
        <v>45716</v>
      </c>
      <c r="C220" s="22" t="str">
        <f>TRIM(Raw_Data!C220)</f>
        <v>Hernandez, John</v>
      </c>
      <c r="D220" s="22" t="str">
        <f>PROPER(TRIM(Raw_Data!D220))</f>
        <v>Usa</v>
      </c>
      <c r="E220" s="22" t="s">
        <v>56</v>
      </c>
      <c r="F220" s="22" t="s">
        <v>57</v>
      </c>
      <c r="G220" s="22">
        <v>11</v>
      </c>
      <c r="H220" s="2">
        <v>38.07</v>
      </c>
      <c r="I220" s="64">
        <v>418.77</v>
      </c>
      <c r="J220" s="2">
        <v>29.02</v>
      </c>
      <c r="K220" s="2">
        <v>114.75</v>
      </c>
      <c r="L220" s="22" t="s">
        <v>26</v>
      </c>
      <c r="M220" s="22" t="s">
        <v>20</v>
      </c>
      <c r="N220" s="22" t="s">
        <v>21</v>
      </c>
    </row>
    <row r="221" spans="1:14" x14ac:dyDescent="0.25">
      <c r="A221" s="22" t="s">
        <v>363</v>
      </c>
      <c r="B221" s="63">
        <v>45587</v>
      </c>
      <c r="C221" s="22" t="str">
        <f>TRIM(Raw_Data!C221)</f>
        <v>Brown, Sophia</v>
      </c>
      <c r="D221" s="22" t="str">
        <f>PROPER(TRIM(Raw_Data!D221))</f>
        <v>Canada</v>
      </c>
      <c r="E221" s="22" t="s">
        <v>60</v>
      </c>
      <c r="F221" s="22" t="s">
        <v>52</v>
      </c>
      <c r="G221" s="22">
        <v>18</v>
      </c>
      <c r="H221" s="2">
        <v>19.32</v>
      </c>
      <c r="I221" s="64">
        <v>347.76</v>
      </c>
      <c r="J221" s="2">
        <v>21.34</v>
      </c>
      <c r="K221" s="2">
        <v>47.42</v>
      </c>
      <c r="L221" s="22" t="s">
        <v>26</v>
      </c>
      <c r="M221" s="22" t="s">
        <v>20</v>
      </c>
      <c r="N221" s="22" t="s">
        <v>21</v>
      </c>
    </row>
    <row r="222" spans="1:14" x14ac:dyDescent="0.25">
      <c r="A222" s="22" t="s">
        <v>365</v>
      </c>
      <c r="B222" s="63">
        <v>45450</v>
      </c>
      <c r="C222" s="22" t="str">
        <f>TRIM(Raw_Data!C222)</f>
        <v>Martinez, James</v>
      </c>
      <c r="D222" s="22" t="str">
        <f>PROPER(TRIM(Raw_Data!D222))</f>
        <v>Uk</v>
      </c>
      <c r="E222" s="22" t="s">
        <v>83</v>
      </c>
      <c r="F222" s="22" t="s">
        <v>52</v>
      </c>
      <c r="G222" s="22">
        <v>42</v>
      </c>
      <c r="H222" s="2">
        <v>50.02</v>
      </c>
      <c r="I222" s="64">
        <v>2100.84</v>
      </c>
      <c r="J222" s="2">
        <v>89.65</v>
      </c>
      <c r="K222" s="2">
        <v>835.19</v>
      </c>
      <c r="L222" s="22" t="s">
        <v>26</v>
      </c>
      <c r="M222" s="22" t="s">
        <v>27</v>
      </c>
      <c r="N222" s="22" t="s">
        <v>28</v>
      </c>
    </row>
    <row r="223" spans="1:14" x14ac:dyDescent="0.25">
      <c r="A223" s="22" t="s">
        <v>366</v>
      </c>
      <c r="B223" s="63">
        <v>45663</v>
      </c>
      <c r="C223" s="22" t="str">
        <f>TRIM(Raw_Data!C223)</f>
        <v>Smith, James</v>
      </c>
      <c r="D223" s="22" t="str">
        <f>PROPER(TRIM(Raw_Data!D223))</f>
        <v>Australia</v>
      </c>
      <c r="E223" s="22" t="s">
        <v>83</v>
      </c>
      <c r="F223" s="22" t="s">
        <v>52</v>
      </c>
      <c r="G223" s="22">
        <v>13</v>
      </c>
      <c r="H223" s="2">
        <v>49.39</v>
      </c>
      <c r="I223" s="64">
        <v>642.07000000000005</v>
      </c>
      <c r="J223" s="2">
        <v>38.32</v>
      </c>
      <c r="K223" s="2">
        <v>239.75</v>
      </c>
      <c r="L223" s="22" t="s">
        <v>26</v>
      </c>
      <c r="M223" s="22" t="s">
        <v>20</v>
      </c>
      <c r="N223" s="22" t="s">
        <v>130</v>
      </c>
    </row>
    <row r="224" spans="1:14" x14ac:dyDescent="0.25">
      <c r="A224" s="22" t="s">
        <v>367</v>
      </c>
      <c r="B224" s="63">
        <v>45784</v>
      </c>
      <c r="C224" s="22" t="str">
        <f>TRIM(Raw_Data!C224)</f>
        <v>Miller, David</v>
      </c>
      <c r="D224" s="22" t="str">
        <f>PROPER(TRIM(Raw_Data!D224))</f>
        <v>Uk</v>
      </c>
      <c r="E224" s="22" t="s">
        <v>25</v>
      </c>
      <c r="F224" s="22" t="s">
        <v>18</v>
      </c>
      <c r="G224" s="22">
        <v>15</v>
      </c>
      <c r="H224" s="2">
        <v>22.86</v>
      </c>
      <c r="I224" s="64">
        <v>342.9</v>
      </c>
      <c r="J224" s="2">
        <v>27.16</v>
      </c>
      <c r="K224" s="2">
        <v>45.74</v>
      </c>
      <c r="L224" s="22" t="s">
        <v>38</v>
      </c>
      <c r="M224" s="22" t="s">
        <v>32</v>
      </c>
      <c r="N224" s="22" t="s">
        <v>28</v>
      </c>
    </row>
    <row r="225" spans="1:14" x14ac:dyDescent="0.25">
      <c r="A225" s="22" t="s">
        <v>368</v>
      </c>
      <c r="B225" s="63">
        <v>45554</v>
      </c>
      <c r="C225" s="22" t="str">
        <f>TRIM(Raw_Data!C225)</f>
        <v>Johnson, John</v>
      </c>
      <c r="D225" s="22" t="str">
        <f>PROPER(TRIM(Raw_Data!D225))</f>
        <v>India</v>
      </c>
      <c r="E225" s="22" t="s">
        <v>56</v>
      </c>
      <c r="F225" s="22" t="s">
        <v>57</v>
      </c>
      <c r="G225" s="22">
        <v>37</v>
      </c>
      <c r="H225" s="2">
        <v>37.270000000000003</v>
      </c>
      <c r="I225" s="64">
        <v>1378.99</v>
      </c>
      <c r="J225" s="2">
        <v>92.92</v>
      </c>
      <c r="K225" s="2">
        <v>361.07</v>
      </c>
      <c r="L225" s="22" t="s">
        <v>19</v>
      </c>
      <c r="M225" s="22" t="s">
        <v>20</v>
      </c>
      <c r="N225" s="22" t="s">
        <v>58</v>
      </c>
    </row>
    <row r="226" spans="1:14" x14ac:dyDescent="0.25">
      <c r="A226" s="22" t="s">
        <v>369</v>
      </c>
      <c r="B226" s="63">
        <v>45374</v>
      </c>
      <c r="C226" s="22" t="str">
        <f>TRIM(Raw_Data!C226)</f>
        <v>Johnson, Michael</v>
      </c>
      <c r="D226" s="22" t="str">
        <f>PROPER(TRIM(Raw_Data!D226))</f>
        <v>France</v>
      </c>
      <c r="E226" s="22" t="s">
        <v>17</v>
      </c>
      <c r="F226" s="22" t="s">
        <v>18</v>
      </c>
      <c r="G226" s="22">
        <v>49</v>
      </c>
      <c r="H226" s="2">
        <v>54.05</v>
      </c>
      <c r="I226" s="64">
        <v>2648.45</v>
      </c>
      <c r="J226" s="2">
        <v>66.8</v>
      </c>
      <c r="K226" s="2">
        <v>866.65</v>
      </c>
      <c r="L226" s="22" t="s">
        <v>38</v>
      </c>
      <c r="M226" s="22" t="s">
        <v>20</v>
      </c>
      <c r="N226" s="22" t="s">
        <v>28</v>
      </c>
    </row>
    <row r="227" spans="1:14" x14ac:dyDescent="0.25">
      <c r="A227" s="22" t="s">
        <v>370</v>
      </c>
      <c r="B227" s="63">
        <v>45522</v>
      </c>
      <c r="C227" s="22" t="str">
        <f>TRIM(Raw_Data!C227)</f>
        <v>Jones, Emma</v>
      </c>
      <c r="D227" s="22" t="str">
        <f>PROPER(TRIM(Raw_Data!D227))</f>
        <v>Uk</v>
      </c>
      <c r="E227" s="22" t="s">
        <v>63</v>
      </c>
      <c r="F227" s="22" t="s">
        <v>37</v>
      </c>
      <c r="G227" s="22">
        <v>33</v>
      </c>
      <c r="H227" s="2">
        <v>20.059999999999999</v>
      </c>
      <c r="I227" s="64">
        <v>661.98</v>
      </c>
      <c r="J227" s="2">
        <v>50.02</v>
      </c>
      <c r="K227" s="2">
        <v>191.21</v>
      </c>
      <c r="L227" s="22" t="s">
        <v>38</v>
      </c>
      <c r="M227" s="22" t="s">
        <v>27</v>
      </c>
      <c r="N227" s="22" t="s">
        <v>28</v>
      </c>
    </row>
    <row r="228" spans="1:14" x14ac:dyDescent="0.25">
      <c r="A228" s="22" t="s">
        <v>372</v>
      </c>
      <c r="B228" s="63">
        <v>45603</v>
      </c>
      <c r="C228" s="22" t="str">
        <f>TRIM(Raw_Data!C228)</f>
        <v>Miller, Sarah</v>
      </c>
      <c r="D228" s="22" t="str">
        <f>PROPER(TRIM(Raw_Data!D228))</f>
        <v>Germany</v>
      </c>
      <c r="E228" s="22" t="s">
        <v>83</v>
      </c>
      <c r="F228" s="22" t="s">
        <v>52</v>
      </c>
      <c r="G228" s="22">
        <v>49</v>
      </c>
      <c r="H228" s="2">
        <v>35.68</v>
      </c>
      <c r="I228" s="64">
        <v>1748.32</v>
      </c>
      <c r="J228" s="2">
        <v>124.47</v>
      </c>
      <c r="K228" s="2">
        <v>251.85</v>
      </c>
      <c r="L228" s="22" t="s">
        <v>38</v>
      </c>
      <c r="M228" s="22" t="s">
        <v>32</v>
      </c>
      <c r="N228" s="22" t="s">
        <v>28</v>
      </c>
    </row>
    <row r="229" spans="1:14" x14ac:dyDescent="0.25">
      <c r="A229" s="22" t="s">
        <v>373</v>
      </c>
      <c r="B229" s="63">
        <v>45718</v>
      </c>
      <c r="C229" s="22" t="str">
        <f>TRIM(Raw_Data!C229)</f>
        <v>Davis, John</v>
      </c>
      <c r="D229" s="22" t="str">
        <f>PROPER(TRIM(Raw_Data!D229))</f>
        <v>India</v>
      </c>
      <c r="E229" s="22" t="s">
        <v>56</v>
      </c>
      <c r="F229" s="22" t="s">
        <v>57</v>
      </c>
      <c r="G229" s="22">
        <v>23</v>
      </c>
      <c r="H229" s="2">
        <v>30.89</v>
      </c>
      <c r="I229" s="64">
        <v>710.47</v>
      </c>
      <c r="J229" s="2">
        <v>18.739999999999998</v>
      </c>
      <c r="K229" s="2">
        <v>116.73</v>
      </c>
      <c r="L229" s="22" t="s">
        <v>26</v>
      </c>
      <c r="M229" s="22" t="s">
        <v>20</v>
      </c>
      <c r="N229" s="22" t="s">
        <v>58</v>
      </c>
    </row>
    <row r="230" spans="1:14" x14ac:dyDescent="0.25">
      <c r="A230" s="22" t="s">
        <v>374</v>
      </c>
      <c r="B230" s="63">
        <v>45566</v>
      </c>
      <c r="C230" s="22" t="str">
        <f>TRIM(Raw_Data!C230)</f>
        <v>Miller, Daniel</v>
      </c>
      <c r="D230" s="22" t="str">
        <f>PROPER(TRIM(Raw_Data!D230))</f>
        <v>France</v>
      </c>
      <c r="E230" s="22" t="s">
        <v>17</v>
      </c>
      <c r="F230" s="22" t="s">
        <v>18</v>
      </c>
      <c r="G230" s="22">
        <v>14</v>
      </c>
      <c r="H230" s="2">
        <v>59.6</v>
      </c>
      <c r="I230" s="64">
        <v>834.4</v>
      </c>
      <c r="J230" s="2">
        <v>19.11</v>
      </c>
      <c r="K230" s="2">
        <v>325.29000000000002</v>
      </c>
      <c r="L230" s="22" t="s">
        <v>26</v>
      </c>
      <c r="M230" s="22" t="s">
        <v>27</v>
      </c>
      <c r="N230" s="22" t="s">
        <v>28</v>
      </c>
    </row>
    <row r="231" spans="1:14" x14ac:dyDescent="0.25">
      <c r="A231" s="22" t="s">
        <v>375</v>
      </c>
      <c r="B231" s="63">
        <v>45709</v>
      </c>
      <c r="C231" s="22" t="str">
        <f>TRIM(Raw_Data!C231)</f>
        <v>Jones, Emily</v>
      </c>
      <c r="D231" s="22" t="str">
        <f>PROPER(TRIM(Raw_Data!D231))</f>
        <v>Germany</v>
      </c>
      <c r="E231" s="22" t="s">
        <v>51</v>
      </c>
      <c r="F231" s="22" t="s">
        <v>52</v>
      </c>
      <c r="G231" s="22">
        <v>3</v>
      </c>
      <c r="H231" s="2">
        <v>28.36</v>
      </c>
      <c r="I231" s="64">
        <v>85.08</v>
      </c>
      <c r="J231" s="2">
        <v>4.46</v>
      </c>
      <c r="K231" s="2">
        <v>13.12</v>
      </c>
      <c r="L231" s="22" t="s">
        <v>19</v>
      </c>
      <c r="M231" s="22" t="s">
        <v>27</v>
      </c>
      <c r="N231" s="22" t="s">
        <v>28</v>
      </c>
    </row>
    <row r="232" spans="1:14" x14ac:dyDescent="0.25">
      <c r="A232" s="22" t="s">
        <v>376</v>
      </c>
      <c r="B232" s="63">
        <v>45625</v>
      </c>
      <c r="C232" s="22" t="str">
        <f>TRIM(Raw_Data!C232)</f>
        <v>Smith, Daniel</v>
      </c>
      <c r="D232" s="22" t="str">
        <f>PROPER(TRIM(Raw_Data!D232))</f>
        <v>Germany</v>
      </c>
      <c r="E232" s="22" t="s">
        <v>63</v>
      </c>
      <c r="F232" s="22" t="s">
        <v>37</v>
      </c>
      <c r="G232" s="22">
        <v>28</v>
      </c>
      <c r="H232" s="2">
        <v>22.13</v>
      </c>
      <c r="I232" s="64">
        <v>619.64</v>
      </c>
      <c r="J232" s="2">
        <v>17.2</v>
      </c>
      <c r="K232" s="2">
        <v>245.44</v>
      </c>
      <c r="L232" s="22" t="s">
        <v>26</v>
      </c>
      <c r="M232" s="22" t="s">
        <v>32</v>
      </c>
      <c r="N232" s="22" t="s">
        <v>28</v>
      </c>
    </row>
    <row r="233" spans="1:14" x14ac:dyDescent="0.25">
      <c r="A233" s="22" t="s">
        <v>377</v>
      </c>
      <c r="B233" s="63">
        <v>45643</v>
      </c>
      <c r="C233" s="22" t="str">
        <f>TRIM(Raw_Data!C233)</f>
        <v>Hernandez, Daniel</v>
      </c>
      <c r="D233" s="22" t="str">
        <f>PROPER(TRIM(Raw_Data!D233))</f>
        <v>Usa</v>
      </c>
      <c r="E233" s="22" t="s">
        <v>25</v>
      </c>
      <c r="F233" s="22" t="s">
        <v>18</v>
      </c>
      <c r="G233" s="22">
        <v>28</v>
      </c>
      <c r="H233" s="2">
        <v>27.62</v>
      </c>
      <c r="I233" s="64">
        <v>773.36</v>
      </c>
      <c r="J233" s="2">
        <v>29.88</v>
      </c>
      <c r="K233" s="2">
        <v>239.48</v>
      </c>
      <c r="L233" s="22" t="s">
        <v>19</v>
      </c>
      <c r="M233" s="22" t="s">
        <v>20</v>
      </c>
      <c r="N233" s="22" t="s">
        <v>21</v>
      </c>
    </row>
    <row r="234" spans="1:14" x14ac:dyDescent="0.25">
      <c r="A234" s="22" t="s">
        <v>378</v>
      </c>
      <c r="B234" s="63">
        <v>45723</v>
      </c>
      <c r="C234" s="22" t="str">
        <f>TRIM(Raw_Data!C234)</f>
        <v>Martinez, Sarah</v>
      </c>
      <c r="D234" s="22" t="str">
        <f>PROPER(TRIM(Raw_Data!D234))</f>
        <v>Canada</v>
      </c>
      <c r="E234" s="22" t="s">
        <v>56</v>
      </c>
      <c r="F234" s="22" t="s">
        <v>57</v>
      </c>
      <c r="G234" s="22">
        <v>40</v>
      </c>
      <c r="H234" s="2">
        <v>34.229999999999997</v>
      </c>
      <c r="I234" s="64">
        <v>1369.2</v>
      </c>
      <c r="J234" s="2">
        <v>78.03</v>
      </c>
      <c r="K234" s="2">
        <v>291.17</v>
      </c>
      <c r="L234" s="22" t="s">
        <v>19</v>
      </c>
      <c r="M234" s="22" t="s">
        <v>20</v>
      </c>
      <c r="N234" s="22" t="s">
        <v>21</v>
      </c>
    </row>
    <row r="235" spans="1:14" x14ac:dyDescent="0.25">
      <c r="A235" s="22" t="s">
        <v>379</v>
      </c>
      <c r="B235" s="63">
        <v>45665</v>
      </c>
      <c r="C235" s="22" t="str">
        <f>TRIM(Raw_Data!C235)</f>
        <v>Miller, Sophia</v>
      </c>
      <c r="D235" s="22" t="str">
        <f>PROPER(TRIM(Raw_Data!D235))</f>
        <v>Japan</v>
      </c>
      <c r="E235" s="22" t="s">
        <v>43</v>
      </c>
      <c r="F235" s="22" t="s">
        <v>44</v>
      </c>
      <c r="G235" s="22">
        <v>9</v>
      </c>
      <c r="H235" s="2">
        <v>52.2</v>
      </c>
      <c r="I235" s="64">
        <v>469.8</v>
      </c>
      <c r="J235" s="2">
        <v>31.5</v>
      </c>
      <c r="K235" s="2">
        <v>78.3</v>
      </c>
      <c r="L235" s="22" t="s">
        <v>38</v>
      </c>
      <c r="M235" s="22" t="s">
        <v>32</v>
      </c>
      <c r="N235" s="22" t="s">
        <v>58</v>
      </c>
    </row>
    <row r="236" spans="1:14" x14ac:dyDescent="0.25">
      <c r="A236" s="22" t="s">
        <v>380</v>
      </c>
      <c r="B236" s="63">
        <v>45745</v>
      </c>
      <c r="C236" s="22" t="str">
        <f>TRIM(Raw_Data!C236)</f>
        <v>Hernandez, Daniel</v>
      </c>
      <c r="D236" s="22" t="str">
        <f>PROPER(TRIM(Raw_Data!D236))</f>
        <v>France</v>
      </c>
      <c r="E236" s="22" t="s">
        <v>56</v>
      </c>
      <c r="F236" s="22" t="s">
        <v>57</v>
      </c>
      <c r="G236" s="22">
        <v>31</v>
      </c>
      <c r="H236" s="2">
        <v>43.54</v>
      </c>
      <c r="I236" s="64">
        <v>1349.74</v>
      </c>
      <c r="J236" s="2">
        <v>99.86</v>
      </c>
      <c r="K236" s="2">
        <v>474.88</v>
      </c>
      <c r="L236" s="22" t="s">
        <v>19</v>
      </c>
      <c r="M236" s="22" t="s">
        <v>27</v>
      </c>
      <c r="N236" s="22" t="s">
        <v>28</v>
      </c>
    </row>
    <row r="237" spans="1:14" x14ac:dyDescent="0.25">
      <c r="A237" s="22" t="s">
        <v>381</v>
      </c>
      <c r="B237" s="63">
        <v>45788</v>
      </c>
      <c r="C237" s="22" t="str">
        <f>TRIM(Raw_Data!C237)</f>
        <v>Williams, Laura</v>
      </c>
      <c r="D237" s="22" t="str">
        <f>PROPER(TRIM(Raw_Data!D237))</f>
        <v>Uae</v>
      </c>
      <c r="E237" s="22" t="s">
        <v>60</v>
      </c>
      <c r="F237" s="22" t="s">
        <v>52</v>
      </c>
      <c r="G237" s="22">
        <v>31</v>
      </c>
      <c r="H237" s="2">
        <v>18.63</v>
      </c>
      <c r="I237" s="64">
        <v>577.53</v>
      </c>
      <c r="J237" s="2">
        <v>36.65</v>
      </c>
      <c r="K237" s="2">
        <v>60.38</v>
      </c>
      <c r="L237" s="22" t="s">
        <v>38</v>
      </c>
      <c r="M237" s="22" t="s">
        <v>20</v>
      </c>
      <c r="N237" s="22" t="s">
        <v>58</v>
      </c>
    </row>
    <row r="238" spans="1:14" x14ac:dyDescent="0.25">
      <c r="A238" s="22" t="s">
        <v>382</v>
      </c>
      <c r="B238" s="63">
        <v>45331</v>
      </c>
      <c r="C238" s="22" t="str">
        <f>TRIM(Raw_Data!C238)</f>
        <v>Jones, Daniel</v>
      </c>
      <c r="D238" s="22" t="str">
        <f>PROPER(TRIM(Raw_Data!D238))</f>
        <v>Japan</v>
      </c>
      <c r="E238" s="22" t="s">
        <v>48</v>
      </c>
      <c r="F238" s="22" t="s">
        <v>37</v>
      </c>
      <c r="G238" s="22">
        <v>38</v>
      </c>
      <c r="H238" s="2">
        <v>27.28</v>
      </c>
      <c r="I238" s="64">
        <v>1036.6400000000001</v>
      </c>
      <c r="J238" s="2">
        <v>38.770000000000003</v>
      </c>
      <c r="K238" s="2">
        <v>237.87</v>
      </c>
      <c r="L238" s="22" t="s">
        <v>19</v>
      </c>
      <c r="M238" s="22" t="s">
        <v>32</v>
      </c>
      <c r="N238" s="22" t="s">
        <v>58</v>
      </c>
    </row>
    <row r="239" spans="1:14" x14ac:dyDescent="0.25">
      <c r="A239" s="22" t="s">
        <v>383</v>
      </c>
      <c r="B239" s="63">
        <v>45616</v>
      </c>
      <c r="C239" s="22" t="str">
        <f>TRIM(Raw_Data!C239)</f>
        <v>Miller, Sarah</v>
      </c>
      <c r="D239" s="22" t="str">
        <f>PROPER(TRIM(Raw_Data!D239))</f>
        <v>Brazil</v>
      </c>
      <c r="E239" s="22" t="s">
        <v>25</v>
      </c>
      <c r="F239" s="22" t="s">
        <v>18</v>
      </c>
      <c r="G239" s="22">
        <v>50</v>
      </c>
      <c r="H239" s="2">
        <v>30.97</v>
      </c>
      <c r="I239" s="64">
        <v>1548.5</v>
      </c>
      <c r="J239" s="2">
        <v>82.09</v>
      </c>
      <c r="K239" s="2">
        <v>566.41</v>
      </c>
      <c r="L239" s="22" t="s">
        <v>26</v>
      </c>
      <c r="M239" s="22" t="s">
        <v>27</v>
      </c>
      <c r="N239" s="22" t="s">
        <v>39</v>
      </c>
    </row>
    <row r="240" spans="1:14" x14ac:dyDescent="0.25">
      <c r="A240" s="22" t="s">
        <v>384</v>
      </c>
      <c r="B240" s="63">
        <v>45350</v>
      </c>
      <c r="C240" s="22" t="str">
        <f>TRIM(Raw_Data!C240)</f>
        <v>Williams, David</v>
      </c>
      <c r="D240" s="22" t="str">
        <f>PROPER(TRIM(Raw_Data!D240))</f>
        <v>Japan</v>
      </c>
      <c r="E240" s="22" t="s">
        <v>43</v>
      </c>
      <c r="F240" s="22" t="s">
        <v>44</v>
      </c>
      <c r="G240" s="22">
        <v>17</v>
      </c>
      <c r="H240" s="2">
        <v>60.91</v>
      </c>
      <c r="I240" s="64">
        <v>1035.47</v>
      </c>
      <c r="J240" s="2">
        <v>54.09</v>
      </c>
      <c r="K240" s="2">
        <v>301.38</v>
      </c>
      <c r="L240" s="22" t="s">
        <v>38</v>
      </c>
      <c r="M240" s="22" t="s">
        <v>20</v>
      </c>
      <c r="N240" s="22" t="s">
        <v>58</v>
      </c>
    </row>
    <row r="241" spans="1:14" x14ac:dyDescent="0.25">
      <c r="A241" s="22" t="s">
        <v>385</v>
      </c>
      <c r="B241" s="63">
        <v>45789</v>
      </c>
      <c r="C241" s="22" t="str">
        <f>TRIM(Raw_Data!C241)</f>
        <v>Johnson, Sophia</v>
      </c>
      <c r="D241" s="22" t="str">
        <f>PROPER(TRIM(Raw_Data!D241))</f>
        <v>China</v>
      </c>
      <c r="E241" s="22" t="s">
        <v>48</v>
      </c>
      <c r="F241" s="22" t="s">
        <v>37</v>
      </c>
      <c r="G241" s="22">
        <v>25</v>
      </c>
      <c r="H241" s="2">
        <v>31.15</v>
      </c>
      <c r="I241" s="64">
        <v>778.75</v>
      </c>
      <c r="J241" s="2">
        <v>47.45</v>
      </c>
      <c r="K241" s="2">
        <v>231.3</v>
      </c>
      <c r="L241" s="22" t="s">
        <v>19</v>
      </c>
      <c r="M241" s="22" t="s">
        <v>32</v>
      </c>
      <c r="N241" s="22" t="s">
        <v>58</v>
      </c>
    </row>
    <row r="242" spans="1:14" x14ac:dyDescent="0.25">
      <c r="A242" s="22" t="s">
        <v>386</v>
      </c>
      <c r="B242" s="63">
        <v>45499</v>
      </c>
      <c r="C242" s="22" t="str">
        <f>TRIM(Raw_Data!C242)</f>
        <v>Brown, John</v>
      </c>
      <c r="D242" s="22" t="str">
        <f>PROPER(TRIM(Raw_Data!D242))</f>
        <v>France</v>
      </c>
      <c r="E242" s="22" t="s">
        <v>25</v>
      </c>
      <c r="F242" s="22" t="s">
        <v>18</v>
      </c>
      <c r="G242" s="22">
        <v>30</v>
      </c>
      <c r="H242" s="2">
        <v>31.12</v>
      </c>
      <c r="I242" s="64">
        <v>933.6</v>
      </c>
      <c r="J242" s="2">
        <v>50.88</v>
      </c>
      <c r="K242" s="2">
        <v>342.72</v>
      </c>
      <c r="L242" s="22" t="s">
        <v>26</v>
      </c>
      <c r="M242" s="22" t="s">
        <v>27</v>
      </c>
      <c r="N242" s="22" t="s">
        <v>28</v>
      </c>
    </row>
    <row r="243" spans="1:14" x14ac:dyDescent="0.25">
      <c r="A243" s="22" t="s">
        <v>387</v>
      </c>
      <c r="B243" s="63">
        <v>45691</v>
      </c>
      <c r="C243" s="22" t="str">
        <f>TRIM(Raw_Data!C243)</f>
        <v>Hernandez, John</v>
      </c>
      <c r="D243" s="22" t="str">
        <f>PROPER(TRIM(Raw_Data!D243))</f>
        <v>Mexico</v>
      </c>
      <c r="E243" s="22" t="s">
        <v>60</v>
      </c>
      <c r="F243" s="22" t="s">
        <v>52</v>
      </c>
      <c r="G243" s="22">
        <v>17</v>
      </c>
      <c r="H243" s="2">
        <v>19.64</v>
      </c>
      <c r="I243" s="64">
        <v>333.88</v>
      </c>
      <c r="J243" s="2">
        <v>22.23</v>
      </c>
      <c r="K243" s="2">
        <v>48.15</v>
      </c>
      <c r="L243" s="22" t="s">
        <v>38</v>
      </c>
      <c r="M243" s="22" t="s">
        <v>32</v>
      </c>
      <c r="N243" s="22" t="s">
        <v>21</v>
      </c>
    </row>
    <row r="244" spans="1:14" x14ac:dyDescent="0.25">
      <c r="A244" s="22" t="s">
        <v>388</v>
      </c>
      <c r="B244" s="63">
        <v>45457</v>
      </c>
      <c r="C244" s="22" t="str">
        <f>TRIM(Raw_Data!C244)</f>
        <v>Johnson, Laura</v>
      </c>
      <c r="D244" s="22" t="str">
        <f>PROPER(TRIM(Raw_Data!D244))</f>
        <v>Usa</v>
      </c>
      <c r="E244" s="22" t="s">
        <v>36</v>
      </c>
      <c r="F244" s="22" t="s">
        <v>37</v>
      </c>
      <c r="G244" s="22">
        <v>37</v>
      </c>
      <c r="H244" s="2">
        <v>57.35</v>
      </c>
      <c r="I244" s="64">
        <v>2121.9499999999998</v>
      </c>
      <c r="J244" s="2">
        <v>147.38999999999999</v>
      </c>
      <c r="K244" s="2">
        <v>790.56</v>
      </c>
      <c r="L244" s="22" t="s">
        <v>19</v>
      </c>
      <c r="M244" s="22" t="s">
        <v>20</v>
      </c>
      <c r="N244" s="22" t="s">
        <v>21</v>
      </c>
    </row>
    <row r="245" spans="1:14" x14ac:dyDescent="0.25">
      <c r="A245" s="22" t="s">
        <v>390</v>
      </c>
      <c r="B245" s="63">
        <v>45707</v>
      </c>
      <c r="C245" s="22" t="str">
        <f>TRIM(Raw_Data!C245)</f>
        <v>Smith, Emily</v>
      </c>
      <c r="D245" s="22" t="str">
        <f>PROPER(TRIM(Raw_Data!D245))</f>
        <v>Italy</v>
      </c>
      <c r="E245" s="22" t="s">
        <v>17</v>
      </c>
      <c r="F245" s="22" t="s">
        <v>18</v>
      </c>
      <c r="G245" s="22">
        <v>45</v>
      </c>
      <c r="H245" s="2">
        <v>42.6</v>
      </c>
      <c r="I245" s="64">
        <v>1917</v>
      </c>
      <c r="J245" s="2">
        <v>104.27</v>
      </c>
      <c r="K245" s="2">
        <v>237.73</v>
      </c>
      <c r="L245" s="22" t="s">
        <v>26</v>
      </c>
      <c r="M245" s="22" t="s">
        <v>32</v>
      </c>
      <c r="N245" s="22" t="s">
        <v>28</v>
      </c>
    </row>
    <row r="246" spans="1:14" x14ac:dyDescent="0.25">
      <c r="A246" s="22" t="s">
        <v>391</v>
      </c>
      <c r="B246" s="63">
        <v>45465</v>
      </c>
      <c r="C246" s="22" t="str">
        <f>TRIM(Raw_Data!C246)</f>
        <v>Brown, Michael</v>
      </c>
      <c r="D246" s="22" t="str">
        <f>PROPER(TRIM(Raw_Data!D246))</f>
        <v>Uk</v>
      </c>
      <c r="E246" s="22" t="s">
        <v>48</v>
      </c>
      <c r="F246" s="22" t="s">
        <v>37</v>
      </c>
      <c r="G246" s="22">
        <v>25</v>
      </c>
      <c r="H246" s="2">
        <v>31.82</v>
      </c>
      <c r="I246" s="64">
        <v>795.5</v>
      </c>
      <c r="J246" s="2">
        <v>37.33</v>
      </c>
      <c r="K246" s="2">
        <v>258.17</v>
      </c>
      <c r="L246" s="22" t="s">
        <v>19</v>
      </c>
      <c r="M246" s="22" t="s">
        <v>27</v>
      </c>
      <c r="N246" s="22" t="s">
        <v>28</v>
      </c>
    </row>
    <row r="247" spans="1:14" x14ac:dyDescent="0.25">
      <c r="A247" s="22" t="s">
        <v>392</v>
      </c>
      <c r="B247" s="63">
        <v>45778</v>
      </c>
      <c r="C247" s="22" t="str">
        <f>TRIM(Raw_Data!C247)</f>
        <v>Williams, Emma</v>
      </c>
      <c r="D247" s="22" t="str">
        <f>PROPER(TRIM(Raw_Data!D247))</f>
        <v>India</v>
      </c>
      <c r="E247" s="22" t="s">
        <v>56</v>
      </c>
      <c r="F247" s="22" t="s">
        <v>57</v>
      </c>
      <c r="G247" s="22">
        <v>17</v>
      </c>
      <c r="H247" s="2">
        <v>36.270000000000003</v>
      </c>
      <c r="I247" s="64">
        <v>616.59</v>
      </c>
      <c r="J247" s="2">
        <v>22.76</v>
      </c>
      <c r="K247" s="2">
        <v>168.83</v>
      </c>
      <c r="L247" s="22" t="s">
        <v>38</v>
      </c>
      <c r="M247" s="22" t="s">
        <v>20</v>
      </c>
      <c r="N247" s="22" t="s">
        <v>58</v>
      </c>
    </row>
    <row r="248" spans="1:14" x14ac:dyDescent="0.25">
      <c r="A248" s="22" t="s">
        <v>393</v>
      </c>
      <c r="B248" s="63">
        <v>45601</v>
      </c>
      <c r="C248" s="22" t="str">
        <f>TRIM(Raw_Data!C248)</f>
        <v>Garcia, Emma</v>
      </c>
      <c r="D248" s="22" t="str">
        <f>PROPER(TRIM(Raw_Data!D248))</f>
        <v>Uae</v>
      </c>
      <c r="E248" s="22" t="s">
        <v>25</v>
      </c>
      <c r="F248" s="22" t="s">
        <v>18</v>
      </c>
      <c r="G248" s="22">
        <v>4</v>
      </c>
      <c r="H248" s="2">
        <v>27.01</v>
      </c>
      <c r="I248" s="64">
        <v>108.04</v>
      </c>
      <c r="J248" s="2">
        <v>4.7300000000000004</v>
      </c>
      <c r="K248" s="2">
        <v>31.31</v>
      </c>
      <c r="L248" s="22" t="s">
        <v>38</v>
      </c>
      <c r="M248" s="22" t="s">
        <v>32</v>
      </c>
      <c r="N248" s="22" t="s">
        <v>58</v>
      </c>
    </row>
    <row r="249" spans="1:14" x14ac:dyDescent="0.25">
      <c r="A249" s="22" t="s">
        <v>394</v>
      </c>
      <c r="B249" s="63">
        <v>45417</v>
      </c>
      <c r="C249" s="22" t="str">
        <f>TRIM(Raw_Data!C249)</f>
        <v>Martinez, Emily</v>
      </c>
      <c r="D249" s="22" t="str">
        <f>PROPER(TRIM(Raw_Data!D249))</f>
        <v>Mexico</v>
      </c>
      <c r="E249" s="22" t="s">
        <v>17</v>
      </c>
      <c r="F249" s="22" t="s">
        <v>18</v>
      </c>
      <c r="G249" s="22">
        <v>22</v>
      </c>
      <c r="H249" s="2">
        <v>57.6</v>
      </c>
      <c r="I249" s="64">
        <v>1267.2</v>
      </c>
      <c r="J249" s="2">
        <v>35.32</v>
      </c>
      <c r="K249" s="2">
        <v>461.88</v>
      </c>
      <c r="L249" s="22" t="s">
        <v>38</v>
      </c>
      <c r="M249" s="22" t="s">
        <v>20</v>
      </c>
      <c r="N249" s="22" t="s">
        <v>21</v>
      </c>
    </row>
    <row r="250" spans="1:14" x14ac:dyDescent="0.25">
      <c r="A250" s="22" t="s">
        <v>395</v>
      </c>
      <c r="B250" s="63">
        <v>45306</v>
      </c>
      <c r="C250" s="22" t="str">
        <f>TRIM(Raw_Data!C250)</f>
        <v>Brown, Emily</v>
      </c>
      <c r="D250" s="22" t="str">
        <f>PROPER(TRIM(Raw_Data!D250))</f>
        <v>Germany</v>
      </c>
      <c r="E250" s="22" t="s">
        <v>56</v>
      </c>
      <c r="F250" s="22" t="s">
        <v>57</v>
      </c>
      <c r="G250" s="22">
        <v>24</v>
      </c>
      <c r="H250" s="2">
        <v>43.34</v>
      </c>
      <c r="I250" s="64">
        <v>1040.1600000000001</v>
      </c>
      <c r="J250" s="2">
        <v>41.18</v>
      </c>
      <c r="K250" s="2">
        <v>398.98</v>
      </c>
      <c r="L250" s="22" t="s">
        <v>19</v>
      </c>
      <c r="M250" s="22" t="s">
        <v>32</v>
      </c>
      <c r="N250" s="22" t="s">
        <v>28</v>
      </c>
    </row>
    <row r="251" spans="1:14" x14ac:dyDescent="0.25">
      <c r="A251" s="22" t="s">
        <v>396</v>
      </c>
      <c r="B251" s="63">
        <v>45711</v>
      </c>
      <c r="C251" s="22" t="str">
        <f>TRIM(Raw_Data!C251)</f>
        <v>Brown, Daniel</v>
      </c>
      <c r="D251" s="22" t="str">
        <f>PROPER(TRIM(Raw_Data!D251))</f>
        <v>Mexico</v>
      </c>
      <c r="E251" s="22" t="s">
        <v>43</v>
      </c>
      <c r="F251" s="22" t="s">
        <v>44</v>
      </c>
      <c r="G251" s="22">
        <v>37</v>
      </c>
      <c r="H251" s="2">
        <v>71.8</v>
      </c>
      <c r="I251" s="64">
        <v>2656.6</v>
      </c>
      <c r="J251" s="2">
        <v>60.3</v>
      </c>
      <c r="K251" s="2">
        <v>1116.3</v>
      </c>
      <c r="L251" s="22" t="s">
        <v>26</v>
      </c>
      <c r="M251" s="22" t="s">
        <v>20</v>
      </c>
      <c r="N251" s="22" t="s">
        <v>21</v>
      </c>
    </row>
    <row r="252" spans="1:14" x14ac:dyDescent="0.25">
      <c r="A252" s="22" t="s">
        <v>397</v>
      </c>
      <c r="B252" s="63">
        <v>45471</v>
      </c>
      <c r="C252" s="22" t="str">
        <f>TRIM(Raw_Data!C252)</f>
        <v>Johnson, Laura</v>
      </c>
      <c r="D252" s="22" t="str">
        <f>PROPER(TRIM(Raw_Data!D252))</f>
        <v>Uae</v>
      </c>
      <c r="E252" s="22" t="s">
        <v>48</v>
      </c>
      <c r="F252" s="22" t="s">
        <v>37</v>
      </c>
      <c r="G252" s="22">
        <v>24</v>
      </c>
      <c r="H252" s="2">
        <v>29.11</v>
      </c>
      <c r="I252" s="64">
        <v>698.64</v>
      </c>
      <c r="J252" s="2">
        <v>53.99</v>
      </c>
      <c r="K252" s="2">
        <v>164.65</v>
      </c>
      <c r="L252" s="22" t="s">
        <v>38</v>
      </c>
      <c r="M252" s="22" t="s">
        <v>32</v>
      </c>
      <c r="N252" s="22" t="s">
        <v>58</v>
      </c>
    </row>
    <row r="253" spans="1:14" x14ac:dyDescent="0.25">
      <c r="A253" s="22" t="s">
        <v>398</v>
      </c>
      <c r="B253" s="63">
        <v>45310</v>
      </c>
      <c r="C253" s="22" t="str">
        <f>TRIM(Raw_Data!C253)</f>
        <v>Smith, John</v>
      </c>
      <c r="D253" s="22" t="str">
        <f>PROPER(TRIM(Raw_Data!D253))</f>
        <v>Japan</v>
      </c>
      <c r="E253" s="22" t="s">
        <v>51</v>
      </c>
      <c r="F253" s="22" t="s">
        <v>52</v>
      </c>
      <c r="G253" s="22">
        <v>6</v>
      </c>
      <c r="H253" s="2">
        <v>27.91</v>
      </c>
      <c r="I253" s="64">
        <v>167.46</v>
      </c>
      <c r="J253" s="2">
        <v>10.01</v>
      </c>
      <c r="K253" s="2">
        <v>22.45</v>
      </c>
      <c r="L253" s="22" t="s">
        <v>19</v>
      </c>
      <c r="M253" s="22" t="s">
        <v>20</v>
      </c>
      <c r="N253" s="22" t="s">
        <v>58</v>
      </c>
    </row>
    <row r="254" spans="1:14" x14ac:dyDescent="0.25">
      <c r="A254" s="22" t="s">
        <v>400</v>
      </c>
      <c r="B254" s="63">
        <v>45331</v>
      </c>
      <c r="C254" s="22" t="str">
        <f>TRIM(Raw_Data!C254)</f>
        <v>Miller, Daniel</v>
      </c>
      <c r="D254" s="22" t="str">
        <f>PROPER(TRIM(Raw_Data!D254))</f>
        <v>China</v>
      </c>
      <c r="E254" s="22" t="s">
        <v>51</v>
      </c>
      <c r="F254" s="22" t="s">
        <v>52</v>
      </c>
      <c r="G254" s="22">
        <v>28</v>
      </c>
      <c r="H254" s="2">
        <v>27.29</v>
      </c>
      <c r="I254" s="64">
        <v>764.12</v>
      </c>
      <c r="J254" s="2">
        <v>25.78</v>
      </c>
      <c r="K254" s="2">
        <v>108.34</v>
      </c>
      <c r="L254" s="22" t="s">
        <v>38</v>
      </c>
      <c r="M254" s="22" t="s">
        <v>20</v>
      </c>
      <c r="N254" s="22" t="s">
        <v>58</v>
      </c>
    </row>
    <row r="255" spans="1:14" x14ac:dyDescent="0.25">
      <c r="A255" s="22" t="s">
        <v>401</v>
      </c>
      <c r="B255" s="63">
        <v>45347</v>
      </c>
      <c r="C255" s="22" t="str">
        <f>TRIM(Raw_Data!C255)</f>
        <v>Davis, Daniel</v>
      </c>
      <c r="D255" s="22" t="str">
        <f>PROPER(TRIM(Raw_Data!D255))</f>
        <v>Mexico</v>
      </c>
      <c r="E255" s="22" t="s">
        <v>51</v>
      </c>
      <c r="F255" s="22" t="s">
        <v>52</v>
      </c>
      <c r="G255" s="22">
        <v>47</v>
      </c>
      <c r="H255" s="2">
        <v>35.880000000000003</v>
      </c>
      <c r="I255" s="64">
        <v>1686.36</v>
      </c>
      <c r="J255" s="2">
        <v>70.3</v>
      </c>
      <c r="K255" s="2">
        <v>558.55999999999995</v>
      </c>
      <c r="L255" s="22" t="s">
        <v>19</v>
      </c>
      <c r="M255" s="22" t="s">
        <v>27</v>
      </c>
      <c r="N255" s="22" t="s">
        <v>21</v>
      </c>
    </row>
    <row r="256" spans="1:14" x14ac:dyDescent="0.25">
      <c r="A256" s="22" t="s">
        <v>402</v>
      </c>
      <c r="B256" s="63">
        <v>45465</v>
      </c>
      <c r="C256" s="22" t="str">
        <f>TRIM(Raw_Data!C256)</f>
        <v>Davis, Emily</v>
      </c>
      <c r="D256" s="22" t="str">
        <f>PROPER(TRIM(Raw_Data!D256))</f>
        <v>France</v>
      </c>
      <c r="E256" s="22" t="s">
        <v>60</v>
      </c>
      <c r="F256" s="22" t="s">
        <v>52</v>
      </c>
      <c r="G256" s="22">
        <v>19</v>
      </c>
      <c r="H256" s="2">
        <v>27.47</v>
      </c>
      <c r="I256" s="64">
        <v>521.92999999999995</v>
      </c>
      <c r="J256" s="2">
        <v>31.29</v>
      </c>
      <c r="K256" s="2">
        <v>196.14</v>
      </c>
      <c r="L256" s="22" t="s">
        <v>26</v>
      </c>
      <c r="M256" s="22" t="s">
        <v>32</v>
      </c>
      <c r="N256" s="22" t="s">
        <v>28</v>
      </c>
    </row>
    <row r="257" spans="1:14" x14ac:dyDescent="0.25">
      <c r="A257" s="22" t="s">
        <v>403</v>
      </c>
      <c r="B257" s="63">
        <v>45598</v>
      </c>
      <c r="C257" s="22" t="str">
        <f>TRIM(Raw_Data!C257)</f>
        <v>Smith, Daniel</v>
      </c>
      <c r="D257" s="22" t="str">
        <f>PROPER(TRIM(Raw_Data!D257))</f>
        <v>Australia</v>
      </c>
      <c r="E257" s="22" t="s">
        <v>48</v>
      </c>
      <c r="F257" s="22" t="s">
        <v>37</v>
      </c>
      <c r="G257" s="22">
        <v>13</v>
      </c>
      <c r="H257" s="2">
        <v>29.26</v>
      </c>
      <c r="I257" s="64">
        <v>380.38</v>
      </c>
      <c r="J257" s="2">
        <v>9.4700000000000006</v>
      </c>
      <c r="K257" s="2">
        <v>110.91</v>
      </c>
      <c r="L257" s="22" t="s">
        <v>26</v>
      </c>
      <c r="M257" s="22" t="s">
        <v>32</v>
      </c>
      <c r="N257" s="22" t="s">
        <v>130</v>
      </c>
    </row>
    <row r="258" spans="1:14" x14ac:dyDescent="0.25">
      <c r="A258" s="22" t="s">
        <v>404</v>
      </c>
      <c r="B258" s="63">
        <v>45665</v>
      </c>
      <c r="C258" s="22" t="str">
        <f>TRIM(Raw_Data!C258)</f>
        <v>Miller, James</v>
      </c>
      <c r="D258" s="22" t="str">
        <f>PROPER(TRIM(Raw_Data!D258))</f>
        <v>Germany</v>
      </c>
      <c r="E258" s="22" t="s">
        <v>25</v>
      </c>
      <c r="F258" s="22" t="s">
        <v>18</v>
      </c>
      <c r="G258" s="22">
        <v>4</v>
      </c>
      <c r="H258" s="2">
        <v>26.17</v>
      </c>
      <c r="I258" s="64">
        <v>104.68</v>
      </c>
      <c r="J258" s="2">
        <v>6.33</v>
      </c>
      <c r="K258" s="2">
        <v>26.35</v>
      </c>
      <c r="L258" s="22" t="s">
        <v>19</v>
      </c>
      <c r="M258" s="22" t="s">
        <v>27</v>
      </c>
      <c r="N258" s="22" t="s">
        <v>28</v>
      </c>
    </row>
    <row r="259" spans="1:14" x14ac:dyDescent="0.25">
      <c r="A259" s="22" t="s">
        <v>405</v>
      </c>
      <c r="B259" s="63">
        <v>45304</v>
      </c>
      <c r="C259" s="22" t="str">
        <f>TRIM(Raw_Data!C259)</f>
        <v>Brown, Daniel</v>
      </c>
      <c r="D259" s="22" t="str">
        <f>PROPER(TRIM(Raw_Data!D259))</f>
        <v>Germany</v>
      </c>
      <c r="E259" s="22" t="s">
        <v>51</v>
      </c>
      <c r="F259" s="22" t="s">
        <v>52</v>
      </c>
      <c r="G259" s="22">
        <v>43</v>
      </c>
      <c r="H259" s="2">
        <v>37.32</v>
      </c>
      <c r="I259" s="64">
        <v>1604.76</v>
      </c>
      <c r="J259" s="2">
        <v>61.01</v>
      </c>
      <c r="K259" s="2">
        <v>576.25</v>
      </c>
      <c r="L259" s="22" t="s">
        <v>19</v>
      </c>
      <c r="M259" s="22" t="s">
        <v>27</v>
      </c>
      <c r="N259" s="22" t="s">
        <v>28</v>
      </c>
    </row>
    <row r="260" spans="1:14" x14ac:dyDescent="0.25">
      <c r="A260" s="22" t="s">
        <v>406</v>
      </c>
      <c r="B260" s="63">
        <v>45558</v>
      </c>
      <c r="C260" s="22" t="str">
        <f>TRIM(Raw_Data!C260)</f>
        <v>Martinez, David</v>
      </c>
      <c r="D260" s="22" t="str">
        <f>PROPER(TRIM(Raw_Data!D260))</f>
        <v>South Africa</v>
      </c>
      <c r="E260" s="22" t="s">
        <v>25</v>
      </c>
      <c r="F260" s="22" t="s">
        <v>18</v>
      </c>
      <c r="G260" s="22">
        <v>27</v>
      </c>
      <c r="H260" s="2">
        <v>23.05</v>
      </c>
      <c r="I260" s="64">
        <v>622.35</v>
      </c>
      <c r="J260" s="2">
        <v>20.440000000000001</v>
      </c>
      <c r="K260" s="2">
        <v>115.91</v>
      </c>
      <c r="L260" s="22" t="s">
        <v>38</v>
      </c>
      <c r="M260" s="22" t="s">
        <v>27</v>
      </c>
      <c r="N260" s="22" t="s">
        <v>87</v>
      </c>
    </row>
    <row r="261" spans="1:14" x14ac:dyDescent="0.25">
      <c r="A261" s="22" t="s">
        <v>407</v>
      </c>
      <c r="B261" s="63">
        <v>45575</v>
      </c>
      <c r="C261" s="22" t="str">
        <f>TRIM(Raw_Data!C261)</f>
        <v>Williams, Sophia</v>
      </c>
      <c r="D261" s="22" t="str">
        <f>PROPER(TRIM(Raw_Data!D261))</f>
        <v>Japan</v>
      </c>
      <c r="E261" s="22" t="s">
        <v>63</v>
      </c>
      <c r="F261" s="22" t="s">
        <v>37</v>
      </c>
      <c r="G261" s="22">
        <v>38</v>
      </c>
      <c r="H261" s="2">
        <v>19.02</v>
      </c>
      <c r="I261" s="64">
        <v>722.76</v>
      </c>
      <c r="J261" s="2">
        <v>14.63</v>
      </c>
      <c r="K261" s="2">
        <v>223.63</v>
      </c>
      <c r="L261" s="22" t="s">
        <v>26</v>
      </c>
      <c r="M261" s="22" t="s">
        <v>27</v>
      </c>
      <c r="N261" s="22" t="s">
        <v>58</v>
      </c>
    </row>
    <row r="262" spans="1:14" x14ac:dyDescent="0.25">
      <c r="A262" s="22" t="s">
        <v>409</v>
      </c>
      <c r="B262" s="63">
        <v>45469</v>
      </c>
      <c r="C262" s="22" t="str">
        <f>TRIM(Raw_Data!C262)</f>
        <v>Garcia, James</v>
      </c>
      <c r="D262" s="22" t="str">
        <f>PROPER(TRIM(Raw_Data!D262))</f>
        <v>Canada</v>
      </c>
      <c r="E262" s="22" t="s">
        <v>43</v>
      </c>
      <c r="F262" s="22" t="s">
        <v>44</v>
      </c>
      <c r="G262" s="22">
        <v>10</v>
      </c>
      <c r="H262" s="2">
        <v>70.94</v>
      </c>
      <c r="I262" s="64">
        <v>709.4</v>
      </c>
      <c r="J262" s="2">
        <v>18.64</v>
      </c>
      <c r="K262" s="2">
        <v>290.76</v>
      </c>
      <c r="L262" s="22" t="s">
        <v>26</v>
      </c>
      <c r="M262" s="22" t="s">
        <v>32</v>
      </c>
      <c r="N262" s="22" t="s">
        <v>21</v>
      </c>
    </row>
    <row r="263" spans="1:14" x14ac:dyDescent="0.25">
      <c r="A263" s="22" t="s">
        <v>411</v>
      </c>
      <c r="B263" s="63">
        <v>45296</v>
      </c>
      <c r="C263" s="22" t="str">
        <f>TRIM(Raw_Data!C263)</f>
        <v>Jones, Daniel</v>
      </c>
      <c r="D263" s="22" t="str">
        <f>PROPER(TRIM(Raw_Data!D263))</f>
        <v>Singapore</v>
      </c>
      <c r="E263" s="22" t="s">
        <v>56</v>
      </c>
      <c r="F263" s="22" t="s">
        <v>57</v>
      </c>
      <c r="G263" s="22">
        <v>17</v>
      </c>
      <c r="H263" s="2">
        <v>38.28</v>
      </c>
      <c r="I263" s="64">
        <v>650.76</v>
      </c>
      <c r="J263" s="2">
        <v>38.43</v>
      </c>
      <c r="K263" s="2">
        <v>187.33</v>
      </c>
      <c r="L263" s="22" t="s">
        <v>26</v>
      </c>
      <c r="M263" s="22" t="s">
        <v>32</v>
      </c>
      <c r="N263" s="22" t="s">
        <v>58</v>
      </c>
    </row>
    <row r="264" spans="1:14" x14ac:dyDescent="0.25">
      <c r="A264" s="22" t="s">
        <v>412</v>
      </c>
      <c r="B264" s="63">
        <v>45544</v>
      </c>
      <c r="C264" s="22" t="str">
        <f>TRIM(Raw_Data!C264)</f>
        <v>Brown, Sophia</v>
      </c>
      <c r="D264" s="22" t="str">
        <f>PROPER(TRIM(Raw_Data!D264))</f>
        <v>Usa</v>
      </c>
      <c r="E264" s="22" t="s">
        <v>36</v>
      </c>
      <c r="F264" s="22" t="s">
        <v>37</v>
      </c>
      <c r="G264" s="22">
        <v>10</v>
      </c>
      <c r="H264" s="2">
        <v>38.799999999999997</v>
      </c>
      <c r="I264" s="64">
        <v>388</v>
      </c>
      <c r="J264" s="2">
        <v>16.39</v>
      </c>
      <c r="K264" s="2">
        <v>51.61</v>
      </c>
      <c r="L264" s="22" t="s">
        <v>38</v>
      </c>
      <c r="M264" s="22" t="s">
        <v>27</v>
      </c>
      <c r="N264" s="22" t="s">
        <v>21</v>
      </c>
    </row>
    <row r="265" spans="1:14" x14ac:dyDescent="0.25">
      <c r="A265" s="22" t="s">
        <v>413</v>
      </c>
      <c r="B265" s="63">
        <v>45416</v>
      </c>
      <c r="C265" s="22" t="str">
        <f>TRIM(Raw_Data!C265)</f>
        <v>Brown, Daniel</v>
      </c>
      <c r="D265" s="22" t="str">
        <f>PROPER(TRIM(Raw_Data!D265))</f>
        <v>China</v>
      </c>
      <c r="E265" s="22" t="s">
        <v>56</v>
      </c>
      <c r="F265" s="22" t="s">
        <v>57</v>
      </c>
      <c r="G265" s="22">
        <v>3</v>
      </c>
      <c r="H265" s="2">
        <v>33.840000000000003</v>
      </c>
      <c r="I265" s="64">
        <v>101.52</v>
      </c>
      <c r="J265" s="2">
        <v>2.3199999999999998</v>
      </c>
      <c r="K265" s="2">
        <v>24.2</v>
      </c>
      <c r="L265" s="22" t="s">
        <v>38</v>
      </c>
      <c r="M265" s="22" t="s">
        <v>32</v>
      </c>
      <c r="N265" s="22" t="s">
        <v>58</v>
      </c>
    </row>
    <row r="266" spans="1:14" x14ac:dyDescent="0.25">
      <c r="A266" s="22" t="s">
        <v>414</v>
      </c>
      <c r="B266" s="63">
        <v>45382</v>
      </c>
      <c r="C266" s="22" t="str">
        <f>TRIM(Raw_Data!C266)</f>
        <v>Davis, Emily</v>
      </c>
      <c r="D266" s="22" t="str">
        <f>PROPER(TRIM(Raw_Data!D266))</f>
        <v>Germany</v>
      </c>
      <c r="E266" s="22" t="s">
        <v>60</v>
      </c>
      <c r="F266" s="22" t="s">
        <v>52</v>
      </c>
      <c r="G266" s="22">
        <v>20</v>
      </c>
      <c r="H266" s="2">
        <v>21.12</v>
      </c>
      <c r="I266" s="64">
        <v>422.4</v>
      </c>
      <c r="J266" s="2">
        <v>22.08</v>
      </c>
      <c r="K266" s="2">
        <v>90.32</v>
      </c>
      <c r="L266" s="22" t="s">
        <v>26</v>
      </c>
      <c r="M266" s="22" t="s">
        <v>32</v>
      </c>
      <c r="N266" s="22" t="s">
        <v>28</v>
      </c>
    </row>
    <row r="267" spans="1:14" x14ac:dyDescent="0.25">
      <c r="A267" s="22" t="s">
        <v>415</v>
      </c>
      <c r="B267" s="63">
        <v>45657</v>
      </c>
      <c r="C267" s="22" t="str">
        <f>TRIM(Raw_Data!C267)</f>
        <v>Davis, Sophia</v>
      </c>
      <c r="D267" s="22" t="str">
        <f>PROPER(TRIM(Raw_Data!D267))</f>
        <v>South Africa</v>
      </c>
      <c r="E267" s="22" t="s">
        <v>17</v>
      </c>
      <c r="F267" s="22" t="s">
        <v>18</v>
      </c>
      <c r="G267" s="22">
        <v>1</v>
      </c>
      <c r="H267" s="2">
        <v>58.15</v>
      </c>
      <c r="I267" s="64">
        <v>58.15</v>
      </c>
      <c r="J267" s="2">
        <v>4.2</v>
      </c>
      <c r="K267" s="2">
        <v>18.95</v>
      </c>
      <c r="L267" s="22" t="s">
        <v>26</v>
      </c>
      <c r="M267" s="22" t="s">
        <v>27</v>
      </c>
      <c r="N267" s="22" t="s">
        <v>87</v>
      </c>
    </row>
    <row r="268" spans="1:14" x14ac:dyDescent="0.25">
      <c r="A268" s="22" t="s">
        <v>416</v>
      </c>
      <c r="B268" s="63">
        <v>45360</v>
      </c>
      <c r="C268" s="22" t="str">
        <f>TRIM(Raw_Data!C268)</f>
        <v>Martinez, Michael</v>
      </c>
      <c r="D268" s="22" t="str">
        <f>PROPER(TRIM(Raw_Data!D268))</f>
        <v>Brazil</v>
      </c>
      <c r="E268" s="22" t="s">
        <v>36</v>
      </c>
      <c r="F268" s="22" t="s">
        <v>37</v>
      </c>
      <c r="G268" s="22">
        <v>32</v>
      </c>
      <c r="H268" s="2">
        <v>45.96</v>
      </c>
      <c r="I268" s="64">
        <v>1470.72</v>
      </c>
      <c r="J268" s="2">
        <v>82.77</v>
      </c>
      <c r="K268" s="2">
        <v>363.95</v>
      </c>
      <c r="L268" s="22" t="s">
        <v>19</v>
      </c>
      <c r="M268" s="22" t="s">
        <v>27</v>
      </c>
      <c r="N268" s="22" t="s">
        <v>39</v>
      </c>
    </row>
    <row r="269" spans="1:14" x14ac:dyDescent="0.25">
      <c r="A269" s="22" t="s">
        <v>417</v>
      </c>
      <c r="B269" s="63">
        <v>45777</v>
      </c>
      <c r="C269" s="22" t="str">
        <f>TRIM(Raw_Data!C269)</f>
        <v>Johnson, Emily</v>
      </c>
      <c r="D269" s="22" t="str">
        <f>PROPER(TRIM(Raw_Data!D269))</f>
        <v>Italy</v>
      </c>
      <c r="E269" s="22" t="s">
        <v>63</v>
      </c>
      <c r="F269" s="22" t="s">
        <v>37</v>
      </c>
      <c r="G269" s="22">
        <v>37</v>
      </c>
      <c r="H269" s="2">
        <v>16.82</v>
      </c>
      <c r="I269" s="64">
        <v>622.34</v>
      </c>
      <c r="J269" s="2">
        <v>32.9</v>
      </c>
      <c r="K269" s="2">
        <v>117.69</v>
      </c>
      <c r="L269" s="22" t="s">
        <v>38</v>
      </c>
      <c r="M269" s="22" t="s">
        <v>27</v>
      </c>
      <c r="N269" s="22" t="s">
        <v>28</v>
      </c>
    </row>
    <row r="270" spans="1:14" x14ac:dyDescent="0.25">
      <c r="A270" s="22" t="s">
        <v>418</v>
      </c>
      <c r="B270" s="63">
        <v>45391</v>
      </c>
      <c r="C270" s="22" t="str">
        <f>TRIM(Raw_Data!C270)</f>
        <v>Hernandez, Emma</v>
      </c>
      <c r="D270" s="22" t="str">
        <f>PROPER(TRIM(Raw_Data!D270))</f>
        <v>Italy</v>
      </c>
      <c r="E270" s="22" t="s">
        <v>36</v>
      </c>
      <c r="F270" s="22" t="s">
        <v>37</v>
      </c>
      <c r="G270" s="22">
        <v>18</v>
      </c>
      <c r="H270" s="2">
        <v>54.62</v>
      </c>
      <c r="I270" s="64">
        <v>983.16</v>
      </c>
      <c r="J270" s="2">
        <v>22.61</v>
      </c>
      <c r="K270" s="2">
        <v>384.55</v>
      </c>
      <c r="L270" s="22" t="s">
        <v>38</v>
      </c>
      <c r="M270" s="22" t="s">
        <v>27</v>
      </c>
      <c r="N270" s="22" t="s">
        <v>28</v>
      </c>
    </row>
    <row r="271" spans="1:14" x14ac:dyDescent="0.25">
      <c r="A271" s="22" t="s">
        <v>419</v>
      </c>
      <c r="B271" s="63">
        <v>45733</v>
      </c>
      <c r="C271" s="22" t="str">
        <f>TRIM(Raw_Data!C271)</f>
        <v>Miller, Laura</v>
      </c>
      <c r="D271" s="22" t="str">
        <f>PROPER(TRIM(Raw_Data!D271))</f>
        <v>Italy</v>
      </c>
      <c r="E271" s="22" t="s">
        <v>63</v>
      </c>
      <c r="F271" s="22" t="s">
        <v>37</v>
      </c>
      <c r="G271" s="22">
        <v>30</v>
      </c>
      <c r="H271" s="2">
        <v>22.83</v>
      </c>
      <c r="I271" s="64">
        <v>684.9</v>
      </c>
      <c r="J271" s="2">
        <v>32.31</v>
      </c>
      <c r="K271" s="2">
        <v>270.08999999999997</v>
      </c>
      <c r="L271" s="22" t="s">
        <v>19</v>
      </c>
      <c r="M271" s="22" t="s">
        <v>27</v>
      </c>
      <c r="N271" s="22" t="s">
        <v>28</v>
      </c>
    </row>
    <row r="272" spans="1:14" x14ac:dyDescent="0.25">
      <c r="A272" s="22" t="s">
        <v>420</v>
      </c>
      <c r="B272" s="63">
        <v>45643</v>
      </c>
      <c r="C272" s="22" t="str">
        <f>TRIM(Raw_Data!C272)</f>
        <v>Smith, Laura</v>
      </c>
      <c r="D272" s="22" t="str">
        <f>PROPER(TRIM(Raw_Data!D272))</f>
        <v>France</v>
      </c>
      <c r="E272" s="22" t="s">
        <v>36</v>
      </c>
      <c r="F272" s="22" t="s">
        <v>37</v>
      </c>
      <c r="G272" s="22">
        <v>39</v>
      </c>
      <c r="H272" s="2">
        <v>47.02</v>
      </c>
      <c r="I272" s="64">
        <v>1833.78</v>
      </c>
      <c r="J272" s="2">
        <v>50.01</v>
      </c>
      <c r="K272" s="2">
        <v>535.77</v>
      </c>
      <c r="L272" s="22" t="s">
        <v>38</v>
      </c>
      <c r="M272" s="22" t="s">
        <v>27</v>
      </c>
      <c r="N272" s="22" t="s">
        <v>28</v>
      </c>
    </row>
    <row r="273" spans="1:14" x14ac:dyDescent="0.25">
      <c r="A273" s="22" t="s">
        <v>422</v>
      </c>
      <c r="B273" s="63">
        <v>45774</v>
      </c>
      <c r="C273" s="22" t="str">
        <f>TRIM(Raw_Data!C273)</f>
        <v>Davis, David</v>
      </c>
      <c r="D273" s="22" t="str">
        <f>PROPER(TRIM(Raw_Data!D273))</f>
        <v>Usa</v>
      </c>
      <c r="E273" s="22" t="s">
        <v>83</v>
      </c>
      <c r="F273" s="22" t="s">
        <v>52</v>
      </c>
      <c r="G273" s="22">
        <v>22</v>
      </c>
      <c r="H273" s="2">
        <v>43.32</v>
      </c>
      <c r="I273" s="64">
        <v>953.04</v>
      </c>
      <c r="J273" s="2">
        <v>71.3</v>
      </c>
      <c r="K273" s="2">
        <v>265.74</v>
      </c>
      <c r="L273" s="22" t="s">
        <v>26</v>
      </c>
      <c r="M273" s="22" t="s">
        <v>32</v>
      </c>
      <c r="N273" s="22" t="s">
        <v>21</v>
      </c>
    </row>
    <row r="274" spans="1:14" x14ac:dyDescent="0.25">
      <c r="A274" s="22" t="s">
        <v>423</v>
      </c>
      <c r="B274" s="63">
        <v>45571</v>
      </c>
      <c r="C274" s="22" t="str">
        <f>TRIM(Raw_Data!C274)</f>
        <v>Garcia, John</v>
      </c>
      <c r="D274" s="22" t="str">
        <f>PROPER(TRIM(Raw_Data!D274))</f>
        <v>Japan</v>
      </c>
      <c r="E274" s="22" t="s">
        <v>51</v>
      </c>
      <c r="F274" s="22" t="s">
        <v>52</v>
      </c>
      <c r="G274" s="22">
        <v>6</v>
      </c>
      <c r="H274" s="2">
        <v>31.69</v>
      </c>
      <c r="I274" s="64">
        <v>190.14</v>
      </c>
      <c r="J274" s="2">
        <v>12.52</v>
      </c>
      <c r="K274" s="2">
        <v>42.62</v>
      </c>
      <c r="L274" s="22" t="s">
        <v>38</v>
      </c>
      <c r="M274" s="22" t="s">
        <v>27</v>
      </c>
      <c r="N274" s="22" t="s">
        <v>58</v>
      </c>
    </row>
    <row r="275" spans="1:14" x14ac:dyDescent="0.25">
      <c r="A275" s="22" t="s">
        <v>424</v>
      </c>
      <c r="B275" s="63">
        <v>45460</v>
      </c>
      <c r="C275" s="22" t="str">
        <f>TRIM(Raw_Data!C275)</f>
        <v>Davis, Emily</v>
      </c>
      <c r="D275" s="22" t="str">
        <f>PROPER(TRIM(Raw_Data!D275))</f>
        <v>Germany</v>
      </c>
      <c r="E275" s="22" t="s">
        <v>17</v>
      </c>
      <c r="F275" s="22" t="s">
        <v>18</v>
      </c>
      <c r="G275" s="22">
        <v>19</v>
      </c>
      <c r="H275" s="2">
        <v>53.28</v>
      </c>
      <c r="I275" s="64">
        <v>1012.32</v>
      </c>
      <c r="J275" s="2">
        <v>27.24</v>
      </c>
      <c r="K275" s="2">
        <v>320.08</v>
      </c>
      <c r="L275" s="22" t="s">
        <v>38</v>
      </c>
      <c r="M275" s="22" t="s">
        <v>27</v>
      </c>
      <c r="N275" s="22" t="s">
        <v>28</v>
      </c>
    </row>
    <row r="276" spans="1:14" x14ac:dyDescent="0.25">
      <c r="A276" s="22" t="s">
        <v>425</v>
      </c>
      <c r="B276" s="63">
        <v>45436</v>
      </c>
      <c r="C276" s="22" t="str">
        <f>TRIM(Raw_Data!C276)</f>
        <v>Williams, Michael</v>
      </c>
      <c r="D276" s="22" t="str">
        <f>PROPER(TRIM(Raw_Data!D276))</f>
        <v>Usa</v>
      </c>
      <c r="E276" s="22" t="s">
        <v>17</v>
      </c>
      <c r="F276" s="22" t="s">
        <v>18</v>
      </c>
      <c r="G276" s="22">
        <v>47</v>
      </c>
      <c r="H276" s="2">
        <v>47.53</v>
      </c>
      <c r="I276" s="64">
        <v>2233.91</v>
      </c>
      <c r="J276" s="2">
        <v>128.91</v>
      </c>
      <c r="K276" s="2">
        <v>460</v>
      </c>
      <c r="L276" s="22" t="s">
        <v>26</v>
      </c>
      <c r="M276" s="22" t="s">
        <v>20</v>
      </c>
      <c r="N276" s="22" t="s">
        <v>21</v>
      </c>
    </row>
    <row r="277" spans="1:14" x14ac:dyDescent="0.25">
      <c r="A277" s="22" t="s">
        <v>426</v>
      </c>
      <c r="B277" s="63">
        <v>45609</v>
      </c>
      <c r="C277" s="22" t="str">
        <f>TRIM(Raw_Data!C277)</f>
        <v>Hernandez, Michael</v>
      </c>
      <c r="D277" s="22" t="str">
        <f>PROPER(TRIM(Raw_Data!D277))</f>
        <v>Singapore</v>
      </c>
      <c r="E277" s="22" t="s">
        <v>48</v>
      </c>
      <c r="F277" s="22" t="s">
        <v>37</v>
      </c>
      <c r="G277" s="22">
        <v>12</v>
      </c>
      <c r="H277" s="2">
        <v>24.02</v>
      </c>
      <c r="I277" s="64">
        <v>288.24</v>
      </c>
      <c r="J277" s="2">
        <v>9.8000000000000007</v>
      </c>
      <c r="K277" s="2">
        <v>38.44</v>
      </c>
      <c r="L277" s="22" t="s">
        <v>19</v>
      </c>
      <c r="M277" s="22" t="s">
        <v>32</v>
      </c>
      <c r="N277" s="22" t="s">
        <v>58</v>
      </c>
    </row>
    <row r="278" spans="1:14" x14ac:dyDescent="0.25">
      <c r="A278" s="22" t="s">
        <v>427</v>
      </c>
      <c r="B278" s="63">
        <v>45663</v>
      </c>
      <c r="C278" s="22" t="str">
        <f>TRIM(Raw_Data!C278)</f>
        <v>Brown, Sophia</v>
      </c>
      <c r="D278" s="22" t="str">
        <f>PROPER(TRIM(Raw_Data!D278))</f>
        <v>Singapore</v>
      </c>
      <c r="E278" s="22" t="s">
        <v>63</v>
      </c>
      <c r="F278" s="22" t="s">
        <v>37</v>
      </c>
      <c r="G278" s="22">
        <v>32</v>
      </c>
      <c r="H278" s="2">
        <v>15.64</v>
      </c>
      <c r="I278" s="64">
        <v>500.48</v>
      </c>
      <c r="J278" s="2">
        <v>24.69</v>
      </c>
      <c r="K278" s="2">
        <v>67.790000000000006</v>
      </c>
      <c r="L278" s="22" t="s">
        <v>38</v>
      </c>
      <c r="M278" s="22" t="s">
        <v>20</v>
      </c>
      <c r="N278" s="22" t="s">
        <v>58</v>
      </c>
    </row>
    <row r="279" spans="1:14" x14ac:dyDescent="0.25">
      <c r="A279" s="22" t="s">
        <v>428</v>
      </c>
      <c r="B279" s="63">
        <v>45592</v>
      </c>
      <c r="C279" s="22" t="str">
        <f>TRIM(Raw_Data!C279)</f>
        <v>Hernandez, David</v>
      </c>
      <c r="D279" s="22" t="str">
        <f>PROPER(TRIM(Raw_Data!D279))</f>
        <v>Australia</v>
      </c>
      <c r="E279" s="22" t="s">
        <v>36</v>
      </c>
      <c r="F279" s="22" t="s">
        <v>37</v>
      </c>
      <c r="G279" s="22">
        <v>22</v>
      </c>
      <c r="H279" s="2">
        <v>42.54</v>
      </c>
      <c r="I279" s="64">
        <v>935.88</v>
      </c>
      <c r="J279" s="2">
        <v>45.37</v>
      </c>
      <c r="K279" s="2">
        <v>186.51</v>
      </c>
      <c r="L279" s="22" t="s">
        <v>19</v>
      </c>
      <c r="M279" s="22" t="s">
        <v>32</v>
      </c>
      <c r="N279" s="22" t="s">
        <v>130</v>
      </c>
    </row>
    <row r="280" spans="1:14" x14ac:dyDescent="0.25">
      <c r="A280" s="22" t="s">
        <v>429</v>
      </c>
      <c r="B280" s="63">
        <v>45447</v>
      </c>
      <c r="C280" s="22" t="str">
        <f>TRIM(Raw_Data!C280)</f>
        <v>Hernandez, Sarah</v>
      </c>
      <c r="D280" s="22" t="str">
        <f>PROPER(TRIM(Raw_Data!D280))</f>
        <v>India</v>
      </c>
      <c r="E280" s="22" t="s">
        <v>56</v>
      </c>
      <c r="F280" s="22" t="s">
        <v>57</v>
      </c>
      <c r="G280" s="22">
        <v>37</v>
      </c>
      <c r="H280" s="2">
        <v>43.55</v>
      </c>
      <c r="I280" s="64">
        <v>1611.35</v>
      </c>
      <c r="J280" s="2">
        <v>67.78</v>
      </c>
      <c r="K280" s="2">
        <v>618.57000000000005</v>
      </c>
      <c r="L280" s="22" t="s">
        <v>26</v>
      </c>
      <c r="M280" s="22" t="s">
        <v>27</v>
      </c>
      <c r="N280" s="22" t="s">
        <v>58</v>
      </c>
    </row>
    <row r="281" spans="1:14" x14ac:dyDescent="0.25">
      <c r="A281" s="22" t="s">
        <v>430</v>
      </c>
      <c r="B281" s="63">
        <v>45528</v>
      </c>
      <c r="C281" s="22" t="str">
        <f>TRIM(Raw_Data!C281)</f>
        <v>Hernandez, John</v>
      </c>
      <c r="D281" s="22" t="str">
        <f>PROPER(TRIM(Raw_Data!D281))</f>
        <v>Brazil</v>
      </c>
      <c r="E281" s="22" t="s">
        <v>60</v>
      </c>
      <c r="F281" s="22" t="s">
        <v>52</v>
      </c>
      <c r="G281" s="22">
        <v>42</v>
      </c>
      <c r="H281" s="2">
        <v>20.260000000000002</v>
      </c>
      <c r="I281" s="64">
        <v>850.92</v>
      </c>
      <c r="J281" s="2">
        <v>22.43</v>
      </c>
      <c r="K281" s="2">
        <v>177.49</v>
      </c>
      <c r="L281" s="22" t="s">
        <v>38</v>
      </c>
      <c r="M281" s="22" t="s">
        <v>32</v>
      </c>
      <c r="N281" s="22" t="s">
        <v>39</v>
      </c>
    </row>
    <row r="282" spans="1:14" x14ac:dyDescent="0.25">
      <c r="A282" s="22" t="s">
        <v>431</v>
      </c>
      <c r="B282" s="63">
        <v>45791</v>
      </c>
      <c r="C282" s="22" t="str">
        <f>TRIM(Raw_Data!C282)</f>
        <v>Davis, James</v>
      </c>
      <c r="D282" s="22" t="str">
        <f>PROPER(TRIM(Raw_Data!D282))</f>
        <v>Canada</v>
      </c>
      <c r="E282" s="22" t="s">
        <v>25</v>
      </c>
      <c r="F282" s="22" t="s">
        <v>18</v>
      </c>
      <c r="G282" s="22">
        <v>43</v>
      </c>
      <c r="H282" s="2">
        <v>24.08</v>
      </c>
      <c r="I282" s="64">
        <v>1035.44</v>
      </c>
      <c r="J282" s="2">
        <v>35.07</v>
      </c>
      <c r="K282" s="2">
        <v>226.37</v>
      </c>
      <c r="L282" s="22" t="s">
        <v>26</v>
      </c>
      <c r="M282" s="22" t="s">
        <v>32</v>
      </c>
      <c r="N282" s="22" t="s">
        <v>21</v>
      </c>
    </row>
    <row r="283" spans="1:14" x14ac:dyDescent="0.25">
      <c r="A283" s="22" t="s">
        <v>432</v>
      </c>
      <c r="B283" s="63">
        <v>45472</v>
      </c>
      <c r="C283" s="22" t="str">
        <f>TRIM(Raw_Data!C283)</f>
        <v>Johnson, Emily</v>
      </c>
      <c r="D283" s="22" t="str">
        <f>PROPER(TRIM(Raw_Data!D283))</f>
        <v>Germany</v>
      </c>
      <c r="E283" s="22" t="s">
        <v>43</v>
      </c>
      <c r="F283" s="22" t="s">
        <v>44</v>
      </c>
      <c r="G283" s="22">
        <v>14</v>
      </c>
      <c r="H283" s="2">
        <v>69.010000000000005</v>
      </c>
      <c r="I283" s="64">
        <v>966.14</v>
      </c>
      <c r="J283" s="2">
        <v>32.67</v>
      </c>
      <c r="K283" s="2">
        <v>373.47</v>
      </c>
      <c r="L283" s="22" t="s">
        <v>26</v>
      </c>
      <c r="M283" s="22" t="s">
        <v>20</v>
      </c>
      <c r="N283" s="22" t="s">
        <v>28</v>
      </c>
    </row>
    <row r="284" spans="1:14" x14ac:dyDescent="0.25">
      <c r="A284" s="22" t="s">
        <v>433</v>
      </c>
      <c r="B284" s="63">
        <v>45435</v>
      </c>
      <c r="C284" s="22" t="str">
        <f>TRIM(Raw_Data!C284)</f>
        <v>Miller, David</v>
      </c>
      <c r="D284" s="22" t="str">
        <f>PROPER(TRIM(Raw_Data!D284))</f>
        <v>Australia</v>
      </c>
      <c r="E284" s="22" t="s">
        <v>48</v>
      </c>
      <c r="F284" s="22" t="s">
        <v>37</v>
      </c>
      <c r="G284" s="22">
        <v>29</v>
      </c>
      <c r="H284" s="2">
        <v>28.29</v>
      </c>
      <c r="I284" s="64">
        <v>820.41</v>
      </c>
      <c r="J284" s="2">
        <v>63.15</v>
      </c>
      <c r="K284" s="2">
        <v>177.26</v>
      </c>
      <c r="L284" s="22" t="s">
        <v>38</v>
      </c>
      <c r="M284" s="22" t="s">
        <v>32</v>
      </c>
      <c r="N284" s="22" t="s">
        <v>130</v>
      </c>
    </row>
    <row r="285" spans="1:14" x14ac:dyDescent="0.25">
      <c r="A285" s="22" t="s">
        <v>434</v>
      </c>
      <c r="B285" s="63">
        <v>45321</v>
      </c>
      <c r="C285" s="22" t="str">
        <f>TRIM(Raw_Data!C285)</f>
        <v>Johnson, David</v>
      </c>
      <c r="D285" s="22" t="str">
        <f>PROPER(TRIM(Raw_Data!D285))</f>
        <v>Mexico</v>
      </c>
      <c r="E285" s="22" t="s">
        <v>60</v>
      </c>
      <c r="F285" s="22" t="s">
        <v>52</v>
      </c>
      <c r="G285" s="22">
        <v>29</v>
      </c>
      <c r="H285" s="2">
        <v>26.51</v>
      </c>
      <c r="I285" s="64">
        <v>768.79</v>
      </c>
      <c r="J285" s="2">
        <v>15.66</v>
      </c>
      <c r="K285" s="2">
        <v>303.63</v>
      </c>
      <c r="L285" s="22" t="s">
        <v>26</v>
      </c>
      <c r="M285" s="22" t="s">
        <v>20</v>
      </c>
      <c r="N285" s="22" t="s">
        <v>21</v>
      </c>
    </row>
    <row r="286" spans="1:14" x14ac:dyDescent="0.25">
      <c r="A286" s="22" t="s">
        <v>435</v>
      </c>
      <c r="B286" s="63">
        <v>45656</v>
      </c>
      <c r="C286" s="22" t="str">
        <f>TRIM(Raw_Data!C286)</f>
        <v>Martinez, Sarah</v>
      </c>
      <c r="D286" s="22" t="str">
        <f>PROPER(TRIM(Raw_Data!D286))</f>
        <v>Canada</v>
      </c>
      <c r="E286" s="22" t="s">
        <v>17</v>
      </c>
      <c r="F286" s="22" t="s">
        <v>18</v>
      </c>
      <c r="G286" s="22">
        <v>11</v>
      </c>
      <c r="H286" s="2">
        <v>58.07</v>
      </c>
      <c r="I286" s="64">
        <v>638.77</v>
      </c>
      <c r="J286" s="2">
        <v>43.89</v>
      </c>
      <c r="K286" s="2">
        <v>209.88</v>
      </c>
      <c r="L286" s="22" t="s">
        <v>19</v>
      </c>
      <c r="M286" s="22" t="s">
        <v>27</v>
      </c>
      <c r="N286" s="22" t="s">
        <v>21</v>
      </c>
    </row>
    <row r="287" spans="1:14" x14ac:dyDescent="0.25">
      <c r="A287" s="22" t="s">
        <v>436</v>
      </c>
      <c r="B287" s="63">
        <v>45782</v>
      </c>
      <c r="C287" s="22" t="str">
        <f>TRIM(Raw_Data!C287)</f>
        <v>Smith, Sophia</v>
      </c>
      <c r="D287" s="22" t="str">
        <f>PROPER(TRIM(Raw_Data!D287))</f>
        <v>Uk</v>
      </c>
      <c r="E287" s="22" t="s">
        <v>36</v>
      </c>
      <c r="F287" s="22" t="s">
        <v>37</v>
      </c>
      <c r="G287" s="22">
        <v>3</v>
      </c>
      <c r="H287" s="2">
        <v>48.76</v>
      </c>
      <c r="I287" s="64">
        <v>146.28</v>
      </c>
      <c r="J287" s="2">
        <v>10.45</v>
      </c>
      <c r="K287" s="2">
        <v>39.83</v>
      </c>
      <c r="L287" s="22" t="s">
        <v>38</v>
      </c>
      <c r="M287" s="22" t="s">
        <v>27</v>
      </c>
      <c r="N287" s="22" t="s">
        <v>28</v>
      </c>
    </row>
    <row r="288" spans="1:14" x14ac:dyDescent="0.25">
      <c r="A288" s="22" t="s">
        <v>437</v>
      </c>
      <c r="B288" s="63">
        <v>45415</v>
      </c>
      <c r="C288" s="22" t="str">
        <f>TRIM(Raw_Data!C288)</f>
        <v>Williams, Emily</v>
      </c>
      <c r="D288" s="22" t="str">
        <f>PROPER(TRIM(Raw_Data!D288))</f>
        <v>India</v>
      </c>
      <c r="E288" s="22" t="s">
        <v>48</v>
      </c>
      <c r="F288" s="22" t="s">
        <v>37</v>
      </c>
      <c r="G288" s="22">
        <v>49</v>
      </c>
      <c r="H288" s="2">
        <v>30.46</v>
      </c>
      <c r="I288" s="64">
        <v>1492.54</v>
      </c>
      <c r="J288" s="2">
        <v>51.82</v>
      </c>
      <c r="K288" s="2">
        <v>460.72</v>
      </c>
      <c r="L288" s="22" t="s">
        <v>26</v>
      </c>
      <c r="M288" s="22" t="s">
        <v>20</v>
      </c>
      <c r="N288" s="22" t="s">
        <v>58</v>
      </c>
    </row>
    <row r="289" spans="1:14" x14ac:dyDescent="0.25">
      <c r="A289" s="22" t="s">
        <v>438</v>
      </c>
      <c r="B289" s="63">
        <v>45564</v>
      </c>
      <c r="C289" s="22" t="str">
        <f>TRIM(Raw_Data!C289)</f>
        <v>Davis, John</v>
      </c>
      <c r="D289" s="22" t="str">
        <f>PROPER(TRIM(Raw_Data!D289))</f>
        <v>China</v>
      </c>
      <c r="E289" s="22" t="s">
        <v>83</v>
      </c>
      <c r="F289" s="22" t="s">
        <v>52</v>
      </c>
      <c r="G289" s="22">
        <v>25</v>
      </c>
      <c r="H289" s="2">
        <v>35.21</v>
      </c>
      <c r="I289" s="64">
        <v>880.25</v>
      </c>
      <c r="J289" s="2">
        <v>39.799999999999997</v>
      </c>
      <c r="K289" s="2">
        <v>140.44999999999999</v>
      </c>
      <c r="L289" s="22" t="s">
        <v>38</v>
      </c>
      <c r="M289" s="22" t="s">
        <v>27</v>
      </c>
      <c r="N289" s="22" t="s">
        <v>58</v>
      </c>
    </row>
    <row r="290" spans="1:14" x14ac:dyDescent="0.25">
      <c r="A290" s="22" t="s">
        <v>439</v>
      </c>
      <c r="B290" s="63">
        <v>45316</v>
      </c>
      <c r="C290" s="22" t="str">
        <f>TRIM(Raw_Data!C290)</f>
        <v>Johnson, David</v>
      </c>
      <c r="D290" s="22" t="str">
        <f>PROPER(TRIM(Raw_Data!D290))</f>
        <v>Usa</v>
      </c>
      <c r="E290" s="22" t="s">
        <v>83</v>
      </c>
      <c r="F290" s="22" t="s">
        <v>52</v>
      </c>
      <c r="G290" s="22">
        <v>37</v>
      </c>
      <c r="H290" s="2">
        <v>44.82</v>
      </c>
      <c r="I290" s="64">
        <v>1658.34</v>
      </c>
      <c r="J290" s="2">
        <v>65.75</v>
      </c>
      <c r="K290" s="2">
        <v>556.59</v>
      </c>
      <c r="L290" s="22" t="s">
        <v>26</v>
      </c>
      <c r="M290" s="22" t="s">
        <v>27</v>
      </c>
      <c r="N290" s="22" t="s">
        <v>21</v>
      </c>
    </row>
    <row r="291" spans="1:14" x14ac:dyDescent="0.25">
      <c r="A291" s="22" t="s">
        <v>440</v>
      </c>
      <c r="B291" s="63">
        <v>45459</v>
      </c>
      <c r="C291" s="22" t="str">
        <f>TRIM(Raw_Data!C291)</f>
        <v>Miller, James</v>
      </c>
      <c r="D291" s="22" t="str">
        <f>PROPER(TRIM(Raw_Data!D291))</f>
        <v>Germany</v>
      </c>
      <c r="E291" s="22" t="s">
        <v>60</v>
      </c>
      <c r="F291" s="22" t="s">
        <v>52</v>
      </c>
      <c r="G291" s="22">
        <v>11</v>
      </c>
      <c r="H291" s="2">
        <v>18.75</v>
      </c>
      <c r="I291" s="64">
        <v>206.25</v>
      </c>
      <c r="J291" s="2">
        <v>11.67</v>
      </c>
      <c r="K291" s="2">
        <v>24.08</v>
      </c>
      <c r="L291" s="22" t="s">
        <v>19</v>
      </c>
      <c r="M291" s="22" t="s">
        <v>20</v>
      </c>
      <c r="N291" s="22" t="s">
        <v>28</v>
      </c>
    </row>
    <row r="292" spans="1:14" x14ac:dyDescent="0.25">
      <c r="A292" s="22" t="s">
        <v>441</v>
      </c>
      <c r="B292" s="63">
        <v>45335</v>
      </c>
      <c r="C292" s="22" t="str">
        <f>TRIM(Raw_Data!C292)</f>
        <v>Johnson, David</v>
      </c>
      <c r="D292" s="22" t="str">
        <f>PROPER(TRIM(Raw_Data!D292))</f>
        <v>Brazil</v>
      </c>
      <c r="E292" s="22" t="s">
        <v>48</v>
      </c>
      <c r="F292" s="22" t="s">
        <v>37</v>
      </c>
      <c r="G292" s="22">
        <v>37</v>
      </c>
      <c r="H292" s="2">
        <v>31.66</v>
      </c>
      <c r="I292" s="64">
        <v>1171.42</v>
      </c>
      <c r="J292" s="2">
        <v>58.95</v>
      </c>
      <c r="K292" s="2">
        <v>372.47</v>
      </c>
      <c r="L292" s="22" t="s">
        <v>38</v>
      </c>
      <c r="M292" s="22" t="s">
        <v>20</v>
      </c>
      <c r="N292" s="22" t="s">
        <v>39</v>
      </c>
    </row>
    <row r="293" spans="1:14" x14ac:dyDescent="0.25">
      <c r="A293" s="22" t="s">
        <v>442</v>
      </c>
      <c r="B293" s="63">
        <v>45494</v>
      </c>
      <c r="C293" s="22" t="str">
        <f>TRIM(Raw_Data!C293)</f>
        <v>Garcia, John</v>
      </c>
      <c r="D293" s="22" t="str">
        <f>PROPER(TRIM(Raw_Data!D293))</f>
        <v>Uk</v>
      </c>
      <c r="E293" s="22" t="s">
        <v>48</v>
      </c>
      <c r="F293" s="22" t="s">
        <v>37</v>
      </c>
      <c r="G293" s="22">
        <v>17</v>
      </c>
      <c r="H293" s="2">
        <v>32.74</v>
      </c>
      <c r="I293" s="64">
        <v>556.58000000000004</v>
      </c>
      <c r="J293" s="2">
        <v>14.68</v>
      </c>
      <c r="K293" s="2">
        <v>201.9</v>
      </c>
      <c r="L293" s="22" t="s">
        <v>26</v>
      </c>
      <c r="M293" s="22" t="s">
        <v>27</v>
      </c>
      <c r="N293" s="22" t="s">
        <v>28</v>
      </c>
    </row>
    <row r="294" spans="1:14" x14ac:dyDescent="0.25">
      <c r="A294" s="22" t="s">
        <v>443</v>
      </c>
      <c r="B294" s="63">
        <v>45401</v>
      </c>
      <c r="C294" s="22" t="str">
        <f>TRIM(Raw_Data!C294)</f>
        <v>Davis, James</v>
      </c>
      <c r="D294" s="22" t="str">
        <f>PROPER(TRIM(Raw_Data!D294))</f>
        <v>Usa</v>
      </c>
      <c r="E294" s="22" t="s">
        <v>83</v>
      </c>
      <c r="F294" s="22" t="s">
        <v>52</v>
      </c>
      <c r="G294" s="22">
        <v>7</v>
      </c>
      <c r="H294" s="2">
        <v>46.64</v>
      </c>
      <c r="I294" s="64">
        <v>326.48</v>
      </c>
      <c r="J294" s="2">
        <v>25.19</v>
      </c>
      <c r="K294" s="2">
        <v>105.29</v>
      </c>
      <c r="L294" s="22" t="s">
        <v>26</v>
      </c>
      <c r="M294" s="22" t="s">
        <v>32</v>
      </c>
      <c r="N294" s="22" t="s">
        <v>21</v>
      </c>
    </row>
    <row r="295" spans="1:14" x14ac:dyDescent="0.25">
      <c r="A295" s="22" t="s">
        <v>444</v>
      </c>
      <c r="B295" s="63">
        <v>45698</v>
      </c>
      <c r="C295" s="22" t="str">
        <f>TRIM(Raw_Data!C295)</f>
        <v>Smith, Daniel</v>
      </c>
      <c r="D295" s="22" t="str">
        <f>PROPER(TRIM(Raw_Data!D295))</f>
        <v>Uae</v>
      </c>
      <c r="E295" s="22" t="s">
        <v>25</v>
      </c>
      <c r="F295" s="22" t="s">
        <v>18</v>
      </c>
      <c r="G295" s="22">
        <v>16</v>
      </c>
      <c r="H295" s="2">
        <v>24.77</v>
      </c>
      <c r="I295" s="64">
        <v>396.32</v>
      </c>
      <c r="J295" s="2">
        <v>15.6</v>
      </c>
      <c r="K295" s="2">
        <v>92.72</v>
      </c>
      <c r="L295" s="22" t="s">
        <v>19</v>
      </c>
      <c r="M295" s="22" t="s">
        <v>32</v>
      </c>
      <c r="N295" s="22" t="s">
        <v>58</v>
      </c>
    </row>
    <row r="296" spans="1:14" x14ac:dyDescent="0.25">
      <c r="A296" s="22" t="s">
        <v>445</v>
      </c>
      <c r="B296" s="63">
        <v>45763</v>
      </c>
      <c r="C296" s="22" t="str">
        <f>TRIM(Raw_Data!C296)</f>
        <v>Martinez, Laura</v>
      </c>
      <c r="D296" s="22" t="str">
        <f>PROPER(TRIM(Raw_Data!D296))</f>
        <v>Mexico</v>
      </c>
      <c r="E296" s="22" t="s">
        <v>43</v>
      </c>
      <c r="F296" s="22" t="s">
        <v>44</v>
      </c>
      <c r="G296" s="22">
        <v>39</v>
      </c>
      <c r="H296" s="2">
        <v>56.5</v>
      </c>
      <c r="I296" s="64">
        <v>2203.5</v>
      </c>
      <c r="J296" s="2">
        <v>141.58000000000001</v>
      </c>
      <c r="K296" s="2">
        <v>501.92</v>
      </c>
      <c r="L296" s="22" t="s">
        <v>38</v>
      </c>
      <c r="M296" s="22" t="s">
        <v>20</v>
      </c>
      <c r="N296" s="22" t="s">
        <v>21</v>
      </c>
    </row>
    <row r="297" spans="1:14" x14ac:dyDescent="0.25">
      <c r="A297" s="22" t="s">
        <v>446</v>
      </c>
      <c r="B297" s="63">
        <v>45562</v>
      </c>
      <c r="C297" s="22" t="str">
        <f>TRIM(Raw_Data!C297)</f>
        <v>Brown, Sophia</v>
      </c>
      <c r="D297" s="22" t="str">
        <f>PROPER(TRIM(Raw_Data!D297))</f>
        <v>India</v>
      </c>
      <c r="E297" s="22" t="s">
        <v>60</v>
      </c>
      <c r="F297" s="22" t="s">
        <v>52</v>
      </c>
      <c r="G297" s="22">
        <v>1</v>
      </c>
      <c r="H297" s="2">
        <v>24.01</v>
      </c>
      <c r="I297" s="64">
        <v>24.01</v>
      </c>
      <c r="J297" s="2">
        <v>1.58</v>
      </c>
      <c r="K297" s="2">
        <v>6.93</v>
      </c>
      <c r="L297" s="22" t="s">
        <v>19</v>
      </c>
      <c r="M297" s="22" t="s">
        <v>20</v>
      </c>
      <c r="N297" s="22" t="s">
        <v>58</v>
      </c>
    </row>
    <row r="298" spans="1:14" x14ac:dyDescent="0.25">
      <c r="A298" s="22" t="s">
        <v>447</v>
      </c>
      <c r="B298" s="63">
        <v>45638</v>
      </c>
      <c r="C298" s="22" t="str">
        <f>TRIM(Raw_Data!C298)</f>
        <v>Jones, Laura</v>
      </c>
      <c r="D298" s="22" t="str">
        <f>PROPER(TRIM(Raw_Data!D298))</f>
        <v>India</v>
      </c>
      <c r="E298" s="22" t="s">
        <v>56</v>
      </c>
      <c r="F298" s="22" t="s">
        <v>57</v>
      </c>
      <c r="G298" s="22">
        <v>45</v>
      </c>
      <c r="H298" s="2">
        <v>35.99</v>
      </c>
      <c r="I298" s="64">
        <v>1619.55</v>
      </c>
      <c r="J298" s="2">
        <v>49.95</v>
      </c>
      <c r="K298" s="2">
        <v>444.6</v>
      </c>
      <c r="L298" s="22" t="s">
        <v>19</v>
      </c>
      <c r="M298" s="22" t="s">
        <v>27</v>
      </c>
      <c r="N298" s="22" t="s">
        <v>58</v>
      </c>
    </row>
    <row r="299" spans="1:14" x14ac:dyDescent="0.25">
      <c r="A299" s="22" t="s">
        <v>448</v>
      </c>
      <c r="B299" s="63">
        <v>45716</v>
      </c>
      <c r="C299" s="22" t="str">
        <f>TRIM(Raw_Data!C299)</f>
        <v>Brown, Daniel</v>
      </c>
      <c r="D299" s="22" t="str">
        <f>PROPER(TRIM(Raw_Data!D299))</f>
        <v>Singapore</v>
      </c>
      <c r="E299" s="22" t="s">
        <v>48</v>
      </c>
      <c r="F299" s="22" t="s">
        <v>37</v>
      </c>
      <c r="G299" s="22">
        <v>5</v>
      </c>
      <c r="H299" s="2">
        <v>25.45</v>
      </c>
      <c r="I299" s="64">
        <v>127.25</v>
      </c>
      <c r="J299" s="2">
        <v>7.22</v>
      </c>
      <c r="K299" s="2">
        <v>20.03</v>
      </c>
      <c r="L299" s="22" t="s">
        <v>38</v>
      </c>
      <c r="M299" s="22" t="s">
        <v>32</v>
      </c>
      <c r="N299" s="22" t="s">
        <v>58</v>
      </c>
    </row>
    <row r="300" spans="1:14" x14ac:dyDescent="0.25">
      <c r="A300" s="22" t="s">
        <v>449</v>
      </c>
      <c r="B300" s="63">
        <v>45682</v>
      </c>
      <c r="C300" s="22" t="str">
        <f>TRIM(Raw_Data!C300)</f>
        <v>Jones, Laura</v>
      </c>
      <c r="D300" s="22" t="str">
        <f>PROPER(TRIM(Raw_Data!D300))</f>
        <v>Japan</v>
      </c>
      <c r="E300" s="22" t="s">
        <v>60</v>
      </c>
      <c r="F300" s="22" t="s">
        <v>52</v>
      </c>
      <c r="G300" s="22">
        <v>24</v>
      </c>
      <c r="H300" s="2">
        <v>19.53</v>
      </c>
      <c r="I300" s="64">
        <v>468.72</v>
      </c>
      <c r="J300" s="2">
        <v>14.12</v>
      </c>
      <c r="K300" s="2">
        <v>82.6</v>
      </c>
      <c r="L300" s="22" t="s">
        <v>19</v>
      </c>
      <c r="M300" s="22" t="s">
        <v>20</v>
      </c>
      <c r="N300" s="22" t="s">
        <v>58</v>
      </c>
    </row>
    <row r="301" spans="1:14" x14ac:dyDescent="0.25">
      <c r="A301" s="22" t="s">
        <v>450</v>
      </c>
      <c r="B301" s="63">
        <v>45687</v>
      </c>
      <c r="C301" s="22" t="str">
        <f>TRIM(Raw_Data!C301)</f>
        <v>Brown, Laura</v>
      </c>
      <c r="D301" s="22" t="str">
        <f>PROPER(TRIM(Raw_Data!D301))</f>
        <v>Canada</v>
      </c>
      <c r="E301" s="22" t="s">
        <v>63</v>
      </c>
      <c r="F301" s="22" t="s">
        <v>37</v>
      </c>
      <c r="G301" s="22">
        <v>28</v>
      </c>
      <c r="H301" s="2">
        <v>22.33</v>
      </c>
      <c r="I301" s="64">
        <v>625.24</v>
      </c>
      <c r="J301" s="2">
        <v>44.24</v>
      </c>
      <c r="K301" s="2">
        <v>224</v>
      </c>
      <c r="L301" s="22" t="s">
        <v>19</v>
      </c>
      <c r="M301" s="22" t="s">
        <v>20</v>
      </c>
      <c r="N301" s="22" t="s">
        <v>21</v>
      </c>
    </row>
    <row r="302" spans="1:14" x14ac:dyDescent="0.25">
      <c r="A302" s="22" t="s">
        <v>451</v>
      </c>
      <c r="B302" s="63">
        <v>45612</v>
      </c>
      <c r="C302" s="22" t="str">
        <f>TRIM(Raw_Data!C302)</f>
        <v>Johnson, Sarah</v>
      </c>
      <c r="D302" s="22" t="str">
        <f>PROPER(TRIM(Raw_Data!D302))</f>
        <v>Italy</v>
      </c>
      <c r="E302" s="22" t="s">
        <v>36</v>
      </c>
      <c r="F302" s="22" t="s">
        <v>37</v>
      </c>
      <c r="G302" s="22">
        <v>49</v>
      </c>
      <c r="H302" s="2">
        <v>39.31</v>
      </c>
      <c r="I302" s="64">
        <v>1926.19</v>
      </c>
      <c r="J302" s="2">
        <v>69.7</v>
      </c>
      <c r="K302" s="2">
        <v>288.49</v>
      </c>
      <c r="L302" s="22" t="s">
        <v>26</v>
      </c>
      <c r="M302" s="22" t="s">
        <v>20</v>
      </c>
      <c r="N302" s="22" t="s">
        <v>28</v>
      </c>
    </row>
    <row r="303" spans="1:14" x14ac:dyDescent="0.25">
      <c r="A303" s="22" t="s">
        <v>452</v>
      </c>
      <c r="B303" s="63">
        <v>45485</v>
      </c>
      <c r="C303" s="22" t="str">
        <f>TRIM(Raw_Data!C303)</f>
        <v>Davis, Michael</v>
      </c>
      <c r="D303" s="22" t="str">
        <f>PROPER(TRIM(Raw_Data!D303))</f>
        <v>India</v>
      </c>
      <c r="E303" s="22" t="s">
        <v>60</v>
      </c>
      <c r="F303" s="22" t="s">
        <v>52</v>
      </c>
      <c r="G303" s="22">
        <v>6</v>
      </c>
      <c r="H303" s="2">
        <v>22.95</v>
      </c>
      <c r="I303" s="64">
        <v>137.69999999999999</v>
      </c>
      <c r="J303" s="2">
        <v>5.63</v>
      </c>
      <c r="K303" s="2">
        <v>39.07</v>
      </c>
      <c r="L303" s="22" t="s">
        <v>26</v>
      </c>
      <c r="M303" s="22" t="s">
        <v>27</v>
      </c>
      <c r="N303" s="22" t="s">
        <v>58</v>
      </c>
    </row>
    <row r="304" spans="1:14" x14ac:dyDescent="0.25">
      <c r="A304" s="22" t="s">
        <v>453</v>
      </c>
      <c r="B304" s="63">
        <v>45457</v>
      </c>
      <c r="C304" s="22" t="str">
        <f>TRIM(Raw_Data!C304)</f>
        <v>Williams, Michael</v>
      </c>
      <c r="D304" s="22" t="str">
        <f>PROPER(TRIM(Raw_Data!D304))</f>
        <v>Mexico</v>
      </c>
      <c r="E304" s="22" t="s">
        <v>48</v>
      </c>
      <c r="F304" s="22" t="s">
        <v>37</v>
      </c>
      <c r="G304" s="22">
        <v>35</v>
      </c>
      <c r="H304" s="2">
        <v>27.72</v>
      </c>
      <c r="I304" s="64">
        <v>970.2</v>
      </c>
      <c r="J304" s="2">
        <v>61.74</v>
      </c>
      <c r="K304" s="2">
        <v>208.46</v>
      </c>
      <c r="L304" s="22" t="s">
        <v>19</v>
      </c>
      <c r="M304" s="22" t="s">
        <v>32</v>
      </c>
      <c r="N304" s="22" t="s">
        <v>21</v>
      </c>
    </row>
    <row r="305" spans="1:14" x14ac:dyDescent="0.25">
      <c r="A305" s="22" t="s">
        <v>454</v>
      </c>
      <c r="B305" s="63">
        <v>45579</v>
      </c>
      <c r="C305" s="22" t="str">
        <f>TRIM(Raw_Data!C305)</f>
        <v>Johnson, Daniel</v>
      </c>
      <c r="D305" s="22" t="str">
        <f>PROPER(TRIM(Raw_Data!D305))</f>
        <v>China</v>
      </c>
      <c r="E305" s="22" t="s">
        <v>43</v>
      </c>
      <c r="F305" s="22" t="s">
        <v>44</v>
      </c>
      <c r="G305" s="22">
        <v>34</v>
      </c>
      <c r="H305" s="2">
        <v>64.75</v>
      </c>
      <c r="I305" s="64">
        <v>2201.5</v>
      </c>
      <c r="J305" s="2">
        <v>68.05</v>
      </c>
      <c r="K305" s="2">
        <v>773.45</v>
      </c>
      <c r="L305" s="22" t="s">
        <v>38</v>
      </c>
      <c r="M305" s="22" t="s">
        <v>32</v>
      </c>
      <c r="N305" s="22" t="s">
        <v>58</v>
      </c>
    </row>
    <row r="306" spans="1:14" x14ac:dyDescent="0.25">
      <c r="A306" s="22" t="s">
        <v>455</v>
      </c>
      <c r="B306" s="63">
        <v>45768</v>
      </c>
      <c r="C306" s="22" t="str">
        <f>TRIM(Raw_Data!C306)</f>
        <v>Smith, Michael</v>
      </c>
      <c r="D306" s="22" t="str">
        <f>PROPER(TRIM(Raw_Data!D306))</f>
        <v>Australia</v>
      </c>
      <c r="E306" s="22" t="s">
        <v>48</v>
      </c>
      <c r="F306" s="22" t="s">
        <v>37</v>
      </c>
      <c r="G306" s="22">
        <v>49</v>
      </c>
      <c r="H306" s="2">
        <v>26.02</v>
      </c>
      <c r="I306" s="64">
        <v>1274.98</v>
      </c>
      <c r="J306" s="2">
        <v>61.84</v>
      </c>
      <c r="K306" s="2">
        <v>233.14</v>
      </c>
      <c r="L306" s="22" t="s">
        <v>38</v>
      </c>
      <c r="M306" s="22" t="s">
        <v>27</v>
      </c>
      <c r="N306" s="22" t="s">
        <v>130</v>
      </c>
    </row>
    <row r="307" spans="1:14" x14ac:dyDescent="0.25">
      <c r="A307" s="22" t="s">
        <v>456</v>
      </c>
      <c r="B307" s="63">
        <v>45647</v>
      </c>
      <c r="C307" s="22" t="str">
        <f>TRIM(Raw_Data!C307)</f>
        <v>Martinez, John</v>
      </c>
      <c r="D307" s="22" t="str">
        <f>PROPER(TRIM(Raw_Data!D307))</f>
        <v>Brazil</v>
      </c>
      <c r="E307" s="22" t="s">
        <v>56</v>
      </c>
      <c r="F307" s="22" t="s">
        <v>57</v>
      </c>
      <c r="G307" s="22">
        <v>1</v>
      </c>
      <c r="H307" s="2">
        <v>32.979999999999997</v>
      </c>
      <c r="I307" s="64">
        <v>32.979999999999997</v>
      </c>
      <c r="J307" s="2">
        <v>1.89</v>
      </c>
      <c r="K307" s="2">
        <v>6.09</v>
      </c>
      <c r="L307" s="22" t="s">
        <v>38</v>
      </c>
      <c r="M307" s="22" t="s">
        <v>27</v>
      </c>
      <c r="N307" s="22" t="s">
        <v>39</v>
      </c>
    </row>
    <row r="308" spans="1:14" x14ac:dyDescent="0.25">
      <c r="A308" s="22" t="s">
        <v>457</v>
      </c>
      <c r="B308" s="63">
        <v>45598</v>
      </c>
      <c r="C308" s="22" t="str">
        <f>TRIM(Raw_Data!C308)</f>
        <v>Hernandez, Sarah</v>
      </c>
      <c r="D308" s="22" t="str">
        <f>PROPER(TRIM(Raw_Data!D308))</f>
        <v>Brazil</v>
      </c>
      <c r="E308" s="22" t="s">
        <v>63</v>
      </c>
      <c r="F308" s="22" t="s">
        <v>37</v>
      </c>
      <c r="G308" s="22">
        <v>18</v>
      </c>
      <c r="H308" s="2">
        <v>20.09</v>
      </c>
      <c r="I308" s="64">
        <v>361.62</v>
      </c>
      <c r="J308" s="2">
        <v>8.3800000000000008</v>
      </c>
      <c r="K308" s="2">
        <v>123.74</v>
      </c>
      <c r="L308" s="22" t="s">
        <v>19</v>
      </c>
      <c r="M308" s="22" t="s">
        <v>20</v>
      </c>
      <c r="N308" s="22" t="s">
        <v>39</v>
      </c>
    </row>
    <row r="309" spans="1:14" x14ac:dyDescent="0.25">
      <c r="A309" s="22" t="s">
        <v>458</v>
      </c>
      <c r="B309" s="63">
        <v>45447</v>
      </c>
      <c r="C309" s="22" t="str">
        <f>TRIM(Raw_Data!C309)</f>
        <v>Brown, Daniel</v>
      </c>
      <c r="D309" s="22" t="str">
        <f>PROPER(TRIM(Raw_Data!D309))</f>
        <v>India</v>
      </c>
      <c r="E309" s="22" t="s">
        <v>17</v>
      </c>
      <c r="F309" s="22" t="s">
        <v>18</v>
      </c>
      <c r="G309" s="22">
        <v>39</v>
      </c>
      <c r="H309" s="2">
        <v>49.59</v>
      </c>
      <c r="I309" s="64">
        <v>1934.01</v>
      </c>
      <c r="J309" s="2">
        <v>62.79</v>
      </c>
      <c r="K309" s="2">
        <v>506.22</v>
      </c>
      <c r="L309" s="22" t="s">
        <v>26</v>
      </c>
      <c r="M309" s="22" t="s">
        <v>27</v>
      </c>
      <c r="N309" s="22" t="s">
        <v>58</v>
      </c>
    </row>
    <row r="310" spans="1:14" x14ac:dyDescent="0.25">
      <c r="A310" s="22" t="s">
        <v>459</v>
      </c>
      <c r="B310" s="63">
        <v>45764</v>
      </c>
      <c r="C310" s="22" t="str">
        <f>TRIM(Raw_Data!C310)</f>
        <v>Brown, John</v>
      </c>
      <c r="D310" s="22" t="str">
        <f>PROPER(TRIM(Raw_Data!D310))</f>
        <v>Canada</v>
      </c>
      <c r="E310" s="22" t="s">
        <v>36</v>
      </c>
      <c r="F310" s="22" t="s">
        <v>37</v>
      </c>
      <c r="G310" s="22">
        <v>6</v>
      </c>
      <c r="H310" s="2">
        <v>41.99</v>
      </c>
      <c r="I310" s="64">
        <v>251.94</v>
      </c>
      <c r="J310" s="2">
        <v>10.76</v>
      </c>
      <c r="K310" s="2">
        <v>49.18</v>
      </c>
      <c r="L310" s="22" t="s">
        <v>19</v>
      </c>
      <c r="M310" s="22" t="s">
        <v>20</v>
      </c>
      <c r="N310" s="22" t="s">
        <v>21</v>
      </c>
    </row>
    <row r="311" spans="1:14" x14ac:dyDescent="0.25">
      <c r="A311" s="22" t="s">
        <v>460</v>
      </c>
      <c r="B311" s="63">
        <v>45425</v>
      </c>
      <c r="C311" s="22" t="str">
        <f>TRIM(Raw_Data!C311)</f>
        <v>Davis, James</v>
      </c>
      <c r="D311" s="22" t="str">
        <f>PROPER(TRIM(Raw_Data!D311))</f>
        <v>Singapore</v>
      </c>
      <c r="E311" s="22" t="s">
        <v>17</v>
      </c>
      <c r="F311" s="22" t="s">
        <v>18</v>
      </c>
      <c r="G311" s="22">
        <v>12</v>
      </c>
      <c r="H311" s="2">
        <v>47.4</v>
      </c>
      <c r="I311" s="64">
        <v>568.79999999999995</v>
      </c>
      <c r="J311" s="2">
        <v>23.31</v>
      </c>
      <c r="K311" s="2">
        <v>125.49</v>
      </c>
      <c r="L311" s="22" t="s">
        <v>38</v>
      </c>
      <c r="M311" s="22" t="s">
        <v>20</v>
      </c>
      <c r="N311" s="22" t="s">
        <v>58</v>
      </c>
    </row>
    <row r="312" spans="1:14" x14ac:dyDescent="0.25">
      <c r="A312" s="22" t="s">
        <v>461</v>
      </c>
      <c r="B312" s="63">
        <v>45482</v>
      </c>
      <c r="C312" s="22" t="str">
        <f>TRIM(Raw_Data!C312)</f>
        <v>Garcia, David</v>
      </c>
      <c r="D312" s="22" t="str">
        <f>PROPER(TRIM(Raw_Data!D312))</f>
        <v>Uae</v>
      </c>
      <c r="E312" s="22" t="s">
        <v>48</v>
      </c>
      <c r="F312" s="22" t="s">
        <v>37</v>
      </c>
      <c r="G312" s="22">
        <v>50</v>
      </c>
      <c r="H312" s="2">
        <v>34.28</v>
      </c>
      <c r="I312" s="64">
        <v>1714</v>
      </c>
      <c r="J312" s="2">
        <v>59.84</v>
      </c>
      <c r="K312" s="2">
        <v>654.16</v>
      </c>
      <c r="L312" s="22" t="s">
        <v>19</v>
      </c>
      <c r="M312" s="22" t="s">
        <v>20</v>
      </c>
      <c r="N312" s="22" t="s">
        <v>58</v>
      </c>
    </row>
    <row r="313" spans="1:14" x14ac:dyDescent="0.25">
      <c r="A313" s="22" t="s">
        <v>462</v>
      </c>
      <c r="B313" s="63">
        <v>45743</v>
      </c>
      <c r="C313" s="22" t="str">
        <f>TRIM(Raw_Data!C313)</f>
        <v>Martinez, Sophia</v>
      </c>
      <c r="D313" s="22" t="str">
        <f>PROPER(TRIM(Raw_Data!D313))</f>
        <v>South Africa</v>
      </c>
      <c r="E313" s="22" t="s">
        <v>25</v>
      </c>
      <c r="F313" s="22" t="s">
        <v>18</v>
      </c>
      <c r="G313" s="22">
        <v>50</v>
      </c>
      <c r="H313" s="2">
        <v>29.39</v>
      </c>
      <c r="I313" s="64">
        <v>1469.5</v>
      </c>
      <c r="J313" s="2">
        <v>101.51</v>
      </c>
      <c r="K313" s="2">
        <v>467.99</v>
      </c>
      <c r="L313" s="22" t="s">
        <v>38</v>
      </c>
      <c r="M313" s="22" t="s">
        <v>32</v>
      </c>
      <c r="N313" s="22" t="s">
        <v>87</v>
      </c>
    </row>
    <row r="314" spans="1:14" x14ac:dyDescent="0.25">
      <c r="A314" s="22" t="s">
        <v>463</v>
      </c>
      <c r="B314" s="63">
        <v>45526</v>
      </c>
      <c r="C314" s="22" t="str">
        <f>TRIM(Raw_Data!C314)</f>
        <v>Hernandez, John</v>
      </c>
      <c r="D314" s="22" t="str">
        <f>PROPER(TRIM(Raw_Data!D314))</f>
        <v>Brazil</v>
      </c>
      <c r="E314" s="22" t="s">
        <v>25</v>
      </c>
      <c r="F314" s="22" t="s">
        <v>18</v>
      </c>
      <c r="G314" s="22">
        <v>46</v>
      </c>
      <c r="H314" s="2">
        <v>30.34</v>
      </c>
      <c r="I314" s="64">
        <v>1395.64</v>
      </c>
      <c r="J314" s="2">
        <v>104.2</v>
      </c>
      <c r="K314" s="2">
        <v>463.44</v>
      </c>
      <c r="L314" s="22" t="s">
        <v>19</v>
      </c>
      <c r="M314" s="22" t="s">
        <v>27</v>
      </c>
      <c r="N314" s="22" t="s">
        <v>39</v>
      </c>
    </row>
    <row r="315" spans="1:14" x14ac:dyDescent="0.25">
      <c r="A315" s="22" t="s">
        <v>464</v>
      </c>
      <c r="B315" s="63">
        <v>45380</v>
      </c>
      <c r="C315" s="22" t="str">
        <f>TRIM(Raw_Data!C315)</f>
        <v>Jones, James</v>
      </c>
      <c r="D315" s="22" t="str">
        <f>PROPER(TRIM(Raw_Data!D315))</f>
        <v>Singapore</v>
      </c>
      <c r="E315" s="22" t="s">
        <v>63</v>
      </c>
      <c r="F315" s="22" t="s">
        <v>37</v>
      </c>
      <c r="G315" s="22">
        <v>50</v>
      </c>
      <c r="H315" s="2">
        <v>18.809999999999999</v>
      </c>
      <c r="I315" s="64">
        <v>940.5</v>
      </c>
      <c r="J315" s="2">
        <v>40.25</v>
      </c>
      <c r="K315" s="2">
        <v>262.75</v>
      </c>
      <c r="L315" s="22" t="s">
        <v>26</v>
      </c>
      <c r="M315" s="22" t="s">
        <v>27</v>
      </c>
      <c r="N315" s="22" t="s">
        <v>58</v>
      </c>
    </row>
    <row r="316" spans="1:14" x14ac:dyDescent="0.25">
      <c r="A316" s="22" t="s">
        <v>466</v>
      </c>
      <c r="B316" s="63">
        <v>45481</v>
      </c>
      <c r="C316" s="22" t="str">
        <f>TRIM(Raw_Data!C316)</f>
        <v>Martinez, Sophia</v>
      </c>
      <c r="D316" s="22" t="str">
        <f>PROPER(TRIM(Raw_Data!D316))</f>
        <v>Australia</v>
      </c>
      <c r="E316" s="22" t="s">
        <v>51</v>
      </c>
      <c r="F316" s="22" t="s">
        <v>52</v>
      </c>
      <c r="G316" s="22">
        <v>2</v>
      </c>
      <c r="H316" s="2">
        <v>29.64</v>
      </c>
      <c r="I316" s="64">
        <v>59.28</v>
      </c>
      <c r="J316" s="2">
        <v>4.59</v>
      </c>
      <c r="K316" s="2">
        <v>9.69</v>
      </c>
      <c r="L316" s="22" t="s">
        <v>26</v>
      </c>
      <c r="M316" s="22" t="s">
        <v>32</v>
      </c>
      <c r="N316" s="22" t="s">
        <v>130</v>
      </c>
    </row>
    <row r="317" spans="1:14" x14ac:dyDescent="0.25">
      <c r="A317" s="22" t="s">
        <v>467</v>
      </c>
      <c r="B317" s="63">
        <v>45311</v>
      </c>
      <c r="C317" s="22" t="str">
        <f>TRIM(Raw_Data!C317)</f>
        <v>Brown, Sophia</v>
      </c>
      <c r="D317" s="22" t="str">
        <f>PROPER(TRIM(Raw_Data!D317))</f>
        <v>Singapore</v>
      </c>
      <c r="E317" s="22" t="s">
        <v>51</v>
      </c>
      <c r="F317" s="22" t="s">
        <v>52</v>
      </c>
      <c r="G317" s="22">
        <v>48</v>
      </c>
      <c r="H317" s="2">
        <v>27.9</v>
      </c>
      <c r="I317" s="64">
        <v>1339.2</v>
      </c>
      <c r="J317" s="2">
        <v>66.31</v>
      </c>
      <c r="K317" s="2">
        <v>192.89</v>
      </c>
      <c r="L317" s="22" t="s">
        <v>26</v>
      </c>
      <c r="M317" s="22" t="s">
        <v>32</v>
      </c>
      <c r="N317" s="22" t="s">
        <v>58</v>
      </c>
    </row>
    <row r="318" spans="1:14" x14ac:dyDescent="0.25">
      <c r="A318" s="22" t="s">
        <v>468</v>
      </c>
      <c r="B318" s="63">
        <v>45644</v>
      </c>
      <c r="C318" s="22" t="str">
        <f>TRIM(Raw_Data!C318)</f>
        <v>Martinez, David</v>
      </c>
      <c r="D318" s="22" t="str">
        <f>PROPER(TRIM(Raw_Data!D318))</f>
        <v>France</v>
      </c>
      <c r="E318" s="22" t="s">
        <v>56</v>
      </c>
      <c r="F318" s="22" t="s">
        <v>57</v>
      </c>
      <c r="G318" s="22">
        <v>28</v>
      </c>
      <c r="H318" s="2">
        <v>38.520000000000003</v>
      </c>
      <c r="I318" s="64">
        <v>1078.56</v>
      </c>
      <c r="J318" s="2">
        <v>64.510000000000005</v>
      </c>
      <c r="K318" s="2">
        <v>314.05</v>
      </c>
      <c r="L318" s="22" t="s">
        <v>19</v>
      </c>
      <c r="M318" s="22" t="s">
        <v>27</v>
      </c>
      <c r="N318" s="22" t="s">
        <v>28</v>
      </c>
    </row>
    <row r="319" spans="1:14" x14ac:dyDescent="0.25">
      <c r="A319" s="22" t="s">
        <v>469</v>
      </c>
      <c r="B319" s="63">
        <v>45377</v>
      </c>
      <c r="C319" s="22" t="str">
        <f>TRIM(Raw_Data!C319)</f>
        <v>Garcia, Laura</v>
      </c>
      <c r="D319" s="22" t="str">
        <f>PROPER(TRIM(Raw_Data!D319))</f>
        <v>Uk</v>
      </c>
      <c r="E319" s="22" t="s">
        <v>51</v>
      </c>
      <c r="F319" s="22" t="s">
        <v>52</v>
      </c>
      <c r="G319" s="22">
        <v>11</v>
      </c>
      <c r="H319" s="2">
        <v>31.08</v>
      </c>
      <c r="I319" s="64">
        <v>341.88</v>
      </c>
      <c r="J319" s="2">
        <v>17.18</v>
      </c>
      <c r="K319" s="2">
        <v>77.2</v>
      </c>
      <c r="L319" s="22" t="s">
        <v>38</v>
      </c>
      <c r="M319" s="22" t="s">
        <v>32</v>
      </c>
      <c r="N319" s="22" t="s">
        <v>28</v>
      </c>
    </row>
    <row r="320" spans="1:14" x14ac:dyDescent="0.25">
      <c r="A320" s="22" t="s">
        <v>470</v>
      </c>
      <c r="B320" s="63">
        <v>45568</v>
      </c>
      <c r="C320" s="22" t="str">
        <f>TRIM(Raw_Data!C320)</f>
        <v>Martinez, John</v>
      </c>
      <c r="D320" s="22" t="str">
        <f>PROPER(TRIM(Raw_Data!D320))</f>
        <v>Mexico</v>
      </c>
      <c r="E320" s="22" t="s">
        <v>48</v>
      </c>
      <c r="F320" s="22" t="s">
        <v>37</v>
      </c>
      <c r="G320" s="22">
        <v>42</v>
      </c>
      <c r="H320" s="2">
        <v>25.95</v>
      </c>
      <c r="I320" s="64">
        <v>1089.9000000000001</v>
      </c>
      <c r="J320" s="2">
        <v>27.5</v>
      </c>
      <c r="K320" s="2">
        <v>222.4</v>
      </c>
      <c r="L320" s="22" t="s">
        <v>38</v>
      </c>
      <c r="M320" s="22" t="s">
        <v>32</v>
      </c>
      <c r="N320" s="22" t="s">
        <v>21</v>
      </c>
    </row>
    <row r="321" spans="1:14" x14ac:dyDescent="0.25">
      <c r="A321" s="22" t="s">
        <v>471</v>
      </c>
      <c r="B321" s="63">
        <v>45535</v>
      </c>
      <c r="C321" s="22" t="str">
        <f>TRIM(Raw_Data!C321)</f>
        <v>Smith, John</v>
      </c>
      <c r="D321" s="22" t="str">
        <f>PROPER(TRIM(Raw_Data!D321))</f>
        <v>Singapore</v>
      </c>
      <c r="E321" s="22" t="s">
        <v>56</v>
      </c>
      <c r="F321" s="22" t="s">
        <v>57</v>
      </c>
      <c r="G321" s="22">
        <v>30</v>
      </c>
      <c r="H321" s="2">
        <v>30.16</v>
      </c>
      <c r="I321" s="64">
        <v>904.8</v>
      </c>
      <c r="J321" s="2">
        <v>70.13</v>
      </c>
      <c r="K321" s="2">
        <v>84.67</v>
      </c>
      <c r="L321" s="22" t="s">
        <v>26</v>
      </c>
      <c r="M321" s="22" t="s">
        <v>20</v>
      </c>
      <c r="N321" s="22" t="s">
        <v>58</v>
      </c>
    </row>
    <row r="322" spans="1:14" x14ac:dyDescent="0.25">
      <c r="A322" s="22" t="s">
        <v>472</v>
      </c>
      <c r="B322" s="63">
        <v>45474</v>
      </c>
      <c r="C322" s="22" t="str">
        <f>TRIM(Raw_Data!C322)</f>
        <v>Jones, John</v>
      </c>
      <c r="D322" s="22" t="str">
        <f>PROPER(TRIM(Raw_Data!D322))</f>
        <v>Brazil</v>
      </c>
      <c r="E322" s="22" t="s">
        <v>48</v>
      </c>
      <c r="F322" s="22" t="s">
        <v>37</v>
      </c>
      <c r="G322" s="22">
        <v>40</v>
      </c>
      <c r="H322" s="2">
        <v>30.03</v>
      </c>
      <c r="I322" s="64">
        <v>1201.2</v>
      </c>
      <c r="J322" s="2">
        <v>71.97</v>
      </c>
      <c r="K322" s="2">
        <v>329.23</v>
      </c>
      <c r="L322" s="22" t="s">
        <v>26</v>
      </c>
      <c r="M322" s="22" t="s">
        <v>20</v>
      </c>
      <c r="N322" s="22" t="s">
        <v>39</v>
      </c>
    </row>
    <row r="323" spans="1:14" x14ac:dyDescent="0.25">
      <c r="A323" s="22" t="s">
        <v>474</v>
      </c>
      <c r="B323" s="63">
        <v>45584</v>
      </c>
      <c r="C323" s="22" t="str">
        <f>TRIM(Raw_Data!C323)</f>
        <v>Jones, Laura</v>
      </c>
      <c r="D323" s="22" t="str">
        <f>PROPER(TRIM(Raw_Data!D323))</f>
        <v>South Africa</v>
      </c>
      <c r="E323" s="22" t="s">
        <v>48</v>
      </c>
      <c r="F323" s="22" t="s">
        <v>37</v>
      </c>
      <c r="G323" s="22">
        <v>15</v>
      </c>
      <c r="H323" s="2">
        <v>27.12</v>
      </c>
      <c r="I323" s="64">
        <v>406.8</v>
      </c>
      <c r="J323" s="2">
        <v>24.28</v>
      </c>
      <c r="K323" s="2">
        <v>82.52</v>
      </c>
      <c r="L323" s="22" t="s">
        <v>26</v>
      </c>
      <c r="M323" s="22" t="s">
        <v>27</v>
      </c>
      <c r="N323" s="22" t="s">
        <v>87</v>
      </c>
    </row>
    <row r="324" spans="1:14" x14ac:dyDescent="0.25">
      <c r="A324" s="22" t="s">
        <v>475</v>
      </c>
      <c r="B324" s="63">
        <v>45567</v>
      </c>
      <c r="C324" s="22" t="str">
        <f>TRIM(Raw_Data!C324)</f>
        <v>Williams, Emily</v>
      </c>
      <c r="D324" s="22" t="str">
        <f>PROPER(TRIM(Raw_Data!D324))</f>
        <v>France</v>
      </c>
      <c r="E324" s="22" t="s">
        <v>63</v>
      </c>
      <c r="F324" s="22" t="s">
        <v>37</v>
      </c>
      <c r="G324" s="22">
        <v>35</v>
      </c>
      <c r="H324" s="2">
        <v>18.350000000000001</v>
      </c>
      <c r="I324" s="64">
        <v>642.25</v>
      </c>
      <c r="J324" s="2">
        <v>29.35</v>
      </c>
      <c r="K324" s="2">
        <v>166.65</v>
      </c>
      <c r="L324" s="22" t="s">
        <v>19</v>
      </c>
      <c r="M324" s="22" t="s">
        <v>27</v>
      </c>
      <c r="N324" s="22" t="s">
        <v>28</v>
      </c>
    </row>
    <row r="325" spans="1:14" x14ac:dyDescent="0.25">
      <c r="A325" s="22" t="s">
        <v>476</v>
      </c>
      <c r="B325" s="63">
        <v>45459</v>
      </c>
      <c r="C325" s="22" t="str">
        <f>TRIM(Raw_Data!C325)</f>
        <v>Garcia, James</v>
      </c>
      <c r="D325" s="22" t="str">
        <f>PROPER(TRIM(Raw_Data!D325))</f>
        <v>South Africa</v>
      </c>
      <c r="E325" s="22" t="s">
        <v>17</v>
      </c>
      <c r="F325" s="22" t="s">
        <v>18</v>
      </c>
      <c r="G325" s="22">
        <v>21</v>
      </c>
      <c r="H325" s="2">
        <v>52.59</v>
      </c>
      <c r="I325" s="64">
        <v>1104.3900000000001</v>
      </c>
      <c r="J325" s="2">
        <v>57.06</v>
      </c>
      <c r="K325" s="2">
        <v>312.33</v>
      </c>
      <c r="L325" s="22" t="s">
        <v>26</v>
      </c>
      <c r="M325" s="22" t="s">
        <v>27</v>
      </c>
      <c r="N325" s="22" t="s">
        <v>87</v>
      </c>
    </row>
    <row r="326" spans="1:14" x14ac:dyDescent="0.25">
      <c r="A326" s="22" t="s">
        <v>477</v>
      </c>
      <c r="B326" s="63">
        <v>45538</v>
      </c>
      <c r="C326" s="22" t="str">
        <f>TRIM(Raw_Data!C326)</f>
        <v>Brown, Sophia</v>
      </c>
      <c r="D326" s="22" t="str">
        <f>PROPER(TRIM(Raw_Data!D326))</f>
        <v>China</v>
      </c>
      <c r="E326" s="22" t="s">
        <v>83</v>
      </c>
      <c r="F326" s="22" t="s">
        <v>52</v>
      </c>
      <c r="G326" s="22">
        <v>10</v>
      </c>
      <c r="H326" s="2">
        <v>44.2</v>
      </c>
      <c r="I326" s="64">
        <v>442</v>
      </c>
      <c r="J326" s="2">
        <v>18.45</v>
      </c>
      <c r="K326" s="2">
        <v>143.55000000000001</v>
      </c>
      <c r="L326" s="22" t="s">
        <v>19</v>
      </c>
      <c r="M326" s="22" t="s">
        <v>20</v>
      </c>
      <c r="N326" s="22" t="s">
        <v>58</v>
      </c>
    </row>
    <row r="327" spans="1:14" x14ac:dyDescent="0.25">
      <c r="A327" s="22" t="s">
        <v>478</v>
      </c>
      <c r="B327" s="63">
        <v>45635</v>
      </c>
      <c r="C327" s="22" t="str">
        <f>TRIM(Raw_Data!C327)</f>
        <v>Williams, James</v>
      </c>
      <c r="D327" s="22" t="str">
        <f>PROPER(TRIM(Raw_Data!D327))</f>
        <v>China</v>
      </c>
      <c r="E327" s="22" t="s">
        <v>17</v>
      </c>
      <c r="F327" s="22" t="s">
        <v>18</v>
      </c>
      <c r="G327" s="22">
        <v>11</v>
      </c>
      <c r="H327" s="2">
        <v>60.9</v>
      </c>
      <c r="I327" s="64">
        <v>669.9</v>
      </c>
      <c r="J327" s="2">
        <v>26.28</v>
      </c>
      <c r="K327" s="2">
        <v>258.62</v>
      </c>
      <c r="L327" s="22" t="s">
        <v>26</v>
      </c>
      <c r="M327" s="22" t="s">
        <v>27</v>
      </c>
      <c r="N327" s="22" t="s">
        <v>58</v>
      </c>
    </row>
    <row r="328" spans="1:14" x14ac:dyDescent="0.25">
      <c r="A328" s="22" t="s">
        <v>479</v>
      </c>
      <c r="B328" s="63">
        <v>45545</v>
      </c>
      <c r="C328" s="22" t="str">
        <f>TRIM(Raw_Data!C328)</f>
        <v>Miller, John</v>
      </c>
      <c r="D328" s="22" t="str">
        <f>PROPER(TRIM(Raw_Data!D328))</f>
        <v>Uae</v>
      </c>
      <c r="E328" s="22" t="s">
        <v>63</v>
      </c>
      <c r="F328" s="22" t="s">
        <v>37</v>
      </c>
      <c r="G328" s="22">
        <v>26</v>
      </c>
      <c r="H328" s="2">
        <v>22.32</v>
      </c>
      <c r="I328" s="64">
        <v>580.32000000000005</v>
      </c>
      <c r="J328" s="2">
        <v>45.08</v>
      </c>
      <c r="K328" s="2">
        <v>203.74</v>
      </c>
      <c r="L328" s="22" t="s">
        <v>26</v>
      </c>
      <c r="M328" s="22" t="s">
        <v>27</v>
      </c>
      <c r="N328" s="22" t="s">
        <v>58</v>
      </c>
    </row>
    <row r="329" spans="1:14" x14ac:dyDescent="0.25">
      <c r="A329" s="22" t="s">
        <v>480</v>
      </c>
      <c r="B329" s="63">
        <v>45680</v>
      </c>
      <c r="C329" s="22" t="str">
        <f>TRIM(Raw_Data!C329)</f>
        <v>Brown, Emily</v>
      </c>
      <c r="D329" s="22" t="str">
        <f>PROPER(TRIM(Raw_Data!D329))</f>
        <v>China</v>
      </c>
      <c r="E329" s="22" t="s">
        <v>83</v>
      </c>
      <c r="F329" s="22" t="s">
        <v>52</v>
      </c>
      <c r="G329" s="22">
        <v>46</v>
      </c>
      <c r="H329" s="2">
        <v>41.89</v>
      </c>
      <c r="I329" s="64">
        <v>1926.94</v>
      </c>
      <c r="J329" s="2">
        <v>97.39</v>
      </c>
      <c r="K329" s="2">
        <v>541.54999999999995</v>
      </c>
      <c r="L329" s="22" t="s">
        <v>19</v>
      </c>
      <c r="M329" s="22" t="s">
        <v>32</v>
      </c>
      <c r="N329" s="22" t="s">
        <v>58</v>
      </c>
    </row>
    <row r="330" spans="1:14" x14ac:dyDescent="0.25">
      <c r="A330" s="22" t="s">
        <v>481</v>
      </c>
      <c r="B330" s="63">
        <v>45592</v>
      </c>
      <c r="C330" s="22" t="str">
        <f>TRIM(Raw_Data!C330)</f>
        <v>Garcia, Michael</v>
      </c>
      <c r="D330" s="22" t="str">
        <f>PROPER(TRIM(Raw_Data!D330))</f>
        <v>Uk</v>
      </c>
      <c r="E330" s="22" t="s">
        <v>63</v>
      </c>
      <c r="F330" s="22" t="s">
        <v>37</v>
      </c>
      <c r="G330" s="22">
        <v>43</v>
      </c>
      <c r="H330" s="2">
        <v>21.24</v>
      </c>
      <c r="I330" s="64">
        <v>913.32</v>
      </c>
      <c r="J330" s="2">
        <v>50.32</v>
      </c>
      <c r="K330" s="2">
        <v>314.75</v>
      </c>
      <c r="L330" s="22" t="s">
        <v>26</v>
      </c>
      <c r="M330" s="22" t="s">
        <v>20</v>
      </c>
      <c r="N330" s="22" t="s">
        <v>28</v>
      </c>
    </row>
    <row r="331" spans="1:14" x14ac:dyDescent="0.25">
      <c r="A331" s="22" t="s">
        <v>482</v>
      </c>
      <c r="B331" s="63">
        <v>45360</v>
      </c>
      <c r="C331" s="22" t="str">
        <f>TRIM(Raw_Data!C331)</f>
        <v>Hernandez, Emily</v>
      </c>
      <c r="D331" s="22" t="str">
        <f>PROPER(TRIM(Raw_Data!D331))</f>
        <v>Germany</v>
      </c>
      <c r="E331" s="22" t="s">
        <v>51</v>
      </c>
      <c r="F331" s="22" t="s">
        <v>52</v>
      </c>
      <c r="G331" s="22">
        <v>28</v>
      </c>
      <c r="H331" s="2">
        <v>33.700000000000003</v>
      </c>
      <c r="I331" s="64">
        <v>943.6</v>
      </c>
      <c r="J331" s="2">
        <v>20.170000000000002</v>
      </c>
      <c r="K331" s="2">
        <v>293.43</v>
      </c>
      <c r="L331" s="22" t="s">
        <v>19</v>
      </c>
      <c r="M331" s="22" t="s">
        <v>27</v>
      </c>
      <c r="N331" s="22" t="s">
        <v>28</v>
      </c>
    </row>
    <row r="332" spans="1:14" x14ac:dyDescent="0.25">
      <c r="A332" s="22" t="s">
        <v>484</v>
      </c>
      <c r="B332" s="63">
        <v>45519</v>
      </c>
      <c r="C332" s="22" t="str">
        <f>TRIM(Raw_Data!C332)</f>
        <v>Garcia, Emma</v>
      </c>
      <c r="D332" s="22" t="str">
        <f>PROPER(TRIM(Raw_Data!D332))</f>
        <v>India</v>
      </c>
      <c r="E332" s="22" t="s">
        <v>17</v>
      </c>
      <c r="F332" s="22" t="s">
        <v>18</v>
      </c>
      <c r="G332" s="22">
        <v>41</v>
      </c>
      <c r="H332" s="2">
        <v>42.74</v>
      </c>
      <c r="I332" s="64">
        <v>1752.34</v>
      </c>
      <c r="J332" s="2">
        <v>92.09</v>
      </c>
      <c r="K332" s="2">
        <v>225.25</v>
      </c>
      <c r="L332" s="22" t="s">
        <v>38</v>
      </c>
      <c r="M332" s="22" t="s">
        <v>20</v>
      </c>
      <c r="N332" s="22" t="s">
        <v>58</v>
      </c>
    </row>
    <row r="333" spans="1:14" x14ac:dyDescent="0.25">
      <c r="A333" s="22" t="s">
        <v>485</v>
      </c>
      <c r="B333" s="63">
        <v>45559</v>
      </c>
      <c r="C333" s="22" t="str">
        <f>TRIM(Raw_Data!C333)</f>
        <v>Garcia, James</v>
      </c>
      <c r="D333" s="22" t="str">
        <f>PROPER(TRIM(Raw_Data!D333))</f>
        <v>Uk</v>
      </c>
      <c r="E333" s="22" t="s">
        <v>48</v>
      </c>
      <c r="F333" s="22" t="s">
        <v>37</v>
      </c>
      <c r="G333" s="22">
        <v>24</v>
      </c>
      <c r="H333" s="2">
        <v>30.18</v>
      </c>
      <c r="I333" s="64">
        <v>724.32</v>
      </c>
      <c r="J333" s="2">
        <v>44.97</v>
      </c>
      <c r="K333" s="2">
        <v>199.35</v>
      </c>
      <c r="L333" s="22" t="s">
        <v>19</v>
      </c>
      <c r="M333" s="22" t="s">
        <v>20</v>
      </c>
      <c r="N333" s="22" t="s">
        <v>28</v>
      </c>
    </row>
    <row r="334" spans="1:14" x14ac:dyDescent="0.25">
      <c r="A334" s="22" t="s">
        <v>486</v>
      </c>
      <c r="B334" s="63">
        <v>45692</v>
      </c>
      <c r="C334" s="22" t="str">
        <f>TRIM(Raw_Data!C334)</f>
        <v>Smith, Sophia</v>
      </c>
      <c r="D334" s="22" t="str">
        <f>PROPER(TRIM(Raw_Data!D334))</f>
        <v>Japan</v>
      </c>
      <c r="E334" s="22" t="s">
        <v>60</v>
      </c>
      <c r="F334" s="22" t="s">
        <v>52</v>
      </c>
      <c r="G334" s="22">
        <v>44</v>
      </c>
      <c r="H334" s="2">
        <v>20.02</v>
      </c>
      <c r="I334" s="64">
        <v>880.88</v>
      </c>
      <c r="J334" s="2">
        <v>60.27</v>
      </c>
      <c r="K334" s="2">
        <v>138.61000000000001</v>
      </c>
      <c r="L334" s="22" t="s">
        <v>26</v>
      </c>
      <c r="M334" s="22" t="s">
        <v>27</v>
      </c>
      <c r="N334" s="22" t="s">
        <v>58</v>
      </c>
    </row>
    <row r="335" spans="1:14" x14ac:dyDescent="0.25">
      <c r="A335" s="22" t="s">
        <v>487</v>
      </c>
      <c r="B335" s="63">
        <v>45522</v>
      </c>
      <c r="C335" s="22" t="str">
        <f>TRIM(Raw_Data!C335)</f>
        <v>Garcia, Sophia</v>
      </c>
      <c r="D335" s="22" t="str">
        <f>PROPER(TRIM(Raw_Data!D335))</f>
        <v>Uk</v>
      </c>
      <c r="E335" s="22" t="s">
        <v>48</v>
      </c>
      <c r="F335" s="22" t="s">
        <v>37</v>
      </c>
      <c r="G335" s="22">
        <v>12</v>
      </c>
      <c r="H335" s="2">
        <v>27.45</v>
      </c>
      <c r="I335" s="64">
        <v>329.4</v>
      </c>
      <c r="J335" s="2">
        <v>13.22</v>
      </c>
      <c r="K335" s="2">
        <v>76.180000000000007</v>
      </c>
      <c r="L335" s="22" t="s">
        <v>38</v>
      </c>
      <c r="M335" s="22" t="s">
        <v>32</v>
      </c>
      <c r="N335" s="22" t="s">
        <v>28</v>
      </c>
    </row>
    <row r="336" spans="1:14" x14ac:dyDescent="0.25">
      <c r="A336" s="22" t="s">
        <v>488</v>
      </c>
      <c r="B336" s="63">
        <v>45614</v>
      </c>
      <c r="C336" s="22" t="str">
        <f>TRIM(Raw_Data!C336)</f>
        <v>Davis, David</v>
      </c>
      <c r="D336" s="22" t="str">
        <f>PROPER(TRIM(Raw_Data!D336))</f>
        <v>South Africa</v>
      </c>
      <c r="E336" s="22" t="s">
        <v>48</v>
      </c>
      <c r="F336" s="22" t="s">
        <v>37</v>
      </c>
      <c r="G336" s="22">
        <v>26</v>
      </c>
      <c r="H336" s="2">
        <v>30.57</v>
      </c>
      <c r="I336" s="64">
        <v>794.82</v>
      </c>
      <c r="J336" s="2">
        <v>19.45</v>
      </c>
      <c r="K336" s="2">
        <v>255.37</v>
      </c>
      <c r="L336" s="22" t="s">
        <v>38</v>
      </c>
      <c r="M336" s="22" t="s">
        <v>27</v>
      </c>
      <c r="N336" s="22" t="s">
        <v>87</v>
      </c>
    </row>
    <row r="337" spans="1:14" x14ac:dyDescent="0.25">
      <c r="A337" s="22" t="s">
        <v>489</v>
      </c>
      <c r="B337" s="63">
        <v>45539</v>
      </c>
      <c r="C337" s="22" t="str">
        <f>TRIM(Raw_Data!C337)</f>
        <v>Williams, Laura</v>
      </c>
      <c r="D337" s="22" t="str">
        <f>PROPER(TRIM(Raw_Data!D337))</f>
        <v>Japan</v>
      </c>
      <c r="E337" s="22" t="s">
        <v>56</v>
      </c>
      <c r="F337" s="22" t="s">
        <v>57</v>
      </c>
      <c r="G337" s="22">
        <v>46</v>
      </c>
      <c r="H337" s="2">
        <v>32.19</v>
      </c>
      <c r="I337" s="64">
        <v>1480.74</v>
      </c>
      <c r="J337" s="2">
        <v>111.13</v>
      </c>
      <c r="K337" s="2">
        <v>219.61</v>
      </c>
      <c r="L337" s="22" t="s">
        <v>38</v>
      </c>
      <c r="M337" s="22" t="s">
        <v>27</v>
      </c>
      <c r="N337" s="22" t="s">
        <v>58</v>
      </c>
    </row>
    <row r="338" spans="1:14" x14ac:dyDescent="0.25">
      <c r="A338" s="22" t="s">
        <v>490</v>
      </c>
      <c r="B338" s="63">
        <v>45734</v>
      </c>
      <c r="C338" s="22" t="str">
        <f>TRIM(Raw_Data!C338)</f>
        <v>Miller, Michael</v>
      </c>
      <c r="D338" s="22" t="str">
        <f>PROPER(TRIM(Raw_Data!D338))</f>
        <v>Singapore</v>
      </c>
      <c r="E338" s="22" t="s">
        <v>25</v>
      </c>
      <c r="F338" s="22" t="s">
        <v>18</v>
      </c>
      <c r="G338" s="22">
        <v>20</v>
      </c>
      <c r="H338" s="2">
        <v>31.79</v>
      </c>
      <c r="I338" s="64">
        <v>635.79999999999995</v>
      </c>
      <c r="J338" s="2">
        <v>38.43</v>
      </c>
      <c r="K338" s="2">
        <v>237.37</v>
      </c>
      <c r="L338" s="22" t="s">
        <v>19</v>
      </c>
      <c r="M338" s="22" t="s">
        <v>27</v>
      </c>
      <c r="N338" s="22" t="s">
        <v>58</v>
      </c>
    </row>
    <row r="339" spans="1:14" x14ac:dyDescent="0.25">
      <c r="A339" s="22" t="s">
        <v>491</v>
      </c>
      <c r="B339" s="63">
        <v>45735</v>
      </c>
      <c r="C339" s="22" t="str">
        <f>TRIM(Raw_Data!C339)</f>
        <v>Smith, Emily</v>
      </c>
      <c r="D339" s="22" t="str">
        <f>PROPER(TRIM(Raw_Data!D339))</f>
        <v>Australia</v>
      </c>
      <c r="E339" s="22" t="s">
        <v>25</v>
      </c>
      <c r="F339" s="22" t="s">
        <v>18</v>
      </c>
      <c r="G339" s="22">
        <v>8</v>
      </c>
      <c r="H339" s="2">
        <v>28.94</v>
      </c>
      <c r="I339" s="64">
        <v>231.52</v>
      </c>
      <c r="J339" s="2">
        <v>7</v>
      </c>
      <c r="K339" s="2">
        <v>80.52</v>
      </c>
      <c r="L339" s="22" t="s">
        <v>38</v>
      </c>
      <c r="M339" s="22" t="s">
        <v>27</v>
      </c>
      <c r="N339" s="22" t="s">
        <v>130</v>
      </c>
    </row>
    <row r="340" spans="1:14" x14ac:dyDescent="0.25">
      <c r="A340" s="22" t="s">
        <v>492</v>
      </c>
      <c r="B340" s="63">
        <v>45577</v>
      </c>
      <c r="C340" s="22" t="str">
        <f>TRIM(Raw_Data!C340)</f>
        <v>Garcia, Emma</v>
      </c>
      <c r="D340" s="22" t="str">
        <f>PROPER(TRIM(Raw_Data!D340))</f>
        <v>France</v>
      </c>
      <c r="E340" s="22" t="s">
        <v>25</v>
      </c>
      <c r="F340" s="22" t="s">
        <v>18</v>
      </c>
      <c r="G340" s="22">
        <v>40</v>
      </c>
      <c r="H340" s="2">
        <v>30.66</v>
      </c>
      <c r="I340" s="64">
        <v>1226.4000000000001</v>
      </c>
      <c r="J340" s="2">
        <v>85.24</v>
      </c>
      <c r="K340" s="2">
        <v>421.16</v>
      </c>
      <c r="L340" s="22" t="s">
        <v>19</v>
      </c>
      <c r="M340" s="22" t="s">
        <v>20</v>
      </c>
      <c r="N340" s="22" t="s">
        <v>28</v>
      </c>
    </row>
    <row r="341" spans="1:14" x14ac:dyDescent="0.25">
      <c r="A341" s="22" t="s">
        <v>493</v>
      </c>
      <c r="B341" s="63">
        <v>45724</v>
      </c>
      <c r="C341" s="22" t="str">
        <f>TRIM(Raw_Data!C341)</f>
        <v>Jones, Sarah</v>
      </c>
      <c r="D341" s="22" t="str">
        <f>PROPER(TRIM(Raw_Data!D341))</f>
        <v>Australia</v>
      </c>
      <c r="E341" s="22" t="s">
        <v>36</v>
      </c>
      <c r="F341" s="22" t="s">
        <v>37</v>
      </c>
      <c r="G341" s="22">
        <v>44</v>
      </c>
      <c r="H341" s="2">
        <v>54.09</v>
      </c>
      <c r="I341" s="64">
        <v>2379.96</v>
      </c>
      <c r="J341" s="2">
        <v>106.39</v>
      </c>
      <c r="K341" s="2">
        <v>865.57</v>
      </c>
      <c r="L341" s="22" t="s">
        <v>19</v>
      </c>
      <c r="M341" s="22" t="s">
        <v>27</v>
      </c>
      <c r="N341" s="22" t="s">
        <v>130</v>
      </c>
    </row>
    <row r="342" spans="1:14" x14ac:dyDescent="0.25">
      <c r="A342" s="22" t="s">
        <v>494</v>
      </c>
      <c r="B342" s="63">
        <v>45707</v>
      </c>
      <c r="C342" s="22" t="str">
        <f>TRIM(Raw_Data!C342)</f>
        <v>Smith, Sophia</v>
      </c>
      <c r="D342" s="22" t="str">
        <f>PROPER(TRIM(Raw_Data!D342))</f>
        <v>Singapore</v>
      </c>
      <c r="E342" s="22" t="s">
        <v>43</v>
      </c>
      <c r="F342" s="22" t="s">
        <v>44</v>
      </c>
      <c r="G342" s="22">
        <v>32</v>
      </c>
      <c r="H342" s="2">
        <v>68.89</v>
      </c>
      <c r="I342" s="64">
        <v>2204.48</v>
      </c>
      <c r="J342" s="2">
        <v>152.05000000000001</v>
      </c>
      <c r="K342" s="2">
        <v>772.43</v>
      </c>
      <c r="L342" s="22" t="s">
        <v>19</v>
      </c>
      <c r="M342" s="22" t="s">
        <v>27</v>
      </c>
      <c r="N342" s="22" t="s">
        <v>58</v>
      </c>
    </row>
    <row r="343" spans="1:14" x14ac:dyDescent="0.25">
      <c r="A343" s="22" t="s">
        <v>495</v>
      </c>
      <c r="B343" s="63">
        <v>45423</v>
      </c>
      <c r="C343" s="22" t="str">
        <f>TRIM(Raw_Data!C343)</f>
        <v>Jones, James</v>
      </c>
      <c r="D343" s="22" t="str">
        <f>PROPER(TRIM(Raw_Data!D343))</f>
        <v>India</v>
      </c>
      <c r="E343" s="22" t="s">
        <v>17</v>
      </c>
      <c r="F343" s="22" t="s">
        <v>18</v>
      </c>
      <c r="G343" s="22">
        <v>44</v>
      </c>
      <c r="H343" s="2">
        <v>43.35</v>
      </c>
      <c r="I343" s="64">
        <v>1907.4</v>
      </c>
      <c r="J343" s="2">
        <v>99.05</v>
      </c>
      <c r="K343" s="2">
        <v>268.35000000000002</v>
      </c>
      <c r="L343" s="22" t="s">
        <v>38</v>
      </c>
      <c r="M343" s="22" t="s">
        <v>27</v>
      </c>
      <c r="N343" s="22" t="s">
        <v>58</v>
      </c>
    </row>
    <row r="344" spans="1:14" x14ac:dyDescent="0.25">
      <c r="A344" s="22" t="s">
        <v>496</v>
      </c>
      <c r="B344" s="63">
        <v>45490</v>
      </c>
      <c r="C344" s="22" t="str">
        <f>TRIM(Raw_Data!C344)</f>
        <v>Brown, Laura</v>
      </c>
      <c r="D344" s="22" t="str">
        <f>PROPER(TRIM(Raw_Data!D344))</f>
        <v>Mexico</v>
      </c>
      <c r="E344" s="22" t="s">
        <v>83</v>
      </c>
      <c r="F344" s="22" t="s">
        <v>52</v>
      </c>
      <c r="G344" s="22">
        <v>24</v>
      </c>
      <c r="H344" s="2">
        <v>34</v>
      </c>
      <c r="I344" s="64">
        <v>816</v>
      </c>
      <c r="J344" s="2">
        <v>42.15</v>
      </c>
      <c r="K344" s="2">
        <v>101.85</v>
      </c>
      <c r="L344" s="22" t="s">
        <v>38</v>
      </c>
      <c r="M344" s="22" t="s">
        <v>20</v>
      </c>
      <c r="N344" s="22" t="s">
        <v>21</v>
      </c>
    </row>
    <row r="345" spans="1:14" x14ac:dyDescent="0.25">
      <c r="A345" s="22" t="s">
        <v>497</v>
      </c>
      <c r="B345" s="63">
        <v>45347</v>
      </c>
      <c r="C345" s="22" t="str">
        <f>TRIM(Raw_Data!C345)</f>
        <v>Garcia, Sarah</v>
      </c>
      <c r="D345" s="22" t="str">
        <f>PROPER(TRIM(Raw_Data!D345))</f>
        <v>China</v>
      </c>
      <c r="E345" s="22" t="s">
        <v>25</v>
      </c>
      <c r="F345" s="22" t="s">
        <v>18</v>
      </c>
      <c r="G345" s="22">
        <v>41</v>
      </c>
      <c r="H345" s="2">
        <v>30.25</v>
      </c>
      <c r="I345" s="64">
        <v>1240.25</v>
      </c>
      <c r="J345" s="2">
        <v>92.86</v>
      </c>
      <c r="K345" s="2">
        <v>409.39</v>
      </c>
      <c r="L345" s="22" t="s">
        <v>19</v>
      </c>
      <c r="M345" s="22" t="s">
        <v>20</v>
      </c>
      <c r="N345" s="22" t="s">
        <v>58</v>
      </c>
    </row>
    <row r="346" spans="1:14" x14ac:dyDescent="0.25">
      <c r="A346" s="22" t="s">
        <v>498</v>
      </c>
      <c r="B346" s="63">
        <v>45740</v>
      </c>
      <c r="C346" s="22" t="str">
        <f>TRIM(Raw_Data!C346)</f>
        <v>Smith, Emily</v>
      </c>
      <c r="D346" s="22" t="str">
        <f>PROPER(TRIM(Raw_Data!D346))</f>
        <v>South Africa</v>
      </c>
      <c r="E346" s="22" t="s">
        <v>60</v>
      </c>
      <c r="F346" s="22" t="s">
        <v>52</v>
      </c>
      <c r="G346" s="22">
        <v>15</v>
      </c>
      <c r="H346" s="2">
        <v>23.71</v>
      </c>
      <c r="I346" s="64">
        <v>355.65</v>
      </c>
      <c r="J346" s="2">
        <v>7.22</v>
      </c>
      <c r="K346" s="2">
        <v>115.93</v>
      </c>
      <c r="L346" s="22" t="s">
        <v>26</v>
      </c>
      <c r="M346" s="22" t="s">
        <v>27</v>
      </c>
      <c r="N346" s="22" t="s">
        <v>87</v>
      </c>
    </row>
    <row r="347" spans="1:14" x14ac:dyDescent="0.25">
      <c r="A347" s="22" t="s">
        <v>499</v>
      </c>
      <c r="B347" s="63">
        <v>45518</v>
      </c>
      <c r="C347" s="22" t="str">
        <f>TRIM(Raw_Data!C347)</f>
        <v>Garcia, Emily</v>
      </c>
      <c r="D347" s="22" t="str">
        <f>PROPER(TRIM(Raw_Data!D347))</f>
        <v>Singapore</v>
      </c>
      <c r="E347" s="22" t="s">
        <v>36</v>
      </c>
      <c r="F347" s="22" t="s">
        <v>37</v>
      </c>
      <c r="G347" s="22">
        <v>33</v>
      </c>
      <c r="H347" s="2">
        <v>48.64</v>
      </c>
      <c r="I347" s="64">
        <v>1605.12</v>
      </c>
      <c r="J347" s="2">
        <v>98.71</v>
      </c>
      <c r="K347" s="2">
        <v>450.41</v>
      </c>
      <c r="L347" s="22" t="s">
        <v>19</v>
      </c>
      <c r="M347" s="22" t="s">
        <v>27</v>
      </c>
      <c r="N347" s="22" t="s">
        <v>58</v>
      </c>
    </row>
    <row r="348" spans="1:14" x14ac:dyDescent="0.25">
      <c r="A348" s="22" t="s">
        <v>500</v>
      </c>
      <c r="B348" s="63">
        <v>45387</v>
      </c>
      <c r="C348" s="22" t="str">
        <f>TRIM(Raw_Data!C348)</f>
        <v>Miller, Daniel</v>
      </c>
      <c r="D348" s="22" t="str">
        <f>PROPER(TRIM(Raw_Data!D348))</f>
        <v>Germany</v>
      </c>
      <c r="E348" s="22" t="s">
        <v>17</v>
      </c>
      <c r="F348" s="22" t="s">
        <v>18</v>
      </c>
      <c r="G348" s="22">
        <v>7</v>
      </c>
      <c r="H348" s="2">
        <v>50.94</v>
      </c>
      <c r="I348" s="64">
        <v>356.58</v>
      </c>
      <c r="J348" s="2">
        <v>11.19</v>
      </c>
      <c r="K348" s="2">
        <v>100.39</v>
      </c>
      <c r="L348" s="22" t="s">
        <v>26</v>
      </c>
      <c r="M348" s="22" t="s">
        <v>20</v>
      </c>
      <c r="N348" s="22" t="s">
        <v>28</v>
      </c>
    </row>
    <row r="349" spans="1:14" x14ac:dyDescent="0.25">
      <c r="A349" s="22" t="s">
        <v>501</v>
      </c>
      <c r="B349" s="63">
        <v>45669</v>
      </c>
      <c r="C349" s="22" t="str">
        <f>TRIM(Raw_Data!C349)</f>
        <v>Martinez, Sophia</v>
      </c>
      <c r="D349" s="22" t="str">
        <f>PROPER(TRIM(Raw_Data!D349))</f>
        <v>Australia</v>
      </c>
      <c r="E349" s="22" t="s">
        <v>48</v>
      </c>
      <c r="F349" s="22" t="s">
        <v>37</v>
      </c>
      <c r="G349" s="22">
        <v>1</v>
      </c>
      <c r="H349" s="2">
        <v>31.4</v>
      </c>
      <c r="I349" s="64">
        <v>31.4</v>
      </c>
      <c r="J349" s="2">
        <v>1.1399999999999999</v>
      </c>
      <c r="K349" s="2">
        <v>10.26</v>
      </c>
      <c r="L349" s="22" t="s">
        <v>38</v>
      </c>
      <c r="M349" s="22" t="s">
        <v>27</v>
      </c>
      <c r="N349" s="22" t="s">
        <v>130</v>
      </c>
    </row>
    <row r="350" spans="1:14" x14ac:dyDescent="0.25">
      <c r="A350" s="22" t="s">
        <v>502</v>
      </c>
      <c r="B350" s="63">
        <v>45484</v>
      </c>
      <c r="C350" s="22" t="str">
        <f>TRIM(Raw_Data!C350)</f>
        <v>Davis, Emily</v>
      </c>
      <c r="D350" s="22" t="str">
        <f>PROPER(TRIM(Raw_Data!D350))</f>
        <v>Italy</v>
      </c>
      <c r="E350" s="22" t="s">
        <v>63</v>
      </c>
      <c r="F350" s="22" t="s">
        <v>37</v>
      </c>
      <c r="G350" s="22">
        <v>28</v>
      </c>
      <c r="H350" s="2">
        <v>18.59</v>
      </c>
      <c r="I350" s="64">
        <v>520.52</v>
      </c>
      <c r="J350" s="2">
        <v>14.08</v>
      </c>
      <c r="K350" s="2">
        <v>149.44</v>
      </c>
      <c r="L350" s="22" t="s">
        <v>19</v>
      </c>
      <c r="M350" s="22" t="s">
        <v>20</v>
      </c>
      <c r="N350" s="22" t="s">
        <v>28</v>
      </c>
    </row>
    <row r="351" spans="1:14" x14ac:dyDescent="0.25">
      <c r="A351" s="22" t="s">
        <v>503</v>
      </c>
      <c r="B351" s="63">
        <v>45722</v>
      </c>
      <c r="C351" s="22" t="str">
        <f>TRIM(Raw_Data!C351)</f>
        <v>Williams, John</v>
      </c>
      <c r="D351" s="22" t="str">
        <f>PROPER(TRIM(Raw_Data!D351))</f>
        <v>France</v>
      </c>
      <c r="E351" s="22" t="s">
        <v>60</v>
      </c>
      <c r="F351" s="22" t="s">
        <v>52</v>
      </c>
      <c r="G351" s="22">
        <v>50</v>
      </c>
      <c r="H351" s="2">
        <v>20.66</v>
      </c>
      <c r="I351" s="64">
        <v>1033</v>
      </c>
      <c r="J351" s="2">
        <v>34.130000000000003</v>
      </c>
      <c r="K351" s="2">
        <v>223.87</v>
      </c>
      <c r="L351" s="22" t="s">
        <v>38</v>
      </c>
      <c r="M351" s="22" t="s">
        <v>27</v>
      </c>
      <c r="N351" s="22" t="s">
        <v>28</v>
      </c>
    </row>
    <row r="352" spans="1:14" x14ac:dyDescent="0.25">
      <c r="A352" s="22" t="s">
        <v>505</v>
      </c>
      <c r="B352" s="63">
        <v>45685</v>
      </c>
      <c r="C352" s="22" t="str">
        <f>TRIM(Raw_Data!C352)</f>
        <v>Hernandez, James</v>
      </c>
      <c r="D352" s="22" t="str">
        <f>PROPER(TRIM(Raw_Data!D352))</f>
        <v>China</v>
      </c>
      <c r="E352" s="22" t="s">
        <v>17</v>
      </c>
      <c r="F352" s="22" t="s">
        <v>18</v>
      </c>
      <c r="G352" s="22">
        <v>4</v>
      </c>
      <c r="H352" s="2">
        <v>46.62</v>
      </c>
      <c r="I352" s="64">
        <v>186.48</v>
      </c>
      <c r="J352" s="2">
        <v>13.29</v>
      </c>
      <c r="K352" s="2">
        <v>33.19</v>
      </c>
      <c r="L352" s="22" t="s">
        <v>26</v>
      </c>
      <c r="M352" s="22" t="s">
        <v>20</v>
      </c>
      <c r="N352" s="22" t="s">
        <v>58</v>
      </c>
    </row>
    <row r="353" spans="1:14" x14ac:dyDescent="0.25">
      <c r="A353" s="22" t="s">
        <v>506</v>
      </c>
      <c r="B353" s="63">
        <v>45685</v>
      </c>
      <c r="C353" s="22" t="str">
        <f>TRIM(Raw_Data!C353)</f>
        <v>Jones, James</v>
      </c>
      <c r="D353" s="22" t="str">
        <f>PROPER(TRIM(Raw_Data!D353))</f>
        <v>South Africa</v>
      </c>
      <c r="E353" s="22" t="s">
        <v>60</v>
      </c>
      <c r="F353" s="22" t="s">
        <v>52</v>
      </c>
      <c r="G353" s="22">
        <v>37</v>
      </c>
      <c r="H353" s="2">
        <v>21.81</v>
      </c>
      <c r="I353" s="64">
        <v>806.97</v>
      </c>
      <c r="J353" s="2">
        <v>19.63</v>
      </c>
      <c r="K353" s="2">
        <v>213.84</v>
      </c>
      <c r="L353" s="22" t="s">
        <v>38</v>
      </c>
      <c r="M353" s="22" t="s">
        <v>32</v>
      </c>
      <c r="N353" s="22" t="s">
        <v>87</v>
      </c>
    </row>
    <row r="354" spans="1:14" x14ac:dyDescent="0.25">
      <c r="A354" s="22" t="s">
        <v>507</v>
      </c>
      <c r="B354" s="63">
        <v>45411</v>
      </c>
      <c r="C354" s="22" t="str">
        <f>TRIM(Raw_Data!C354)</f>
        <v>Smith, Daniel</v>
      </c>
      <c r="D354" s="22" t="str">
        <f>PROPER(TRIM(Raw_Data!D354))</f>
        <v>China</v>
      </c>
      <c r="E354" s="22" t="s">
        <v>60</v>
      </c>
      <c r="F354" s="22" t="s">
        <v>52</v>
      </c>
      <c r="G354" s="22">
        <v>48</v>
      </c>
      <c r="H354" s="2">
        <v>26.68</v>
      </c>
      <c r="I354" s="64">
        <v>1280.6400000000001</v>
      </c>
      <c r="J354" s="2">
        <v>55.36</v>
      </c>
      <c r="K354" s="2">
        <v>481.28</v>
      </c>
      <c r="L354" s="22" t="s">
        <v>19</v>
      </c>
      <c r="M354" s="22" t="s">
        <v>27</v>
      </c>
      <c r="N354" s="22" t="s">
        <v>58</v>
      </c>
    </row>
    <row r="355" spans="1:14" x14ac:dyDescent="0.25">
      <c r="A355" s="22" t="s">
        <v>508</v>
      </c>
      <c r="B355" s="63">
        <v>45785</v>
      </c>
      <c r="C355" s="22" t="str">
        <f>TRIM(Raw_Data!C355)</f>
        <v>Smith, Michael</v>
      </c>
      <c r="D355" s="22" t="str">
        <f>PROPER(TRIM(Raw_Data!D355))</f>
        <v>Brazil</v>
      </c>
      <c r="E355" s="22" t="s">
        <v>56</v>
      </c>
      <c r="F355" s="22" t="s">
        <v>57</v>
      </c>
      <c r="G355" s="22">
        <v>24</v>
      </c>
      <c r="H355" s="2">
        <v>42.82</v>
      </c>
      <c r="I355" s="64">
        <v>1027.68</v>
      </c>
      <c r="J355" s="2">
        <v>69.95</v>
      </c>
      <c r="K355" s="2">
        <v>357.73</v>
      </c>
      <c r="L355" s="22" t="s">
        <v>19</v>
      </c>
      <c r="M355" s="22" t="s">
        <v>20</v>
      </c>
      <c r="N355" s="22" t="s">
        <v>39</v>
      </c>
    </row>
    <row r="356" spans="1:14" x14ac:dyDescent="0.25">
      <c r="A356" s="22" t="s">
        <v>509</v>
      </c>
      <c r="B356" s="63">
        <v>45668</v>
      </c>
      <c r="C356" s="22" t="str">
        <f>TRIM(Raw_Data!C356)</f>
        <v>Martinez, Sarah</v>
      </c>
      <c r="D356" s="22" t="str">
        <f>PROPER(TRIM(Raw_Data!D356))</f>
        <v>Australia</v>
      </c>
      <c r="E356" s="22" t="s">
        <v>51</v>
      </c>
      <c r="F356" s="22" t="s">
        <v>52</v>
      </c>
      <c r="G356" s="22">
        <v>26</v>
      </c>
      <c r="H356" s="2">
        <v>34.4</v>
      </c>
      <c r="I356" s="64">
        <v>894.4</v>
      </c>
      <c r="J356" s="2">
        <v>40.42</v>
      </c>
      <c r="K356" s="2">
        <v>268.98</v>
      </c>
      <c r="L356" s="22" t="s">
        <v>19</v>
      </c>
      <c r="M356" s="22" t="s">
        <v>20</v>
      </c>
      <c r="N356" s="22" t="s">
        <v>130</v>
      </c>
    </row>
    <row r="357" spans="1:14" x14ac:dyDescent="0.25">
      <c r="A357" s="22" t="s">
        <v>510</v>
      </c>
      <c r="B357" s="63">
        <v>45454</v>
      </c>
      <c r="C357" s="22" t="str">
        <f>TRIM(Raw_Data!C357)</f>
        <v>Johnson, James</v>
      </c>
      <c r="D357" s="22" t="str">
        <f>PROPER(TRIM(Raw_Data!D357))</f>
        <v>Italy</v>
      </c>
      <c r="E357" s="22" t="s">
        <v>17</v>
      </c>
      <c r="F357" s="22" t="s">
        <v>18</v>
      </c>
      <c r="G357" s="22">
        <v>47</v>
      </c>
      <c r="H357" s="2">
        <v>44.89</v>
      </c>
      <c r="I357" s="64">
        <v>2109.83</v>
      </c>
      <c r="J357" s="2">
        <v>45.91</v>
      </c>
      <c r="K357" s="2">
        <v>418.92</v>
      </c>
      <c r="L357" s="22" t="s">
        <v>19</v>
      </c>
      <c r="M357" s="22" t="s">
        <v>27</v>
      </c>
      <c r="N357" s="22" t="s">
        <v>28</v>
      </c>
    </row>
    <row r="358" spans="1:14" x14ac:dyDescent="0.25">
      <c r="A358" s="22" t="s">
        <v>511</v>
      </c>
      <c r="B358" s="63">
        <v>45656</v>
      </c>
      <c r="C358" s="22" t="str">
        <f>TRIM(Raw_Data!C358)</f>
        <v>Miller, Sophia</v>
      </c>
      <c r="D358" s="22" t="str">
        <f>PROPER(TRIM(Raw_Data!D358))</f>
        <v>China</v>
      </c>
      <c r="E358" s="22" t="s">
        <v>60</v>
      </c>
      <c r="F358" s="22" t="s">
        <v>52</v>
      </c>
      <c r="G358" s="22">
        <v>1</v>
      </c>
      <c r="H358" s="2">
        <v>18.739999999999998</v>
      </c>
      <c r="I358" s="64">
        <v>18.739999999999998</v>
      </c>
      <c r="J358" s="2">
        <v>0.5</v>
      </c>
      <c r="K358" s="2">
        <v>2.74</v>
      </c>
      <c r="L358" s="22" t="s">
        <v>38</v>
      </c>
      <c r="M358" s="22" t="s">
        <v>27</v>
      </c>
      <c r="N358" s="22" t="s">
        <v>58</v>
      </c>
    </row>
    <row r="359" spans="1:14" x14ac:dyDescent="0.25">
      <c r="A359" s="22" t="s">
        <v>512</v>
      </c>
      <c r="B359" s="63">
        <v>45648</v>
      </c>
      <c r="C359" s="22" t="str">
        <f>TRIM(Raw_Data!C359)</f>
        <v>Jones, Michael</v>
      </c>
      <c r="D359" s="22" t="str">
        <f>PROPER(TRIM(Raw_Data!D359))</f>
        <v>Singapore</v>
      </c>
      <c r="E359" s="22" t="s">
        <v>51</v>
      </c>
      <c r="F359" s="22" t="s">
        <v>52</v>
      </c>
      <c r="G359" s="22">
        <v>27</v>
      </c>
      <c r="H359" s="2">
        <v>36.270000000000003</v>
      </c>
      <c r="I359" s="64">
        <v>979.29</v>
      </c>
      <c r="J359" s="2">
        <v>54.58</v>
      </c>
      <c r="K359" s="2">
        <v>317.20999999999998</v>
      </c>
      <c r="L359" s="22" t="s">
        <v>26</v>
      </c>
      <c r="M359" s="22" t="s">
        <v>27</v>
      </c>
      <c r="N359" s="22" t="s">
        <v>58</v>
      </c>
    </row>
    <row r="360" spans="1:14" x14ac:dyDescent="0.25">
      <c r="A360" s="22" t="s">
        <v>513</v>
      </c>
      <c r="B360" s="63">
        <v>45579</v>
      </c>
      <c r="C360" s="22" t="str">
        <f>TRIM(Raw_Data!C360)</f>
        <v>Hernandez, Sophia</v>
      </c>
      <c r="D360" s="22" t="str">
        <f>PROPER(TRIM(Raw_Data!D360))</f>
        <v>Germany</v>
      </c>
      <c r="E360" s="22" t="s">
        <v>63</v>
      </c>
      <c r="F360" s="22" t="s">
        <v>37</v>
      </c>
      <c r="G360" s="22">
        <v>13</v>
      </c>
      <c r="H360" s="2">
        <v>18.82</v>
      </c>
      <c r="I360" s="64">
        <v>244.66</v>
      </c>
      <c r="J360" s="2">
        <v>6.49</v>
      </c>
      <c r="K360" s="2">
        <v>72.42</v>
      </c>
      <c r="L360" s="22" t="s">
        <v>38</v>
      </c>
      <c r="M360" s="22" t="s">
        <v>27</v>
      </c>
      <c r="N360" s="22" t="s">
        <v>28</v>
      </c>
    </row>
    <row r="361" spans="1:14" x14ac:dyDescent="0.25">
      <c r="A361" s="22" t="s">
        <v>514</v>
      </c>
      <c r="B361" s="63">
        <v>45715</v>
      </c>
      <c r="C361" s="22" t="str">
        <f>TRIM(Raw_Data!C361)</f>
        <v>Jones, Sarah</v>
      </c>
      <c r="D361" s="22" t="str">
        <f>PROPER(TRIM(Raw_Data!D361))</f>
        <v>Australia</v>
      </c>
      <c r="E361" s="22" t="s">
        <v>83</v>
      </c>
      <c r="F361" s="22" t="s">
        <v>52</v>
      </c>
      <c r="G361" s="22">
        <v>41</v>
      </c>
      <c r="H361" s="2">
        <v>43.19</v>
      </c>
      <c r="I361" s="64">
        <v>1770.79</v>
      </c>
      <c r="J361" s="2">
        <v>83.28</v>
      </c>
      <c r="K361" s="2">
        <v>539.51</v>
      </c>
      <c r="L361" s="22" t="s">
        <v>26</v>
      </c>
      <c r="M361" s="22" t="s">
        <v>20</v>
      </c>
      <c r="N361" s="22" t="s">
        <v>130</v>
      </c>
    </row>
    <row r="362" spans="1:14" x14ac:dyDescent="0.25">
      <c r="A362" s="22" t="s">
        <v>515</v>
      </c>
      <c r="B362" s="63">
        <v>45368</v>
      </c>
      <c r="C362" s="22" t="str">
        <f>TRIM(Raw_Data!C362)</f>
        <v>Martinez, James</v>
      </c>
      <c r="D362" s="22" t="str">
        <f>PROPER(TRIM(Raw_Data!D362))</f>
        <v>China</v>
      </c>
      <c r="E362" s="22" t="s">
        <v>83</v>
      </c>
      <c r="F362" s="22" t="s">
        <v>52</v>
      </c>
      <c r="G362" s="22">
        <v>40</v>
      </c>
      <c r="H362" s="2">
        <v>42.31</v>
      </c>
      <c r="I362" s="64">
        <v>1692.4</v>
      </c>
      <c r="J362" s="2">
        <v>118.59</v>
      </c>
      <c r="K362" s="2">
        <v>453.81</v>
      </c>
      <c r="L362" s="22" t="s">
        <v>26</v>
      </c>
      <c r="M362" s="22" t="s">
        <v>32</v>
      </c>
      <c r="N362" s="22" t="s">
        <v>58</v>
      </c>
    </row>
    <row r="363" spans="1:14" x14ac:dyDescent="0.25">
      <c r="A363" s="22" t="s">
        <v>516</v>
      </c>
      <c r="B363" s="63">
        <v>45782</v>
      </c>
      <c r="C363" s="22" t="str">
        <f>TRIM(Raw_Data!C363)</f>
        <v>Davis, Sophia</v>
      </c>
      <c r="D363" s="22" t="str">
        <f>PROPER(TRIM(Raw_Data!D363))</f>
        <v>India</v>
      </c>
      <c r="E363" s="22" t="s">
        <v>36</v>
      </c>
      <c r="F363" s="22" t="s">
        <v>37</v>
      </c>
      <c r="G363" s="22">
        <v>1</v>
      </c>
      <c r="H363" s="2">
        <v>57.15</v>
      </c>
      <c r="I363" s="64">
        <v>57.15</v>
      </c>
      <c r="J363" s="2">
        <v>4.1100000000000003</v>
      </c>
      <c r="K363" s="2">
        <v>21.04</v>
      </c>
      <c r="L363" s="22" t="s">
        <v>26</v>
      </c>
      <c r="M363" s="22" t="s">
        <v>20</v>
      </c>
      <c r="N363" s="22" t="s">
        <v>58</v>
      </c>
    </row>
    <row r="364" spans="1:14" x14ac:dyDescent="0.25">
      <c r="A364" s="22" t="s">
        <v>517</v>
      </c>
      <c r="B364" s="63">
        <v>45414</v>
      </c>
      <c r="C364" s="22" t="str">
        <f>TRIM(Raw_Data!C364)</f>
        <v>Martinez, Daniel</v>
      </c>
      <c r="D364" s="22" t="str">
        <f>PROPER(TRIM(Raw_Data!D364))</f>
        <v>Canada</v>
      </c>
      <c r="E364" s="22" t="s">
        <v>48</v>
      </c>
      <c r="F364" s="22" t="s">
        <v>37</v>
      </c>
      <c r="G364" s="22">
        <v>15</v>
      </c>
      <c r="H364" s="2">
        <v>30.03</v>
      </c>
      <c r="I364" s="64">
        <v>450.45</v>
      </c>
      <c r="J364" s="2">
        <v>29.99</v>
      </c>
      <c r="K364" s="2">
        <v>120.46</v>
      </c>
      <c r="L364" s="22" t="s">
        <v>38</v>
      </c>
      <c r="M364" s="22" t="s">
        <v>27</v>
      </c>
      <c r="N364" s="22" t="s">
        <v>21</v>
      </c>
    </row>
    <row r="365" spans="1:14" x14ac:dyDescent="0.25">
      <c r="A365" s="22" t="s">
        <v>518</v>
      </c>
      <c r="B365" s="63">
        <v>45437</v>
      </c>
      <c r="C365" s="22" t="str">
        <f>TRIM(Raw_Data!C365)</f>
        <v>Williams, Emily</v>
      </c>
      <c r="D365" s="22" t="str">
        <f>PROPER(TRIM(Raw_Data!D365))</f>
        <v>Brazil</v>
      </c>
      <c r="E365" s="22" t="s">
        <v>48</v>
      </c>
      <c r="F365" s="22" t="s">
        <v>37</v>
      </c>
      <c r="G365" s="22">
        <v>48</v>
      </c>
      <c r="H365" s="2">
        <v>30.91</v>
      </c>
      <c r="I365" s="64">
        <v>1483.68</v>
      </c>
      <c r="J365" s="2">
        <v>85.5</v>
      </c>
      <c r="K365" s="2">
        <v>438.18</v>
      </c>
      <c r="L365" s="22" t="s">
        <v>19</v>
      </c>
      <c r="M365" s="22" t="s">
        <v>27</v>
      </c>
      <c r="N365" s="22" t="s">
        <v>39</v>
      </c>
    </row>
    <row r="366" spans="1:14" x14ac:dyDescent="0.25">
      <c r="A366" s="22" t="s">
        <v>519</v>
      </c>
      <c r="B366" s="63">
        <v>45292</v>
      </c>
      <c r="C366" s="22" t="str">
        <f>TRIM(Raw_Data!C366)</f>
        <v>Miller, Emma</v>
      </c>
      <c r="D366" s="22" t="str">
        <f>PROPER(TRIM(Raw_Data!D366))</f>
        <v>Mexico</v>
      </c>
      <c r="E366" s="22" t="s">
        <v>51</v>
      </c>
      <c r="F366" s="22" t="s">
        <v>52</v>
      </c>
      <c r="G366" s="22">
        <v>8</v>
      </c>
      <c r="H366" s="2">
        <v>32.19</v>
      </c>
      <c r="I366" s="64">
        <v>257.52</v>
      </c>
      <c r="J366" s="2">
        <v>11.85</v>
      </c>
      <c r="K366" s="2">
        <v>65.67</v>
      </c>
      <c r="L366" s="22" t="s">
        <v>19</v>
      </c>
      <c r="M366" s="22" t="s">
        <v>20</v>
      </c>
      <c r="N366" s="22" t="s">
        <v>21</v>
      </c>
    </row>
    <row r="367" spans="1:14" x14ac:dyDescent="0.25">
      <c r="A367" s="22" t="s">
        <v>520</v>
      </c>
      <c r="B367" s="63">
        <v>45511</v>
      </c>
      <c r="C367" s="22" t="str">
        <f>TRIM(Raw_Data!C367)</f>
        <v>Jones, Sophia</v>
      </c>
      <c r="D367" s="22" t="str">
        <f>PROPER(TRIM(Raw_Data!D367))</f>
        <v>Uae</v>
      </c>
      <c r="E367" s="22" t="s">
        <v>43</v>
      </c>
      <c r="F367" s="22" t="s">
        <v>44</v>
      </c>
      <c r="G367" s="22">
        <v>22</v>
      </c>
      <c r="H367" s="2">
        <v>60.75</v>
      </c>
      <c r="I367" s="64">
        <v>1336.5</v>
      </c>
      <c r="J367" s="2">
        <v>38.340000000000003</v>
      </c>
      <c r="K367" s="2">
        <v>418.16</v>
      </c>
      <c r="L367" s="22" t="s">
        <v>19</v>
      </c>
      <c r="M367" s="22" t="s">
        <v>27</v>
      </c>
      <c r="N367" s="22" t="s">
        <v>58</v>
      </c>
    </row>
    <row r="368" spans="1:14" x14ac:dyDescent="0.25">
      <c r="A368" s="22" t="s">
        <v>521</v>
      </c>
      <c r="B368" s="63">
        <v>45731</v>
      </c>
      <c r="C368" s="22" t="str">
        <f>TRIM(Raw_Data!C368)</f>
        <v>Smith, Michael</v>
      </c>
      <c r="D368" s="22" t="str">
        <f>PROPER(TRIM(Raw_Data!D368))</f>
        <v>Italy</v>
      </c>
      <c r="E368" s="22" t="s">
        <v>43</v>
      </c>
      <c r="F368" s="22" t="s">
        <v>44</v>
      </c>
      <c r="G368" s="22">
        <v>38</v>
      </c>
      <c r="H368" s="2">
        <v>66.06</v>
      </c>
      <c r="I368" s="64">
        <v>2510.2800000000002</v>
      </c>
      <c r="J368" s="2">
        <v>50.37</v>
      </c>
      <c r="K368" s="2">
        <v>939.91</v>
      </c>
      <c r="L368" s="22" t="s">
        <v>19</v>
      </c>
      <c r="M368" s="22" t="s">
        <v>20</v>
      </c>
      <c r="N368" s="22" t="s">
        <v>28</v>
      </c>
    </row>
    <row r="369" spans="1:14" x14ac:dyDescent="0.25">
      <c r="A369" s="22" t="s">
        <v>522</v>
      </c>
      <c r="B369" s="63">
        <v>45542</v>
      </c>
      <c r="C369" s="22" t="str">
        <f>TRIM(Raw_Data!C369)</f>
        <v>Martinez, Michael</v>
      </c>
      <c r="D369" s="22" t="str">
        <f>PROPER(TRIM(Raw_Data!D369))</f>
        <v>Usa</v>
      </c>
      <c r="E369" s="22" t="s">
        <v>17</v>
      </c>
      <c r="F369" s="22" t="s">
        <v>18</v>
      </c>
      <c r="G369" s="22">
        <v>33</v>
      </c>
      <c r="H369" s="2">
        <v>50.88</v>
      </c>
      <c r="I369" s="64">
        <v>1679.04</v>
      </c>
      <c r="J369" s="2">
        <v>61.48</v>
      </c>
      <c r="K369" s="2">
        <v>462.56</v>
      </c>
      <c r="L369" s="22" t="s">
        <v>19</v>
      </c>
      <c r="M369" s="22" t="s">
        <v>27</v>
      </c>
      <c r="N369" s="22" t="s">
        <v>21</v>
      </c>
    </row>
    <row r="370" spans="1:14" x14ac:dyDescent="0.25">
      <c r="A370" s="22" t="s">
        <v>523</v>
      </c>
      <c r="B370" s="63">
        <v>45487</v>
      </c>
      <c r="C370" s="22" t="str">
        <f>TRIM(Raw_Data!C370)</f>
        <v>Brown, Emily</v>
      </c>
      <c r="D370" s="22" t="str">
        <f>PROPER(TRIM(Raw_Data!D370))</f>
        <v>China</v>
      </c>
      <c r="E370" s="22" t="s">
        <v>83</v>
      </c>
      <c r="F370" s="22" t="s">
        <v>52</v>
      </c>
      <c r="G370" s="22">
        <v>49</v>
      </c>
      <c r="H370" s="2">
        <v>34.479999999999997</v>
      </c>
      <c r="I370" s="64">
        <v>1689.52</v>
      </c>
      <c r="J370" s="2">
        <v>53.06</v>
      </c>
      <c r="K370" s="2">
        <v>264.45999999999998</v>
      </c>
      <c r="L370" s="22" t="s">
        <v>38</v>
      </c>
      <c r="M370" s="22" t="s">
        <v>32</v>
      </c>
      <c r="N370" s="22" t="s">
        <v>58</v>
      </c>
    </row>
    <row r="371" spans="1:14" x14ac:dyDescent="0.25">
      <c r="A371" s="22" t="s">
        <v>524</v>
      </c>
      <c r="B371" s="63">
        <v>45311</v>
      </c>
      <c r="C371" s="22" t="str">
        <f>TRIM(Raw_Data!C371)</f>
        <v>Martinez, Daniel</v>
      </c>
      <c r="D371" s="22" t="str">
        <f>PROPER(TRIM(Raw_Data!D371))</f>
        <v>Japan</v>
      </c>
      <c r="E371" s="22" t="s">
        <v>48</v>
      </c>
      <c r="F371" s="22" t="s">
        <v>37</v>
      </c>
      <c r="G371" s="22">
        <v>31</v>
      </c>
      <c r="H371" s="2">
        <v>25.43</v>
      </c>
      <c r="I371" s="64">
        <v>788.33</v>
      </c>
      <c r="J371" s="2">
        <v>57.81</v>
      </c>
      <c r="K371" s="2">
        <v>110.52</v>
      </c>
      <c r="L371" s="22" t="s">
        <v>19</v>
      </c>
      <c r="M371" s="22" t="s">
        <v>27</v>
      </c>
      <c r="N371" s="22" t="s">
        <v>58</v>
      </c>
    </row>
    <row r="372" spans="1:14" x14ac:dyDescent="0.25">
      <c r="A372" s="22" t="s">
        <v>525</v>
      </c>
      <c r="B372" s="63">
        <v>45323</v>
      </c>
      <c r="C372" s="22" t="str">
        <f>TRIM(Raw_Data!C372)</f>
        <v>Miller, Emily</v>
      </c>
      <c r="D372" s="22" t="str">
        <f>PROPER(TRIM(Raw_Data!D372))</f>
        <v>Germany</v>
      </c>
      <c r="E372" s="22" t="s">
        <v>48</v>
      </c>
      <c r="F372" s="22" t="s">
        <v>37</v>
      </c>
      <c r="G372" s="22">
        <v>29</v>
      </c>
      <c r="H372" s="2">
        <v>31.68</v>
      </c>
      <c r="I372" s="64">
        <v>918.72</v>
      </c>
      <c r="J372" s="2">
        <v>22.22</v>
      </c>
      <c r="K372" s="2">
        <v>316.5</v>
      </c>
      <c r="L372" s="22" t="s">
        <v>38</v>
      </c>
      <c r="M372" s="22" t="s">
        <v>20</v>
      </c>
      <c r="N372" s="22" t="s">
        <v>28</v>
      </c>
    </row>
    <row r="373" spans="1:14" x14ac:dyDescent="0.25">
      <c r="A373" s="22" t="s">
        <v>526</v>
      </c>
      <c r="B373" s="63">
        <v>45718</v>
      </c>
      <c r="C373" s="22" t="str">
        <f>TRIM(Raw_Data!C373)</f>
        <v>Brown, David</v>
      </c>
      <c r="D373" s="22" t="str">
        <f>PROPER(TRIM(Raw_Data!D373))</f>
        <v>Singapore</v>
      </c>
      <c r="E373" s="22" t="s">
        <v>83</v>
      </c>
      <c r="F373" s="22" t="s">
        <v>52</v>
      </c>
      <c r="G373" s="22">
        <v>42</v>
      </c>
      <c r="H373" s="2">
        <v>33.89</v>
      </c>
      <c r="I373" s="64">
        <v>1423.38</v>
      </c>
      <c r="J373" s="2">
        <v>85.4</v>
      </c>
      <c r="K373" s="2">
        <v>161.97999999999999</v>
      </c>
      <c r="L373" s="22" t="s">
        <v>38</v>
      </c>
      <c r="M373" s="22" t="s">
        <v>20</v>
      </c>
      <c r="N373" s="22" t="s">
        <v>58</v>
      </c>
    </row>
    <row r="374" spans="1:14" x14ac:dyDescent="0.25">
      <c r="A374" s="22" t="s">
        <v>527</v>
      </c>
      <c r="B374" s="63">
        <v>45560</v>
      </c>
      <c r="C374" s="22" t="str">
        <f>TRIM(Raw_Data!C374)</f>
        <v>Hernandez, Emma</v>
      </c>
      <c r="D374" s="22" t="str">
        <f>PROPER(TRIM(Raw_Data!D374))</f>
        <v>Singapore</v>
      </c>
      <c r="E374" s="22" t="s">
        <v>25</v>
      </c>
      <c r="F374" s="22" t="s">
        <v>18</v>
      </c>
      <c r="G374" s="22">
        <v>13</v>
      </c>
      <c r="H374" s="2">
        <v>21.75</v>
      </c>
      <c r="I374" s="64">
        <v>282.75</v>
      </c>
      <c r="J374" s="2">
        <v>12.5</v>
      </c>
      <c r="K374" s="2">
        <v>36.25</v>
      </c>
      <c r="L374" s="22" t="s">
        <v>38</v>
      </c>
      <c r="M374" s="22" t="s">
        <v>27</v>
      </c>
      <c r="N374" s="22" t="s">
        <v>58</v>
      </c>
    </row>
    <row r="375" spans="1:14" x14ac:dyDescent="0.25">
      <c r="A375" s="22" t="s">
        <v>528</v>
      </c>
      <c r="B375" s="63">
        <v>45365</v>
      </c>
      <c r="C375" s="22" t="str">
        <f>TRIM(Raw_Data!C375)</f>
        <v>Jones, Laura</v>
      </c>
      <c r="D375" s="22" t="str">
        <f>PROPER(TRIM(Raw_Data!D375))</f>
        <v>Japan</v>
      </c>
      <c r="E375" s="22" t="s">
        <v>51</v>
      </c>
      <c r="F375" s="22" t="s">
        <v>52</v>
      </c>
      <c r="G375" s="22">
        <v>25</v>
      </c>
      <c r="H375" s="2">
        <v>37.58</v>
      </c>
      <c r="I375" s="64">
        <v>939.5</v>
      </c>
      <c r="J375" s="2">
        <v>48.44</v>
      </c>
      <c r="K375" s="2">
        <v>328.56</v>
      </c>
      <c r="L375" s="22" t="s">
        <v>38</v>
      </c>
      <c r="M375" s="22" t="s">
        <v>32</v>
      </c>
      <c r="N375" s="22" t="s">
        <v>58</v>
      </c>
    </row>
    <row r="376" spans="1:14" x14ac:dyDescent="0.25">
      <c r="A376" s="22" t="s">
        <v>529</v>
      </c>
      <c r="B376" s="63">
        <v>45704</v>
      </c>
      <c r="C376" s="22" t="str">
        <f>TRIM(Raw_Data!C376)</f>
        <v>Jones, Emily</v>
      </c>
      <c r="D376" s="22" t="str">
        <f>PROPER(TRIM(Raw_Data!D376))</f>
        <v>Germany</v>
      </c>
      <c r="E376" s="22" t="s">
        <v>48</v>
      </c>
      <c r="F376" s="22" t="s">
        <v>37</v>
      </c>
      <c r="G376" s="22">
        <v>16</v>
      </c>
      <c r="H376" s="2">
        <v>25.25</v>
      </c>
      <c r="I376" s="64">
        <v>404</v>
      </c>
      <c r="J376" s="2">
        <v>18.75</v>
      </c>
      <c r="K376" s="2">
        <v>65.25</v>
      </c>
      <c r="L376" s="22" t="s">
        <v>26</v>
      </c>
      <c r="M376" s="22" t="s">
        <v>32</v>
      </c>
      <c r="N376" s="22" t="s">
        <v>28</v>
      </c>
    </row>
    <row r="377" spans="1:14" x14ac:dyDescent="0.25">
      <c r="A377" s="22" t="s">
        <v>530</v>
      </c>
      <c r="B377" s="63">
        <v>45564</v>
      </c>
      <c r="C377" s="22" t="str">
        <f>TRIM(Raw_Data!C377)</f>
        <v>Hernandez, David</v>
      </c>
      <c r="D377" s="22" t="str">
        <f>PROPER(TRIM(Raw_Data!D377))</f>
        <v>Japan</v>
      </c>
      <c r="E377" s="22" t="s">
        <v>60</v>
      </c>
      <c r="F377" s="22" t="s">
        <v>52</v>
      </c>
      <c r="G377" s="22">
        <v>37</v>
      </c>
      <c r="H377" s="2">
        <v>25.85</v>
      </c>
      <c r="I377" s="64">
        <v>956.45</v>
      </c>
      <c r="J377" s="2">
        <v>31.7</v>
      </c>
      <c r="K377" s="2">
        <v>351.25</v>
      </c>
      <c r="L377" s="22" t="s">
        <v>38</v>
      </c>
      <c r="M377" s="22" t="s">
        <v>32</v>
      </c>
      <c r="N377" s="22" t="s">
        <v>58</v>
      </c>
    </row>
    <row r="378" spans="1:14" x14ac:dyDescent="0.25">
      <c r="A378" s="22" t="s">
        <v>531</v>
      </c>
      <c r="B378" s="63">
        <v>45671</v>
      </c>
      <c r="C378" s="22" t="str">
        <f>TRIM(Raw_Data!C378)</f>
        <v>Miller, John</v>
      </c>
      <c r="D378" s="22" t="str">
        <f>PROPER(TRIM(Raw_Data!D378))</f>
        <v>Singapore</v>
      </c>
      <c r="E378" s="22" t="s">
        <v>48</v>
      </c>
      <c r="F378" s="22" t="s">
        <v>37</v>
      </c>
      <c r="G378" s="22">
        <v>1</v>
      </c>
      <c r="H378" s="2">
        <v>25.72</v>
      </c>
      <c r="I378" s="64">
        <v>25.72</v>
      </c>
      <c r="J378" s="2">
        <v>2.04</v>
      </c>
      <c r="K378" s="2">
        <v>3.68</v>
      </c>
      <c r="L378" s="22" t="s">
        <v>38</v>
      </c>
      <c r="M378" s="22" t="s">
        <v>32</v>
      </c>
      <c r="N378" s="22" t="s">
        <v>58</v>
      </c>
    </row>
    <row r="379" spans="1:14" x14ac:dyDescent="0.25">
      <c r="A379" s="22" t="s">
        <v>532</v>
      </c>
      <c r="B379" s="63">
        <v>45599</v>
      </c>
      <c r="C379" s="22" t="str">
        <f>TRIM(Raw_Data!C379)</f>
        <v>Jones, Sarah</v>
      </c>
      <c r="D379" s="22" t="str">
        <f>PROPER(TRIM(Raw_Data!D379))</f>
        <v>Singapore</v>
      </c>
      <c r="E379" s="22" t="s">
        <v>83</v>
      </c>
      <c r="F379" s="22" t="s">
        <v>52</v>
      </c>
      <c r="G379" s="22">
        <v>48</v>
      </c>
      <c r="H379" s="2">
        <v>47.05</v>
      </c>
      <c r="I379" s="64">
        <v>2258.4</v>
      </c>
      <c r="J379" s="2">
        <v>179.44</v>
      </c>
      <c r="K379" s="2">
        <v>734.96</v>
      </c>
      <c r="L379" s="22" t="s">
        <v>26</v>
      </c>
      <c r="M379" s="22" t="s">
        <v>27</v>
      </c>
      <c r="N379" s="22" t="s">
        <v>58</v>
      </c>
    </row>
    <row r="380" spans="1:14" x14ac:dyDescent="0.25">
      <c r="A380" s="22" t="s">
        <v>533</v>
      </c>
      <c r="B380" s="63">
        <v>45363</v>
      </c>
      <c r="C380" s="22" t="str">
        <f>TRIM(Raw_Data!C380)</f>
        <v>Garcia, Emily</v>
      </c>
      <c r="D380" s="22" t="str">
        <f>PROPER(TRIM(Raw_Data!D380))</f>
        <v>Brazil</v>
      </c>
      <c r="E380" s="22" t="s">
        <v>48</v>
      </c>
      <c r="F380" s="22" t="s">
        <v>37</v>
      </c>
      <c r="G380" s="22">
        <v>48</v>
      </c>
      <c r="H380" s="2">
        <v>29.94</v>
      </c>
      <c r="I380" s="64">
        <v>1437.12</v>
      </c>
      <c r="J380" s="2">
        <v>30.14</v>
      </c>
      <c r="K380" s="2">
        <v>446.98</v>
      </c>
      <c r="L380" s="22" t="s">
        <v>26</v>
      </c>
      <c r="M380" s="22" t="s">
        <v>27</v>
      </c>
      <c r="N380" s="22" t="s">
        <v>39</v>
      </c>
    </row>
    <row r="381" spans="1:14" x14ac:dyDescent="0.25">
      <c r="A381" s="22" t="s">
        <v>534</v>
      </c>
      <c r="B381" s="63">
        <v>45533</v>
      </c>
      <c r="C381" s="22" t="str">
        <f>TRIM(Raw_Data!C381)</f>
        <v>Jones, Emma</v>
      </c>
      <c r="D381" s="22" t="str">
        <f>PROPER(TRIM(Raw_Data!D381))</f>
        <v>Italy</v>
      </c>
      <c r="E381" s="22" t="s">
        <v>51</v>
      </c>
      <c r="F381" s="22" t="s">
        <v>52</v>
      </c>
      <c r="G381" s="22">
        <v>12</v>
      </c>
      <c r="H381" s="2">
        <v>35.68</v>
      </c>
      <c r="I381" s="64">
        <v>428.16</v>
      </c>
      <c r="J381" s="2">
        <v>13.07</v>
      </c>
      <c r="K381" s="2">
        <v>145.09</v>
      </c>
      <c r="L381" s="22" t="s">
        <v>26</v>
      </c>
      <c r="M381" s="22" t="s">
        <v>32</v>
      </c>
      <c r="N381" s="22" t="s">
        <v>28</v>
      </c>
    </row>
    <row r="382" spans="1:14" x14ac:dyDescent="0.25">
      <c r="A382" s="22" t="s">
        <v>535</v>
      </c>
      <c r="B382" s="63">
        <v>45562</v>
      </c>
      <c r="C382" s="22" t="str">
        <f>TRIM(Raw_Data!C382)</f>
        <v>Hernandez, Michael</v>
      </c>
      <c r="D382" s="22" t="str">
        <f>PROPER(TRIM(Raw_Data!D382))</f>
        <v>Usa</v>
      </c>
      <c r="E382" s="22" t="s">
        <v>36</v>
      </c>
      <c r="F382" s="22" t="s">
        <v>37</v>
      </c>
      <c r="G382" s="22">
        <v>30</v>
      </c>
      <c r="H382" s="2">
        <v>49.32</v>
      </c>
      <c r="I382" s="64">
        <v>1479.6</v>
      </c>
      <c r="J382" s="2">
        <v>105.97</v>
      </c>
      <c r="K382" s="2">
        <v>413.63</v>
      </c>
      <c r="L382" s="22" t="s">
        <v>26</v>
      </c>
      <c r="M382" s="22" t="s">
        <v>27</v>
      </c>
      <c r="N382" s="22" t="s">
        <v>21</v>
      </c>
    </row>
    <row r="383" spans="1:14" x14ac:dyDescent="0.25">
      <c r="A383" s="22" t="s">
        <v>536</v>
      </c>
      <c r="B383" s="63">
        <v>45306</v>
      </c>
      <c r="C383" s="22" t="str">
        <f>TRIM(Raw_Data!C383)</f>
        <v>Garcia, John</v>
      </c>
      <c r="D383" s="22" t="str">
        <f>PROPER(TRIM(Raw_Data!D383))</f>
        <v>France</v>
      </c>
      <c r="E383" s="22" t="s">
        <v>83</v>
      </c>
      <c r="F383" s="22" t="s">
        <v>52</v>
      </c>
      <c r="G383" s="22">
        <v>27</v>
      </c>
      <c r="H383" s="2">
        <v>37.68</v>
      </c>
      <c r="I383" s="64">
        <v>1017.36</v>
      </c>
      <c r="J383" s="2">
        <v>80.739999999999995</v>
      </c>
      <c r="K383" s="2">
        <v>180.62</v>
      </c>
      <c r="L383" s="22" t="s">
        <v>38</v>
      </c>
      <c r="M383" s="22" t="s">
        <v>20</v>
      </c>
      <c r="N383" s="22" t="s">
        <v>28</v>
      </c>
    </row>
    <row r="384" spans="1:14" x14ac:dyDescent="0.25">
      <c r="A384" s="22" t="s">
        <v>537</v>
      </c>
      <c r="B384" s="63">
        <v>45732</v>
      </c>
      <c r="C384" s="22" t="str">
        <f>TRIM(Raw_Data!C384)</f>
        <v>Garcia, Michael</v>
      </c>
      <c r="D384" s="22" t="str">
        <f>PROPER(TRIM(Raw_Data!D384))</f>
        <v>Italy</v>
      </c>
      <c r="E384" s="22" t="s">
        <v>56</v>
      </c>
      <c r="F384" s="22" t="s">
        <v>57</v>
      </c>
      <c r="G384" s="22">
        <v>39</v>
      </c>
      <c r="H384" s="2">
        <v>36.340000000000003</v>
      </c>
      <c r="I384" s="64">
        <v>1417.26</v>
      </c>
      <c r="J384" s="2">
        <v>67</v>
      </c>
      <c r="K384" s="2">
        <v>375.26</v>
      </c>
      <c r="L384" s="22" t="s">
        <v>38</v>
      </c>
      <c r="M384" s="22" t="s">
        <v>27</v>
      </c>
      <c r="N384" s="22" t="s">
        <v>28</v>
      </c>
    </row>
    <row r="385" spans="1:14" x14ac:dyDescent="0.25">
      <c r="A385" s="22" t="s">
        <v>538</v>
      </c>
      <c r="B385" s="63">
        <v>45428</v>
      </c>
      <c r="C385" s="22" t="str">
        <f>TRIM(Raw_Data!C385)</f>
        <v>Miller, John</v>
      </c>
      <c r="D385" s="22" t="str">
        <f>PROPER(TRIM(Raw_Data!D385))</f>
        <v>China</v>
      </c>
      <c r="E385" s="22" t="s">
        <v>60</v>
      </c>
      <c r="F385" s="22" t="s">
        <v>52</v>
      </c>
      <c r="G385" s="22">
        <v>16</v>
      </c>
      <c r="H385" s="2">
        <v>24.33</v>
      </c>
      <c r="I385" s="64">
        <v>389.28</v>
      </c>
      <c r="J385" s="2">
        <v>22.33</v>
      </c>
      <c r="K385" s="2">
        <v>118.95</v>
      </c>
      <c r="L385" s="22" t="s">
        <v>19</v>
      </c>
      <c r="M385" s="22" t="s">
        <v>32</v>
      </c>
      <c r="N385" s="22" t="s">
        <v>58</v>
      </c>
    </row>
    <row r="386" spans="1:14" x14ac:dyDescent="0.25">
      <c r="A386" s="22" t="s">
        <v>539</v>
      </c>
      <c r="B386" s="63">
        <v>45685</v>
      </c>
      <c r="C386" s="22" t="str">
        <f>TRIM(Raw_Data!C386)</f>
        <v>Garcia, John</v>
      </c>
      <c r="D386" s="22" t="str">
        <f>PROPER(TRIM(Raw_Data!D386))</f>
        <v>Uae</v>
      </c>
      <c r="E386" s="22" t="s">
        <v>60</v>
      </c>
      <c r="F386" s="22" t="s">
        <v>52</v>
      </c>
      <c r="G386" s="22">
        <v>40</v>
      </c>
      <c r="H386" s="2">
        <v>22.28</v>
      </c>
      <c r="I386" s="64">
        <v>891.2</v>
      </c>
      <c r="J386" s="2">
        <v>32.729999999999997</v>
      </c>
      <c r="K386" s="2">
        <v>238.47</v>
      </c>
      <c r="L386" s="22" t="s">
        <v>19</v>
      </c>
      <c r="M386" s="22" t="s">
        <v>27</v>
      </c>
      <c r="N386" s="22" t="s">
        <v>58</v>
      </c>
    </row>
    <row r="387" spans="1:14" x14ac:dyDescent="0.25">
      <c r="A387" s="22" t="s">
        <v>540</v>
      </c>
      <c r="B387" s="63">
        <v>45506</v>
      </c>
      <c r="C387" s="22" t="str">
        <f>TRIM(Raw_Data!C387)</f>
        <v>Miller, Laura</v>
      </c>
      <c r="D387" s="22" t="str">
        <f>PROPER(TRIM(Raw_Data!D387))</f>
        <v>Japan</v>
      </c>
      <c r="E387" s="22" t="s">
        <v>63</v>
      </c>
      <c r="F387" s="22" t="s">
        <v>37</v>
      </c>
      <c r="G387" s="22">
        <v>45</v>
      </c>
      <c r="H387" s="2">
        <v>21.71</v>
      </c>
      <c r="I387" s="64">
        <v>976.95</v>
      </c>
      <c r="J387" s="2">
        <v>51.6</v>
      </c>
      <c r="K387" s="2">
        <v>351.6</v>
      </c>
      <c r="L387" s="22" t="s">
        <v>19</v>
      </c>
      <c r="M387" s="22" t="s">
        <v>20</v>
      </c>
      <c r="N387" s="22" t="s">
        <v>58</v>
      </c>
    </row>
    <row r="388" spans="1:14" x14ac:dyDescent="0.25">
      <c r="A388" s="22" t="s">
        <v>541</v>
      </c>
      <c r="B388" s="63">
        <v>45525</v>
      </c>
      <c r="C388" s="22" t="str">
        <f>TRIM(Raw_Data!C388)</f>
        <v>Garcia, Laura</v>
      </c>
      <c r="D388" s="22" t="str">
        <f>PROPER(TRIM(Raw_Data!D388))</f>
        <v>Germany</v>
      </c>
      <c r="E388" s="22" t="s">
        <v>56</v>
      </c>
      <c r="F388" s="22" t="s">
        <v>57</v>
      </c>
      <c r="G388" s="22">
        <v>8</v>
      </c>
      <c r="H388" s="2">
        <v>31.07</v>
      </c>
      <c r="I388" s="64">
        <v>248.56</v>
      </c>
      <c r="J388" s="2">
        <v>10.97</v>
      </c>
      <c r="K388" s="2">
        <v>37.590000000000003</v>
      </c>
      <c r="L388" s="22" t="s">
        <v>19</v>
      </c>
      <c r="M388" s="22" t="s">
        <v>27</v>
      </c>
      <c r="N388" s="22" t="s">
        <v>28</v>
      </c>
    </row>
    <row r="389" spans="1:14" x14ac:dyDescent="0.25">
      <c r="A389" s="22" t="s">
        <v>542</v>
      </c>
      <c r="B389" s="63">
        <v>45339</v>
      </c>
      <c r="C389" s="22" t="str">
        <f>TRIM(Raw_Data!C389)</f>
        <v>Martinez, Emily</v>
      </c>
      <c r="D389" s="22" t="str">
        <f>PROPER(TRIM(Raw_Data!D389))</f>
        <v>France</v>
      </c>
      <c r="E389" s="22" t="s">
        <v>63</v>
      </c>
      <c r="F389" s="22" t="s">
        <v>37</v>
      </c>
      <c r="G389" s="22">
        <v>47</v>
      </c>
      <c r="H389" s="2">
        <v>21.93</v>
      </c>
      <c r="I389" s="64">
        <v>1030.71</v>
      </c>
      <c r="J389" s="2">
        <v>70.989999999999995</v>
      </c>
      <c r="K389" s="2">
        <v>360.47</v>
      </c>
      <c r="L389" s="22" t="s">
        <v>38</v>
      </c>
      <c r="M389" s="22" t="s">
        <v>20</v>
      </c>
      <c r="N389" s="22" t="s">
        <v>28</v>
      </c>
    </row>
    <row r="390" spans="1:14" x14ac:dyDescent="0.25">
      <c r="A390" s="22" t="s">
        <v>543</v>
      </c>
      <c r="B390" s="63">
        <v>45486</v>
      </c>
      <c r="C390" s="22" t="str">
        <f>TRIM(Raw_Data!C390)</f>
        <v>Brown, Michael</v>
      </c>
      <c r="D390" s="22" t="str">
        <f>PROPER(TRIM(Raw_Data!D390))</f>
        <v>France</v>
      </c>
      <c r="E390" s="22" t="s">
        <v>63</v>
      </c>
      <c r="F390" s="22" t="s">
        <v>37</v>
      </c>
      <c r="G390" s="22">
        <v>46</v>
      </c>
      <c r="H390" s="2">
        <v>21.46</v>
      </c>
      <c r="I390" s="64">
        <v>987.16</v>
      </c>
      <c r="J390" s="2">
        <v>21.64</v>
      </c>
      <c r="K390" s="2">
        <v>379.02</v>
      </c>
      <c r="L390" s="22" t="s">
        <v>26</v>
      </c>
      <c r="M390" s="22" t="s">
        <v>20</v>
      </c>
      <c r="N390" s="22" t="s">
        <v>28</v>
      </c>
    </row>
    <row r="391" spans="1:14" x14ac:dyDescent="0.25">
      <c r="A391" s="22" t="s">
        <v>544</v>
      </c>
      <c r="B391" s="63">
        <v>45701</v>
      </c>
      <c r="C391" s="22" t="str">
        <f>TRIM(Raw_Data!C391)</f>
        <v>Williams, David</v>
      </c>
      <c r="D391" s="22" t="str">
        <f>PROPER(TRIM(Raw_Data!D391))</f>
        <v>Usa</v>
      </c>
      <c r="E391" s="22" t="s">
        <v>83</v>
      </c>
      <c r="F391" s="22" t="s">
        <v>52</v>
      </c>
      <c r="G391" s="22">
        <v>45</v>
      </c>
      <c r="H391" s="2">
        <v>47.1</v>
      </c>
      <c r="I391" s="64">
        <v>2119.5</v>
      </c>
      <c r="J391" s="2">
        <v>120.16</v>
      </c>
      <c r="K391" s="2">
        <v>739.34</v>
      </c>
      <c r="L391" s="22" t="s">
        <v>26</v>
      </c>
      <c r="M391" s="22" t="s">
        <v>27</v>
      </c>
      <c r="N391" s="22" t="s">
        <v>21</v>
      </c>
    </row>
    <row r="392" spans="1:14" x14ac:dyDescent="0.25">
      <c r="A392" s="22" t="s">
        <v>545</v>
      </c>
      <c r="B392" s="63">
        <v>45731</v>
      </c>
      <c r="C392" s="22" t="str">
        <f>TRIM(Raw_Data!C392)</f>
        <v>Smith, Emily</v>
      </c>
      <c r="D392" s="22" t="str">
        <f>PROPER(TRIM(Raw_Data!D392))</f>
        <v>India</v>
      </c>
      <c r="E392" s="22" t="s">
        <v>17</v>
      </c>
      <c r="F392" s="22" t="s">
        <v>18</v>
      </c>
      <c r="G392" s="22">
        <v>2</v>
      </c>
      <c r="H392" s="2">
        <v>58.32</v>
      </c>
      <c r="I392" s="64">
        <v>116.64</v>
      </c>
      <c r="J392" s="2">
        <v>8.99</v>
      </c>
      <c r="K392" s="2">
        <v>37.65</v>
      </c>
      <c r="L392" s="22" t="s">
        <v>19</v>
      </c>
      <c r="M392" s="22" t="s">
        <v>27</v>
      </c>
      <c r="N392" s="22" t="s">
        <v>58</v>
      </c>
    </row>
    <row r="393" spans="1:14" x14ac:dyDescent="0.25">
      <c r="A393" s="22" t="s">
        <v>546</v>
      </c>
      <c r="B393" s="63">
        <v>45338</v>
      </c>
      <c r="C393" s="22" t="str">
        <f>TRIM(Raw_Data!C393)</f>
        <v>Garcia, John</v>
      </c>
      <c r="D393" s="22" t="str">
        <f>PROPER(TRIM(Raw_Data!D393))</f>
        <v>France</v>
      </c>
      <c r="E393" s="22" t="s">
        <v>17</v>
      </c>
      <c r="F393" s="22" t="s">
        <v>18</v>
      </c>
      <c r="G393" s="22">
        <v>31</v>
      </c>
      <c r="H393" s="2">
        <v>61.34</v>
      </c>
      <c r="I393" s="64">
        <v>1901.54</v>
      </c>
      <c r="J393" s="2">
        <v>147.43</v>
      </c>
      <c r="K393" s="2">
        <v>669.11</v>
      </c>
      <c r="L393" s="22" t="s">
        <v>26</v>
      </c>
      <c r="M393" s="22" t="s">
        <v>20</v>
      </c>
      <c r="N393" s="22" t="s">
        <v>28</v>
      </c>
    </row>
    <row r="394" spans="1:14" x14ac:dyDescent="0.25">
      <c r="A394" s="22" t="s">
        <v>547</v>
      </c>
      <c r="B394" s="63">
        <v>45359</v>
      </c>
      <c r="C394" s="22" t="str">
        <f>TRIM(Raw_Data!C394)</f>
        <v>Brown, Daniel</v>
      </c>
      <c r="D394" s="22" t="str">
        <f>PROPER(TRIM(Raw_Data!D394))</f>
        <v>Canada</v>
      </c>
      <c r="E394" s="22" t="s">
        <v>56</v>
      </c>
      <c r="F394" s="22" t="s">
        <v>57</v>
      </c>
      <c r="G394" s="22">
        <v>15</v>
      </c>
      <c r="H394" s="2">
        <v>43.9</v>
      </c>
      <c r="I394" s="64">
        <v>658.5</v>
      </c>
      <c r="J394" s="2">
        <v>36.479999999999997</v>
      </c>
      <c r="K394" s="2">
        <v>247.02</v>
      </c>
      <c r="L394" s="22" t="s">
        <v>38</v>
      </c>
      <c r="M394" s="22" t="s">
        <v>27</v>
      </c>
      <c r="N394" s="22" t="s">
        <v>21</v>
      </c>
    </row>
    <row r="395" spans="1:14" x14ac:dyDescent="0.25">
      <c r="A395" s="22" t="s">
        <v>548</v>
      </c>
      <c r="B395" s="63">
        <v>45626</v>
      </c>
      <c r="C395" s="22" t="str">
        <f>TRIM(Raw_Data!C395)</f>
        <v>Brown, Daniel</v>
      </c>
      <c r="D395" s="22" t="str">
        <f>PROPER(TRIM(Raw_Data!D395))</f>
        <v>Italy</v>
      </c>
      <c r="E395" s="22" t="s">
        <v>63</v>
      </c>
      <c r="F395" s="22" t="s">
        <v>37</v>
      </c>
      <c r="G395" s="22">
        <v>4</v>
      </c>
      <c r="H395" s="2">
        <v>20.53</v>
      </c>
      <c r="I395" s="64">
        <v>82.12</v>
      </c>
      <c r="J395" s="2">
        <v>4.05</v>
      </c>
      <c r="K395" s="2">
        <v>27.07</v>
      </c>
      <c r="L395" s="22" t="s">
        <v>19</v>
      </c>
      <c r="M395" s="22" t="s">
        <v>32</v>
      </c>
      <c r="N395" s="22" t="s">
        <v>28</v>
      </c>
    </row>
    <row r="396" spans="1:14" x14ac:dyDescent="0.25">
      <c r="A396" s="22" t="s">
        <v>549</v>
      </c>
      <c r="B396" s="63">
        <v>45492</v>
      </c>
      <c r="C396" s="22" t="str">
        <f>TRIM(Raw_Data!C396)</f>
        <v>Garcia, Sarah</v>
      </c>
      <c r="D396" s="22" t="str">
        <f>PROPER(TRIM(Raw_Data!D396))</f>
        <v>Australia</v>
      </c>
      <c r="E396" s="22" t="s">
        <v>48</v>
      </c>
      <c r="F396" s="22" t="s">
        <v>37</v>
      </c>
      <c r="G396" s="22">
        <v>6</v>
      </c>
      <c r="H396" s="2">
        <v>24.7</v>
      </c>
      <c r="I396" s="64">
        <v>148.19999999999999</v>
      </c>
      <c r="J396" s="2">
        <v>3.76</v>
      </c>
      <c r="K396" s="2">
        <v>24.44</v>
      </c>
      <c r="L396" s="22" t="s">
        <v>38</v>
      </c>
      <c r="M396" s="22" t="s">
        <v>20</v>
      </c>
      <c r="N396" s="22" t="s">
        <v>130</v>
      </c>
    </row>
    <row r="397" spans="1:14" x14ac:dyDescent="0.25">
      <c r="A397" s="22" t="s">
        <v>550</v>
      </c>
      <c r="B397" s="63">
        <v>45645</v>
      </c>
      <c r="C397" s="22" t="str">
        <f>TRIM(Raw_Data!C397)</f>
        <v>Garcia, Daniel</v>
      </c>
      <c r="D397" s="22" t="str">
        <f>PROPER(TRIM(Raw_Data!D397))</f>
        <v>Brazil</v>
      </c>
      <c r="E397" s="22" t="s">
        <v>63</v>
      </c>
      <c r="F397" s="22" t="s">
        <v>37</v>
      </c>
      <c r="G397" s="22">
        <v>19</v>
      </c>
      <c r="H397" s="2">
        <v>19.170000000000002</v>
      </c>
      <c r="I397" s="64">
        <v>364.23</v>
      </c>
      <c r="J397" s="2">
        <v>15.16</v>
      </c>
      <c r="K397" s="2">
        <v>106.82</v>
      </c>
      <c r="L397" s="22" t="s">
        <v>26</v>
      </c>
      <c r="M397" s="22" t="s">
        <v>27</v>
      </c>
      <c r="N397" s="22" t="s">
        <v>39</v>
      </c>
    </row>
    <row r="398" spans="1:14" x14ac:dyDescent="0.25">
      <c r="A398" s="22" t="s">
        <v>551</v>
      </c>
      <c r="B398" s="63">
        <v>45425</v>
      </c>
      <c r="C398" s="22" t="str">
        <f>TRIM(Raw_Data!C398)</f>
        <v>Smith, John</v>
      </c>
      <c r="D398" s="22" t="str">
        <f>PROPER(TRIM(Raw_Data!D398))</f>
        <v>China</v>
      </c>
      <c r="E398" s="22" t="s">
        <v>43</v>
      </c>
      <c r="F398" s="22" t="s">
        <v>44</v>
      </c>
      <c r="G398" s="22">
        <v>2</v>
      </c>
      <c r="H398" s="2">
        <v>55.28</v>
      </c>
      <c r="I398" s="64">
        <v>110.56</v>
      </c>
      <c r="J398" s="2">
        <v>5.37</v>
      </c>
      <c r="K398" s="2">
        <v>25.19</v>
      </c>
      <c r="L398" s="22" t="s">
        <v>38</v>
      </c>
      <c r="M398" s="22" t="s">
        <v>27</v>
      </c>
      <c r="N398" s="22" t="s">
        <v>58</v>
      </c>
    </row>
    <row r="399" spans="1:14" x14ac:dyDescent="0.25">
      <c r="A399" s="22" t="s">
        <v>552</v>
      </c>
      <c r="B399" s="63">
        <v>45444</v>
      </c>
      <c r="C399" s="22" t="str">
        <f>TRIM(Raw_Data!C399)</f>
        <v>Garcia, Emma</v>
      </c>
      <c r="D399" s="22" t="str">
        <f>PROPER(TRIM(Raw_Data!D399))</f>
        <v>Brazil</v>
      </c>
      <c r="E399" s="22" t="s">
        <v>56</v>
      </c>
      <c r="F399" s="22" t="s">
        <v>57</v>
      </c>
      <c r="G399" s="22">
        <v>49</v>
      </c>
      <c r="H399" s="2">
        <v>43.91</v>
      </c>
      <c r="I399" s="64">
        <v>2151.59</v>
      </c>
      <c r="J399" s="2">
        <v>63.55</v>
      </c>
      <c r="K399" s="2">
        <v>863.04</v>
      </c>
      <c r="L399" s="22" t="s">
        <v>19</v>
      </c>
      <c r="M399" s="22" t="s">
        <v>27</v>
      </c>
      <c r="N399" s="22" t="s">
        <v>39</v>
      </c>
    </row>
    <row r="400" spans="1:14" x14ac:dyDescent="0.25">
      <c r="A400" s="22" t="s">
        <v>553</v>
      </c>
      <c r="B400" s="63">
        <v>45407</v>
      </c>
      <c r="C400" s="22" t="str">
        <f>TRIM(Raw_Data!C400)</f>
        <v>Hernandez, Laura</v>
      </c>
      <c r="D400" s="22" t="str">
        <f>PROPER(TRIM(Raw_Data!D400))</f>
        <v>Brazil</v>
      </c>
      <c r="E400" s="22" t="s">
        <v>56</v>
      </c>
      <c r="F400" s="22" t="s">
        <v>57</v>
      </c>
      <c r="G400" s="22">
        <v>29</v>
      </c>
      <c r="H400" s="2">
        <v>41.84</v>
      </c>
      <c r="I400" s="64">
        <v>1213.3599999999999</v>
      </c>
      <c r="J400" s="2">
        <v>56.83</v>
      </c>
      <c r="K400" s="2">
        <v>431.53</v>
      </c>
      <c r="L400" s="22" t="s">
        <v>38</v>
      </c>
      <c r="M400" s="22" t="s">
        <v>32</v>
      </c>
      <c r="N400" s="22" t="s">
        <v>39</v>
      </c>
    </row>
    <row r="401" spans="1:14" x14ac:dyDescent="0.25">
      <c r="A401" s="22" t="s">
        <v>554</v>
      </c>
      <c r="B401" s="63">
        <v>45454</v>
      </c>
      <c r="C401" s="22" t="str">
        <f>TRIM(Raw_Data!C401)</f>
        <v>Smith, David</v>
      </c>
      <c r="D401" s="22" t="str">
        <f>PROPER(TRIM(Raw_Data!D401))</f>
        <v>South Africa</v>
      </c>
      <c r="E401" s="22" t="s">
        <v>60</v>
      </c>
      <c r="F401" s="22" t="s">
        <v>52</v>
      </c>
      <c r="G401" s="22">
        <v>43</v>
      </c>
      <c r="H401" s="2">
        <v>27.41</v>
      </c>
      <c r="I401" s="64">
        <v>1178.6300000000001</v>
      </c>
      <c r="J401" s="2">
        <v>55.82</v>
      </c>
      <c r="K401" s="2">
        <v>456.31</v>
      </c>
      <c r="L401" s="22" t="s">
        <v>38</v>
      </c>
      <c r="M401" s="22" t="s">
        <v>27</v>
      </c>
      <c r="N401" s="22" t="s">
        <v>87</v>
      </c>
    </row>
    <row r="402" spans="1:14" x14ac:dyDescent="0.25">
      <c r="A402" s="22" t="s">
        <v>555</v>
      </c>
      <c r="B402" s="63">
        <v>45532</v>
      </c>
      <c r="C402" s="22" t="str">
        <f>TRIM(Raw_Data!C402)</f>
        <v>Jones, John</v>
      </c>
      <c r="D402" s="22" t="str">
        <f>PROPER(TRIM(Raw_Data!D402))</f>
        <v>Mexico</v>
      </c>
      <c r="E402" s="22" t="s">
        <v>48</v>
      </c>
      <c r="F402" s="22" t="s">
        <v>37</v>
      </c>
      <c r="G402" s="22">
        <v>28</v>
      </c>
      <c r="H402" s="2">
        <v>31.84</v>
      </c>
      <c r="I402" s="64">
        <v>891.52</v>
      </c>
      <c r="J402" s="2">
        <v>54.24</v>
      </c>
      <c r="K402" s="2">
        <v>277.27999999999997</v>
      </c>
      <c r="L402" s="22" t="s">
        <v>19</v>
      </c>
      <c r="M402" s="22" t="s">
        <v>27</v>
      </c>
      <c r="N402" s="22" t="s">
        <v>21</v>
      </c>
    </row>
    <row r="403" spans="1:14" x14ac:dyDescent="0.25">
      <c r="A403" s="22" t="s">
        <v>556</v>
      </c>
      <c r="B403" s="63">
        <v>45653</v>
      </c>
      <c r="C403" s="22" t="str">
        <f>TRIM(Raw_Data!C403)</f>
        <v>Brown, John</v>
      </c>
      <c r="D403" s="22" t="str">
        <f>PROPER(TRIM(Raw_Data!D403))</f>
        <v>China</v>
      </c>
      <c r="E403" s="22" t="s">
        <v>56</v>
      </c>
      <c r="F403" s="22" t="s">
        <v>57</v>
      </c>
      <c r="G403" s="22">
        <v>42</v>
      </c>
      <c r="H403" s="2">
        <v>35.840000000000003</v>
      </c>
      <c r="I403" s="64">
        <v>1505.28</v>
      </c>
      <c r="J403" s="2">
        <v>60.65</v>
      </c>
      <c r="K403" s="2">
        <v>394.63</v>
      </c>
      <c r="L403" s="22" t="s">
        <v>38</v>
      </c>
      <c r="M403" s="22" t="s">
        <v>27</v>
      </c>
      <c r="N403" s="22" t="s">
        <v>58</v>
      </c>
    </row>
    <row r="404" spans="1:14" x14ac:dyDescent="0.25">
      <c r="A404" s="22" t="s">
        <v>557</v>
      </c>
      <c r="B404" s="63">
        <v>45554</v>
      </c>
      <c r="C404" s="22" t="str">
        <f>TRIM(Raw_Data!C404)</f>
        <v>Martinez, Laura</v>
      </c>
      <c r="D404" s="22" t="str">
        <f>PROPER(TRIM(Raw_Data!D404))</f>
        <v>Singapore</v>
      </c>
      <c r="E404" s="22" t="s">
        <v>51</v>
      </c>
      <c r="F404" s="22" t="s">
        <v>52</v>
      </c>
      <c r="G404" s="22">
        <v>22</v>
      </c>
      <c r="H404" s="2">
        <v>30.55</v>
      </c>
      <c r="I404" s="64">
        <v>672.1</v>
      </c>
      <c r="J404" s="2">
        <v>46.8</v>
      </c>
      <c r="K404" s="2">
        <v>130.30000000000001</v>
      </c>
      <c r="L404" s="22" t="s">
        <v>26</v>
      </c>
      <c r="M404" s="22" t="s">
        <v>32</v>
      </c>
      <c r="N404" s="22" t="s">
        <v>58</v>
      </c>
    </row>
    <row r="405" spans="1:14" x14ac:dyDescent="0.25">
      <c r="A405" s="22" t="s">
        <v>558</v>
      </c>
      <c r="B405" s="63">
        <v>45752</v>
      </c>
      <c r="C405" s="22" t="str">
        <f>TRIM(Raw_Data!C405)</f>
        <v>Johnson, David</v>
      </c>
      <c r="D405" s="22" t="str">
        <f>PROPER(TRIM(Raw_Data!D405))</f>
        <v>Japan</v>
      </c>
      <c r="E405" s="22" t="s">
        <v>83</v>
      </c>
      <c r="F405" s="22" t="s">
        <v>52</v>
      </c>
      <c r="G405" s="22">
        <v>13</v>
      </c>
      <c r="H405" s="2">
        <v>45.16</v>
      </c>
      <c r="I405" s="64">
        <v>587.08000000000004</v>
      </c>
      <c r="J405" s="2">
        <v>29.68</v>
      </c>
      <c r="K405" s="2">
        <v>193.4</v>
      </c>
      <c r="L405" s="22" t="s">
        <v>26</v>
      </c>
      <c r="M405" s="22" t="s">
        <v>27</v>
      </c>
      <c r="N405" s="22" t="s">
        <v>58</v>
      </c>
    </row>
    <row r="406" spans="1:14" x14ac:dyDescent="0.25">
      <c r="A406" s="22" t="s">
        <v>559</v>
      </c>
      <c r="B406" s="63">
        <v>45465</v>
      </c>
      <c r="C406" s="22" t="str">
        <f>TRIM(Raw_Data!C406)</f>
        <v>Martinez, Emma</v>
      </c>
      <c r="D406" s="22" t="str">
        <f>PROPER(TRIM(Raw_Data!D406))</f>
        <v>Australia</v>
      </c>
      <c r="E406" s="22" t="s">
        <v>17</v>
      </c>
      <c r="F406" s="22" t="s">
        <v>18</v>
      </c>
      <c r="G406" s="22">
        <v>40</v>
      </c>
      <c r="H406" s="2">
        <v>45.23</v>
      </c>
      <c r="I406" s="64">
        <v>1809.2</v>
      </c>
      <c r="J406" s="2">
        <v>136.25</v>
      </c>
      <c r="K406" s="2">
        <v>272.95</v>
      </c>
      <c r="L406" s="22" t="s">
        <v>38</v>
      </c>
      <c r="M406" s="22" t="s">
        <v>32</v>
      </c>
      <c r="N406" s="22" t="s">
        <v>130</v>
      </c>
    </row>
    <row r="407" spans="1:14" x14ac:dyDescent="0.25">
      <c r="A407" s="22" t="s">
        <v>560</v>
      </c>
      <c r="B407" s="63">
        <v>45310</v>
      </c>
      <c r="C407" s="22" t="str">
        <f>TRIM(Raw_Data!C407)</f>
        <v>Smith, James</v>
      </c>
      <c r="D407" s="22" t="str">
        <f>PROPER(TRIM(Raw_Data!D407))</f>
        <v>Japan</v>
      </c>
      <c r="E407" s="22" t="s">
        <v>25</v>
      </c>
      <c r="F407" s="22" t="s">
        <v>18</v>
      </c>
      <c r="G407" s="22">
        <v>41</v>
      </c>
      <c r="H407" s="2">
        <v>22.78</v>
      </c>
      <c r="I407" s="64">
        <v>933.98</v>
      </c>
      <c r="J407" s="2">
        <v>38.369999999999997</v>
      </c>
      <c r="K407" s="2">
        <v>157.61000000000001</v>
      </c>
      <c r="L407" s="22" t="s">
        <v>26</v>
      </c>
      <c r="M407" s="22" t="s">
        <v>20</v>
      </c>
      <c r="N407" s="22" t="s">
        <v>58</v>
      </c>
    </row>
    <row r="408" spans="1:14" x14ac:dyDescent="0.25">
      <c r="A408" s="22" t="s">
        <v>561</v>
      </c>
      <c r="B408" s="63">
        <v>45498</v>
      </c>
      <c r="C408" s="22" t="str">
        <f>TRIM(Raw_Data!C408)</f>
        <v>Brown, Michael</v>
      </c>
      <c r="D408" s="22" t="str">
        <f>PROPER(TRIM(Raw_Data!D408))</f>
        <v>France</v>
      </c>
      <c r="E408" s="22" t="s">
        <v>60</v>
      </c>
      <c r="F408" s="22" t="s">
        <v>52</v>
      </c>
      <c r="G408" s="22">
        <v>34</v>
      </c>
      <c r="H408" s="2">
        <v>24.21</v>
      </c>
      <c r="I408" s="64">
        <v>823.14</v>
      </c>
      <c r="J408" s="2">
        <v>58.25</v>
      </c>
      <c r="K408" s="2">
        <v>237.89</v>
      </c>
      <c r="L408" s="22" t="s">
        <v>19</v>
      </c>
      <c r="M408" s="22" t="s">
        <v>20</v>
      </c>
      <c r="N408" s="22" t="s">
        <v>28</v>
      </c>
    </row>
    <row r="409" spans="1:14" x14ac:dyDescent="0.25">
      <c r="A409" s="22" t="s">
        <v>562</v>
      </c>
      <c r="B409" s="63">
        <v>45762</v>
      </c>
      <c r="C409" s="22" t="str">
        <f>TRIM(Raw_Data!C409)</f>
        <v>Williams, Laura</v>
      </c>
      <c r="D409" s="22" t="str">
        <f>PROPER(TRIM(Raw_Data!D409))</f>
        <v>Uk</v>
      </c>
      <c r="E409" s="22" t="s">
        <v>48</v>
      </c>
      <c r="F409" s="22" t="s">
        <v>37</v>
      </c>
      <c r="G409" s="22">
        <v>46</v>
      </c>
      <c r="H409" s="2">
        <v>34.64</v>
      </c>
      <c r="I409" s="64">
        <v>1593.44</v>
      </c>
      <c r="J409" s="2">
        <v>45.93</v>
      </c>
      <c r="K409" s="2">
        <v>627.51</v>
      </c>
      <c r="L409" s="22" t="s">
        <v>38</v>
      </c>
      <c r="M409" s="22" t="s">
        <v>20</v>
      </c>
      <c r="N409" s="22" t="s">
        <v>28</v>
      </c>
    </row>
    <row r="410" spans="1:14" x14ac:dyDescent="0.25">
      <c r="A410" s="22" t="s">
        <v>563</v>
      </c>
      <c r="B410" s="63">
        <v>45308</v>
      </c>
      <c r="C410" s="22" t="str">
        <f>TRIM(Raw_Data!C410)</f>
        <v>Martinez, Emma</v>
      </c>
      <c r="D410" s="22" t="str">
        <f>PROPER(TRIM(Raw_Data!D410))</f>
        <v>Canada</v>
      </c>
      <c r="E410" s="22" t="s">
        <v>48</v>
      </c>
      <c r="F410" s="22" t="s">
        <v>37</v>
      </c>
      <c r="G410" s="22">
        <v>10</v>
      </c>
      <c r="H410" s="2">
        <v>27.06</v>
      </c>
      <c r="I410" s="64">
        <v>270.60000000000002</v>
      </c>
      <c r="J410" s="2">
        <v>15.35</v>
      </c>
      <c r="K410" s="2">
        <v>55.25</v>
      </c>
      <c r="L410" s="22" t="s">
        <v>19</v>
      </c>
      <c r="M410" s="22" t="s">
        <v>32</v>
      </c>
      <c r="N410" s="22" t="s">
        <v>21</v>
      </c>
    </row>
    <row r="411" spans="1:14" x14ac:dyDescent="0.25">
      <c r="A411" s="22" t="s">
        <v>564</v>
      </c>
      <c r="B411" s="63">
        <v>45575</v>
      </c>
      <c r="C411" s="22" t="str">
        <f>TRIM(Raw_Data!C411)</f>
        <v>Brown, Sarah</v>
      </c>
      <c r="D411" s="22" t="str">
        <f>PROPER(TRIM(Raw_Data!D411))</f>
        <v>Uk</v>
      </c>
      <c r="E411" s="22" t="s">
        <v>25</v>
      </c>
      <c r="F411" s="22" t="s">
        <v>18</v>
      </c>
      <c r="G411" s="22">
        <v>11</v>
      </c>
      <c r="H411" s="2">
        <v>27.74</v>
      </c>
      <c r="I411" s="64">
        <v>305.14</v>
      </c>
      <c r="J411" s="2">
        <v>10.81</v>
      </c>
      <c r="K411" s="2">
        <v>96.33</v>
      </c>
      <c r="L411" s="22" t="s">
        <v>26</v>
      </c>
      <c r="M411" s="22" t="s">
        <v>32</v>
      </c>
      <c r="N411" s="22" t="s">
        <v>28</v>
      </c>
    </row>
    <row r="412" spans="1:14" x14ac:dyDescent="0.25">
      <c r="A412" s="22" t="s">
        <v>565</v>
      </c>
      <c r="B412" s="63">
        <v>45305</v>
      </c>
      <c r="C412" s="22" t="str">
        <f>TRIM(Raw_Data!C412)</f>
        <v>Martinez, Michael</v>
      </c>
      <c r="D412" s="22" t="str">
        <f>PROPER(TRIM(Raw_Data!D412))</f>
        <v>Canada</v>
      </c>
      <c r="E412" s="22" t="s">
        <v>83</v>
      </c>
      <c r="F412" s="22" t="s">
        <v>52</v>
      </c>
      <c r="G412" s="22">
        <v>29</v>
      </c>
      <c r="H412" s="2">
        <v>38.08</v>
      </c>
      <c r="I412" s="64">
        <v>1104.32</v>
      </c>
      <c r="J412" s="2">
        <v>25.63</v>
      </c>
      <c r="K412" s="2">
        <v>266.69</v>
      </c>
      <c r="L412" s="22" t="s">
        <v>26</v>
      </c>
      <c r="M412" s="22" t="s">
        <v>32</v>
      </c>
      <c r="N412" s="22" t="s">
        <v>21</v>
      </c>
    </row>
    <row r="413" spans="1:14" x14ac:dyDescent="0.25">
      <c r="A413" s="22" t="s">
        <v>566</v>
      </c>
      <c r="B413" s="63">
        <v>45749</v>
      </c>
      <c r="C413" s="22" t="str">
        <f>TRIM(Raw_Data!C413)</f>
        <v>Smith, Michael</v>
      </c>
      <c r="D413" s="22" t="str">
        <f>PROPER(TRIM(Raw_Data!D413))</f>
        <v>Canada</v>
      </c>
      <c r="E413" s="22" t="s">
        <v>83</v>
      </c>
      <c r="F413" s="22" t="s">
        <v>52</v>
      </c>
      <c r="G413" s="22">
        <v>18</v>
      </c>
      <c r="H413" s="2">
        <v>43.65</v>
      </c>
      <c r="I413" s="64">
        <v>785.7</v>
      </c>
      <c r="J413" s="2">
        <v>54.52</v>
      </c>
      <c r="K413" s="2">
        <v>227.18</v>
      </c>
      <c r="L413" s="22" t="s">
        <v>26</v>
      </c>
      <c r="M413" s="22" t="s">
        <v>20</v>
      </c>
      <c r="N413" s="22" t="s">
        <v>21</v>
      </c>
    </row>
    <row r="414" spans="1:14" x14ac:dyDescent="0.25">
      <c r="A414" s="22" t="s">
        <v>567</v>
      </c>
      <c r="B414" s="63">
        <v>45335</v>
      </c>
      <c r="C414" s="22" t="str">
        <f>TRIM(Raw_Data!C414)</f>
        <v>Brown, David</v>
      </c>
      <c r="D414" s="22" t="str">
        <f>PROPER(TRIM(Raw_Data!D414))</f>
        <v>France</v>
      </c>
      <c r="E414" s="22" t="s">
        <v>17</v>
      </c>
      <c r="F414" s="22" t="s">
        <v>18</v>
      </c>
      <c r="G414" s="22">
        <v>49</v>
      </c>
      <c r="H414" s="2">
        <v>51.97</v>
      </c>
      <c r="I414" s="64">
        <v>2546.5300000000002</v>
      </c>
      <c r="J414" s="2">
        <v>112.26</v>
      </c>
      <c r="K414" s="2">
        <v>719.27</v>
      </c>
      <c r="L414" s="22" t="s">
        <v>26</v>
      </c>
      <c r="M414" s="22" t="s">
        <v>27</v>
      </c>
      <c r="N414" s="22" t="s">
        <v>28</v>
      </c>
    </row>
    <row r="415" spans="1:14" x14ac:dyDescent="0.25">
      <c r="A415" s="22" t="s">
        <v>568</v>
      </c>
      <c r="B415" s="63">
        <v>45680</v>
      </c>
      <c r="C415" s="22" t="str">
        <f>TRIM(Raw_Data!C415)</f>
        <v>Garcia, Emily</v>
      </c>
      <c r="D415" s="22" t="str">
        <f>PROPER(TRIM(Raw_Data!D415))</f>
        <v>Singapore</v>
      </c>
      <c r="E415" s="22" t="s">
        <v>56</v>
      </c>
      <c r="F415" s="22" t="s">
        <v>57</v>
      </c>
      <c r="G415" s="22">
        <v>13</v>
      </c>
      <c r="H415" s="2">
        <v>36.85</v>
      </c>
      <c r="I415" s="64">
        <v>479.05</v>
      </c>
      <c r="J415" s="2">
        <v>10.15</v>
      </c>
      <c r="K415" s="2">
        <v>143.9</v>
      </c>
      <c r="L415" s="22" t="s">
        <v>19</v>
      </c>
      <c r="M415" s="22" t="s">
        <v>32</v>
      </c>
      <c r="N415" s="22" t="s">
        <v>58</v>
      </c>
    </row>
    <row r="416" spans="1:14" x14ac:dyDescent="0.25">
      <c r="A416" s="22" t="s">
        <v>569</v>
      </c>
      <c r="B416" s="63">
        <v>45443</v>
      </c>
      <c r="C416" s="22" t="str">
        <f>TRIM(Raw_Data!C416)</f>
        <v>Davis, Sarah</v>
      </c>
      <c r="D416" s="22" t="str">
        <f>PROPER(TRIM(Raw_Data!D416))</f>
        <v>Canada</v>
      </c>
      <c r="E416" s="22" t="s">
        <v>36</v>
      </c>
      <c r="F416" s="22" t="s">
        <v>37</v>
      </c>
      <c r="G416" s="22">
        <v>33</v>
      </c>
      <c r="H416" s="2">
        <v>38.520000000000003</v>
      </c>
      <c r="I416" s="64">
        <v>1271.1600000000001</v>
      </c>
      <c r="J416" s="2">
        <v>81.459999999999994</v>
      </c>
      <c r="K416" s="2">
        <v>133.69999999999999</v>
      </c>
      <c r="L416" s="22" t="s">
        <v>19</v>
      </c>
      <c r="M416" s="22" t="s">
        <v>20</v>
      </c>
      <c r="N416" s="22" t="s">
        <v>21</v>
      </c>
    </row>
    <row r="417" spans="1:14" x14ac:dyDescent="0.25">
      <c r="A417" s="22" t="s">
        <v>570</v>
      </c>
      <c r="B417" s="63">
        <v>45769</v>
      </c>
      <c r="C417" s="22" t="str">
        <f>TRIM(Raw_Data!C417)</f>
        <v>Hernandez, David</v>
      </c>
      <c r="D417" s="22" t="str">
        <f>PROPER(TRIM(Raw_Data!D417))</f>
        <v>China</v>
      </c>
      <c r="E417" s="22" t="s">
        <v>60</v>
      </c>
      <c r="F417" s="22" t="s">
        <v>52</v>
      </c>
      <c r="G417" s="22">
        <v>41</v>
      </c>
      <c r="H417" s="2">
        <v>26.98</v>
      </c>
      <c r="I417" s="64">
        <v>1106.18</v>
      </c>
      <c r="J417" s="2">
        <v>51.77</v>
      </c>
      <c r="K417" s="2">
        <v>418.91</v>
      </c>
      <c r="L417" s="22" t="s">
        <v>38</v>
      </c>
      <c r="M417" s="22" t="s">
        <v>27</v>
      </c>
      <c r="N417" s="22" t="s">
        <v>58</v>
      </c>
    </row>
    <row r="418" spans="1:14" x14ac:dyDescent="0.25">
      <c r="A418" s="22" t="s">
        <v>571</v>
      </c>
      <c r="B418" s="63">
        <v>45347</v>
      </c>
      <c r="C418" s="22" t="str">
        <f>TRIM(Raw_Data!C418)</f>
        <v>Martinez, Michael</v>
      </c>
      <c r="D418" s="22" t="str">
        <f>PROPER(TRIM(Raw_Data!D418))</f>
        <v>France</v>
      </c>
      <c r="E418" s="22" t="s">
        <v>60</v>
      </c>
      <c r="F418" s="22" t="s">
        <v>52</v>
      </c>
      <c r="G418" s="22">
        <v>4</v>
      </c>
      <c r="H418" s="2">
        <v>23.56</v>
      </c>
      <c r="I418" s="64">
        <v>94.24</v>
      </c>
      <c r="J418" s="2">
        <v>7.03</v>
      </c>
      <c r="K418" s="2">
        <v>25.21</v>
      </c>
      <c r="L418" s="22" t="s">
        <v>38</v>
      </c>
      <c r="M418" s="22" t="s">
        <v>32</v>
      </c>
      <c r="N418" s="22" t="s">
        <v>28</v>
      </c>
    </row>
    <row r="419" spans="1:14" x14ac:dyDescent="0.25">
      <c r="A419" s="22" t="s">
        <v>572</v>
      </c>
      <c r="B419" s="63">
        <v>45494</v>
      </c>
      <c r="C419" s="22" t="str">
        <f>TRIM(Raw_Data!C419)</f>
        <v>Johnson, Emily</v>
      </c>
      <c r="D419" s="22" t="str">
        <f>PROPER(TRIM(Raw_Data!D419))</f>
        <v>India</v>
      </c>
      <c r="E419" s="22" t="s">
        <v>36</v>
      </c>
      <c r="F419" s="22" t="s">
        <v>37</v>
      </c>
      <c r="G419" s="22">
        <v>17</v>
      </c>
      <c r="H419" s="2">
        <v>57.14</v>
      </c>
      <c r="I419" s="64">
        <v>971.38</v>
      </c>
      <c r="J419" s="2">
        <v>70.010000000000005</v>
      </c>
      <c r="K419" s="2">
        <v>357.37</v>
      </c>
      <c r="L419" s="22" t="s">
        <v>38</v>
      </c>
      <c r="M419" s="22" t="s">
        <v>27</v>
      </c>
      <c r="N419" s="22" t="s">
        <v>58</v>
      </c>
    </row>
    <row r="420" spans="1:14" x14ac:dyDescent="0.25">
      <c r="A420" s="22" t="s">
        <v>573</v>
      </c>
      <c r="B420" s="63">
        <v>45705</v>
      </c>
      <c r="C420" s="22" t="str">
        <f>TRIM(Raw_Data!C420)</f>
        <v>Hernandez, John</v>
      </c>
      <c r="D420" s="22" t="str">
        <f>PROPER(TRIM(Raw_Data!D420))</f>
        <v>Australia</v>
      </c>
      <c r="E420" s="22" t="s">
        <v>56</v>
      </c>
      <c r="F420" s="22" t="s">
        <v>57</v>
      </c>
      <c r="G420" s="22">
        <v>44</v>
      </c>
      <c r="H420" s="2">
        <v>38.14</v>
      </c>
      <c r="I420" s="64">
        <v>1678.16</v>
      </c>
      <c r="J420" s="2">
        <v>124.49</v>
      </c>
      <c r="K420" s="2">
        <v>453.67</v>
      </c>
      <c r="L420" s="22" t="s">
        <v>38</v>
      </c>
      <c r="M420" s="22" t="s">
        <v>20</v>
      </c>
      <c r="N420" s="22" t="s">
        <v>130</v>
      </c>
    </row>
    <row r="421" spans="1:14" x14ac:dyDescent="0.25">
      <c r="A421" s="22" t="s">
        <v>574</v>
      </c>
      <c r="B421" s="63">
        <v>45482</v>
      </c>
      <c r="C421" s="22" t="str">
        <f>TRIM(Raw_Data!C421)</f>
        <v>Brown, Michael</v>
      </c>
      <c r="D421" s="22" t="str">
        <f>PROPER(TRIM(Raw_Data!D421))</f>
        <v>South Africa</v>
      </c>
      <c r="E421" s="22" t="s">
        <v>25</v>
      </c>
      <c r="F421" s="22" t="s">
        <v>18</v>
      </c>
      <c r="G421" s="22">
        <v>14</v>
      </c>
      <c r="H421" s="2">
        <v>24</v>
      </c>
      <c r="I421" s="64">
        <v>336</v>
      </c>
      <c r="J421" s="2">
        <v>22.88</v>
      </c>
      <c r="K421" s="2">
        <v>61.12</v>
      </c>
      <c r="L421" s="22" t="s">
        <v>26</v>
      </c>
      <c r="M421" s="22" t="s">
        <v>27</v>
      </c>
      <c r="N421" s="22" t="s">
        <v>87</v>
      </c>
    </row>
    <row r="422" spans="1:14" x14ac:dyDescent="0.25">
      <c r="A422" s="22" t="s">
        <v>575</v>
      </c>
      <c r="B422" s="63">
        <v>45346</v>
      </c>
      <c r="C422" s="22" t="str">
        <f>TRIM(Raw_Data!C422)</f>
        <v>Williams, David</v>
      </c>
      <c r="D422" s="22" t="str">
        <f>PROPER(TRIM(Raw_Data!D422))</f>
        <v>China</v>
      </c>
      <c r="E422" s="22" t="s">
        <v>60</v>
      </c>
      <c r="F422" s="22" t="s">
        <v>52</v>
      </c>
      <c r="G422" s="22">
        <v>50</v>
      </c>
      <c r="H422" s="2">
        <v>26.91</v>
      </c>
      <c r="I422" s="64">
        <v>1345.5</v>
      </c>
      <c r="J422" s="2">
        <v>91.7</v>
      </c>
      <c r="K422" s="2">
        <v>478.8</v>
      </c>
      <c r="L422" s="22" t="s">
        <v>38</v>
      </c>
      <c r="M422" s="22" t="s">
        <v>20</v>
      </c>
      <c r="N422" s="22" t="s">
        <v>58</v>
      </c>
    </row>
    <row r="423" spans="1:14" x14ac:dyDescent="0.25">
      <c r="A423" s="22" t="s">
        <v>576</v>
      </c>
      <c r="B423" s="63">
        <v>45790</v>
      </c>
      <c r="C423" s="22" t="str">
        <f>TRIM(Raw_Data!C423)</f>
        <v>Hernandez, Michael</v>
      </c>
      <c r="D423" s="22" t="str">
        <f>PROPER(TRIM(Raw_Data!D423))</f>
        <v>Italy</v>
      </c>
      <c r="E423" s="22" t="s">
        <v>43</v>
      </c>
      <c r="F423" s="22" t="s">
        <v>44</v>
      </c>
      <c r="G423" s="22">
        <v>7</v>
      </c>
      <c r="H423" s="2">
        <v>59.41</v>
      </c>
      <c r="I423" s="64">
        <v>415.87</v>
      </c>
      <c r="J423" s="2">
        <v>25.51</v>
      </c>
      <c r="K423" s="2">
        <v>110.36</v>
      </c>
      <c r="L423" s="22" t="s">
        <v>19</v>
      </c>
      <c r="M423" s="22" t="s">
        <v>32</v>
      </c>
      <c r="N423" s="22" t="s">
        <v>28</v>
      </c>
    </row>
    <row r="424" spans="1:14" x14ac:dyDescent="0.25">
      <c r="A424" s="22" t="s">
        <v>577</v>
      </c>
      <c r="B424" s="63">
        <v>45301</v>
      </c>
      <c r="C424" s="22" t="str">
        <f>TRIM(Raw_Data!C424)</f>
        <v>Garcia, David</v>
      </c>
      <c r="D424" s="22" t="str">
        <f>PROPER(TRIM(Raw_Data!D424))</f>
        <v>Japan</v>
      </c>
      <c r="E424" s="22" t="s">
        <v>56</v>
      </c>
      <c r="F424" s="22" t="s">
        <v>57</v>
      </c>
      <c r="G424" s="22">
        <v>48</v>
      </c>
      <c r="H424" s="2">
        <v>37.31</v>
      </c>
      <c r="I424" s="64">
        <v>1790.88</v>
      </c>
      <c r="J424" s="2">
        <v>67.45</v>
      </c>
      <c r="K424" s="2">
        <v>523.42999999999995</v>
      </c>
      <c r="L424" s="22" t="s">
        <v>19</v>
      </c>
      <c r="M424" s="22" t="s">
        <v>27</v>
      </c>
      <c r="N424" s="22" t="s">
        <v>58</v>
      </c>
    </row>
    <row r="425" spans="1:14" x14ac:dyDescent="0.25">
      <c r="A425" s="22" t="s">
        <v>578</v>
      </c>
      <c r="B425" s="63">
        <v>45476</v>
      </c>
      <c r="C425" s="22" t="str">
        <f>TRIM(Raw_Data!C425)</f>
        <v>Miller, Sophia</v>
      </c>
      <c r="D425" s="22" t="str">
        <f>PROPER(TRIM(Raw_Data!D425))</f>
        <v>Uae</v>
      </c>
      <c r="E425" s="22" t="s">
        <v>43</v>
      </c>
      <c r="F425" s="22" t="s">
        <v>44</v>
      </c>
      <c r="G425" s="22">
        <v>38</v>
      </c>
      <c r="H425" s="2">
        <v>52.91</v>
      </c>
      <c r="I425" s="64">
        <v>2010.58</v>
      </c>
      <c r="J425" s="2">
        <v>94.22</v>
      </c>
      <c r="K425" s="2">
        <v>396.36</v>
      </c>
      <c r="L425" s="22" t="s">
        <v>19</v>
      </c>
      <c r="M425" s="22" t="s">
        <v>20</v>
      </c>
      <c r="N425" s="22" t="s">
        <v>58</v>
      </c>
    </row>
    <row r="426" spans="1:14" x14ac:dyDescent="0.25">
      <c r="A426" s="22" t="s">
        <v>579</v>
      </c>
      <c r="B426" s="63">
        <v>45792</v>
      </c>
      <c r="C426" s="22" t="str">
        <f>TRIM(Raw_Data!C426)</f>
        <v>Davis, James</v>
      </c>
      <c r="D426" s="22" t="str">
        <f>PROPER(TRIM(Raw_Data!D426))</f>
        <v>Uk</v>
      </c>
      <c r="E426" s="22" t="s">
        <v>25</v>
      </c>
      <c r="F426" s="22" t="s">
        <v>18</v>
      </c>
      <c r="G426" s="22">
        <v>14</v>
      </c>
      <c r="H426" s="2">
        <v>27.09</v>
      </c>
      <c r="I426" s="64">
        <v>379.26</v>
      </c>
      <c r="J426" s="2">
        <v>14.42</v>
      </c>
      <c r="K426" s="2">
        <v>112.84</v>
      </c>
      <c r="L426" s="22" t="s">
        <v>38</v>
      </c>
      <c r="M426" s="22" t="s">
        <v>32</v>
      </c>
      <c r="N426" s="22" t="s">
        <v>28</v>
      </c>
    </row>
    <row r="427" spans="1:14" x14ac:dyDescent="0.25">
      <c r="A427" s="22" t="s">
        <v>580</v>
      </c>
      <c r="B427" s="63">
        <v>45350</v>
      </c>
      <c r="C427" s="22" t="str">
        <f>TRIM(Raw_Data!C427)</f>
        <v>Hernandez, John</v>
      </c>
      <c r="D427" s="22" t="str">
        <f>PROPER(TRIM(Raw_Data!D427))</f>
        <v>Japan</v>
      </c>
      <c r="E427" s="22" t="s">
        <v>51</v>
      </c>
      <c r="F427" s="22" t="s">
        <v>52</v>
      </c>
      <c r="G427" s="22">
        <v>41</v>
      </c>
      <c r="H427" s="2">
        <v>30.52</v>
      </c>
      <c r="I427" s="64">
        <v>1251.32</v>
      </c>
      <c r="J427" s="2">
        <v>56.88</v>
      </c>
      <c r="K427" s="2">
        <v>271.94</v>
      </c>
      <c r="L427" s="22" t="s">
        <v>19</v>
      </c>
      <c r="M427" s="22" t="s">
        <v>32</v>
      </c>
      <c r="N427" s="22" t="s">
        <v>58</v>
      </c>
    </row>
    <row r="428" spans="1:14" x14ac:dyDescent="0.25">
      <c r="A428" s="22" t="s">
        <v>581</v>
      </c>
      <c r="B428" s="63">
        <v>45424</v>
      </c>
      <c r="C428" s="22" t="str">
        <f>TRIM(Raw_Data!C428)</f>
        <v>Martinez, Emily</v>
      </c>
      <c r="D428" s="22" t="str">
        <f>PROPER(TRIM(Raw_Data!D428))</f>
        <v>Canada</v>
      </c>
      <c r="E428" s="22" t="s">
        <v>83</v>
      </c>
      <c r="F428" s="22" t="s">
        <v>52</v>
      </c>
      <c r="G428" s="22">
        <v>23</v>
      </c>
      <c r="H428" s="2">
        <v>40.94</v>
      </c>
      <c r="I428" s="64">
        <v>941.62</v>
      </c>
      <c r="J428" s="2">
        <v>71.66</v>
      </c>
      <c r="K428" s="2">
        <v>225.96</v>
      </c>
      <c r="L428" s="22" t="s">
        <v>26</v>
      </c>
      <c r="M428" s="22" t="s">
        <v>32</v>
      </c>
      <c r="N428" s="22" t="s">
        <v>21</v>
      </c>
    </row>
    <row r="429" spans="1:14" x14ac:dyDescent="0.25">
      <c r="A429" s="22" t="s">
        <v>582</v>
      </c>
      <c r="B429" s="63">
        <v>45457</v>
      </c>
      <c r="C429" s="22" t="str">
        <f>TRIM(Raw_Data!C429)</f>
        <v>Johnson, Emily</v>
      </c>
      <c r="D429" s="22" t="str">
        <f>PROPER(TRIM(Raw_Data!D429))</f>
        <v>Germany</v>
      </c>
      <c r="E429" s="22" t="s">
        <v>83</v>
      </c>
      <c r="F429" s="22" t="s">
        <v>52</v>
      </c>
      <c r="G429" s="22">
        <v>34</v>
      </c>
      <c r="H429" s="2">
        <v>41.77</v>
      </c>
      <c r="I429" s="64">
        <v>1420.18</v>
      </c>
      <c r="J429" s="2">
        <v>112.45</v>
      </c>
      <c r="K429" s="2">
        <v>355.73</v>
      </c>
      <c r="L429" s="22" t="s">
        <v>26</v>
      </c>
      <c r="M429" s="22" t="s">
        <v>32</v>
      </c>
      <c r="N429" s="22" t="s">
        <v>28</v>
      </c>
    </row>
    <row r="430" spans="1:14" x14ac:dyDescent="0.25">
      <c r="A430" s="22" t="s">
        <v>583</v>
      </c>
      <c r="B430" s="63">
        <v>45529</v>
      </c>
      <c r="C430" s="22" t="str">
        <f>TRIM(Raw_Data!C430)</f>
        <v>Brown, Michael</v>
      </c>
      <c r="D430" s="22" t="str">
        <f>PROPER(TRIM(Raw_Data!D430))</f>
        <v>India</v>
      </c>
      <c r="E430" s="22" t="s">
        <v>43</v>
      </c>
      <c r="F430" s="22" t="s">
        <v>44</v>
      </c>
      <c r="G430" s="22">
        <v>32</v>
      </c>
      <c r="H430" s="2">
        <v>69.98</v>
      </c>
      <c r="I430" s="64">
        <v>2239.36</v>
      </c>
      <c r="J430" s="2">
        <v>133.51</v>
      </c>
      <c r="K430" s="2">
        <v>825.85</v>
      </c>
      <c r="L430" s="22" t="s">
        <v>38</v>
      </c>
      <c r="M430" s="22" t="s">
        <v>20</v>
      </c>
      <c r="N430" s="22" t="s">
        <v>58</v>
      </c>
    </row>
    <row r="431" spans="1:14" x14ac:dyDescent="0.25">
      <c r="A431" s="22" t="s">
        <v>584</v>
      </c>
      <c r="B431" s="63">
        <v>45292</v>
      </c>
      <c r="C431" s="22" t="str">
        <f>TRIM(Raw_Data!C431)</f>
        <v>Brown, Daniel</v>
      </c>
      <c r="D431" s="22" t="str">
        <f>PROPER(TRIM(Raw_Data!D431))</f>
        <v>Uk</v>
      </c>
      <c r="E431" s="22" t="s">
        <v>17</v>
      </c>
      <c r="F431" s="22" t="s">
        <v>18</v>
      </c>
      <c r="G431" s="22">
        <v>25</v>
      </c>
      <c r="H431" s="2">
        <v>42.91</v>
      </c>
      <c r="I431" s="64">
        <v>1072.75</v>
      </c>
      <c r="J431" s="2">
        <v>80.02</v>
      </c>
      <c r="K431" s="2">
        <v>117.73</v>
      </c>
      <c r="L431" s="22" t="s">
        <v>26</v>
      </c>
      <c r="M431" s="22" t="s">
        <v>27</v>
      </c>
      <c r="N431" s="22" t="s">
        <v>28</v>
      </c>
    </row>
    <row r="432" spans="1:14" x14ac:dyDescent="0.25">
      <c r="A432" s="22" t="s">
        <v>585</v>
      </c>
      <c r="B432" s="63">
        <v>45644</v>
      </c>
      <c r="C432" s="22" t="str">
        <f>TRIM(Raw_Data!C432)</f>
        <v>Williams, Sophia</v>
      </c>
      <c r="D432" s="22" t="str">
        <f>PROPER(TRIM(Raw_Data!D432))</f>
        <v>Canada</v>
      </c>
      <c r="E432" s="22" t="s">
        <v>63</v>
      </c>
      <c r="F432" s="22" t="s">
        <v>37</v>
      </c>
      <c r="G432" s="22">
        <v>7</v>
      </c>
      <c r="H432" s="2">
        <v>22.6</v>
      </c>
      <c r="I432" s="64">
        <v>158.19999999999999</v>
      </c>
      <c r="J432" s="2">
        <v>7.04</v>
      </c>
      <c r="K432" s="2">
        <v>61.91</v>
      </c>
      <c r="L432" s="22" t="s">
        <v>38</v>
      </c>
      <c r="M432" s="22" t="s">
        <v>20</v>
      </c>
      <c r="N432" s="22" t="s">
        <v>21</v>
      </c>
    </row>
    <row r="433" spans="1:14" x14ac:dyDescent="0.25">
      <c r="A433" s="22" t="s">
        <v>586</v>
      </c>
      <c r="B433" s="63">
        <v>45470</v>
      </c>
      <c r="C433" s="22" t="str">
        <f>TRIM(Raw_Data!C433)</f>
        <v>Davis, David</v>
      </c>
      <c r="D433" s="22" t="str">
        <f>PROPER(TRIM(Raw_Data!D433))</f>
        <v>Usa</v>
      </c>
      <c r="E433" s="22" t="s">
        <v>63</v>
      </c>
      <c r="F433" s="22" t="s">
        <v>37</v>
      </c>
      <c r="G433" s="22">
        <v>48</v>
      </c>
      <c r="H433" s="2">
        <v>19.5</v>
      </c>
      <c r="I433" s="64">
        <v>936</v>
      </c>
      <c r="J433" s="2">
        <v>70.069999999999993</v>
      </c>
      <c r="K433" s="2">
        <v>253.93</v>
      </c>
      <c r="L433" s="22" t="s">
        <v>19</v>
      </c>
      <c r="M433" s="22" t="s">
        <v>27</v>
      </c>
      <c r="N433" s="22" t="s">
        <v>21</v>
      </c>
    </row>
    <row r="434" spans="1:14" x14ac:dyDescent="0.25">
      <c r="A434" s="22" t="s">
        <v>587</v>
      </c>
      <c r="B434" s="63">
        <v>45546</v>
      </c>
      <c r="C434" s="22" t="str">
        <f>TRIM(Raw_Data!C434)</f>
        <v>Davis, John</v>
      </c>
      <c r="D434" s="22" t="str">
        <f>PROPER(TRIM(Raw_Data!D434))</f>
        <v>Australia</v>
      </c>
      <c r="E434" s="22" t="s">
        <v>43</v>
      </c>
      <c r="F434" s="22" t="s">
        <v>44</v>
      </c>
      <c r="G434" s="22">
        <v>32</v>
      </c>
      <c r="H434" s="2">
        <v>49.97</v>
      </c>
      <c r="I434" s="64">
        <v>1599.04</v>
      </c>
      <c r="J434" s="2">
        <v>43.1</v>
      </c>
      <c r="K434" s="2">
        <v>275.94</v>
      </c>
      <c r="L434" s="22" t="s">
        <v>26</v>
      </c>
      <c r="M434" s="22" t="s">
        <v>32</v>
      </c>
      <c r="N434" s="22" t="s">
        <v>130</v>
      </c>
    </row>
    <row r="435" spans="1:14" x14ac:dyDescent="0.25">
      <c r="A435" s="22" t="s">
        <v>588</v>
      </c>
      <c r="B435" s="63">
        <v>45661</v>
      </c>
      <c r="C435" s="22" t="str">
        <f>TRIM(Raw_Data!C435)</f>
        <v>Smith, Emily</v>
      </c>
      <c r="D435" s="22" t="str">
        <f>PROPER(TRIM(Raw_Data!D435))</f>
        <v>France</v>
      </c>
      <c r="E435" s="22" t="s">
        <v>60</v>
      </c>
      <c r="F435" s="22" t="s">
        <v>52</v>
      </c>
      <c r="G435" s="22">
        <v>41</v>
      </c>
      <c r="H435" s="2">
        <v>25.62</v>
      </c>
      <c r="I435" s="64">
        <v>1050.42</v>
      </c>
      <c r="J435" s="2">
        <v>79.2</v>
      </c>
      <c r="K435" s="2">
        <v>335.72</v>
      </c>
      <c r="L435" s="22" t="s">
        <v>19</v>
      </c>
      <c r="M435" s="22" t="s">
        <v>27</v>
      </c>
      <c r="N435" s="22" t="s">
        <v>28</v>
      </c>
    </row>
    <row r="436" spans="1:14" x14ac:dyDescent="0.25">
      <c r="A436" s="22" t="s">
        <v>589</v>
      </c>
      <c r="B436" s="63">
        <v>45339</v>
      </c>
      <c r="C436" s="22" t="str">
        <f>TRIM(Raw_Data!C436)</f>
        <v>Martinez, David</v>
      </c>
      <c r="D436" s="22" t="str">
        <f>PROPER(TRIM(Raw_Data!D436))</f>
        <v>Usa</v>
      </c>
      <c r="E436" s="22" t="s">
        <v>63</v>
      </c>
      <c r="F436" s="22" t="s">
        <v>37</v>
      </c>
      <c r="G436" s="22">
        <v>46</v>
      </c>
      <c r="H436" s="2">
        <v>16.78</v>
      </c>
      <c r="I436" s="64">
        <v>771.88</v>
      </c>
      <c r="J436" s="2">
        <v>18.04</v>
      </c>
      <c r="K436" s="2">
        <v>167.34</v>
      </c>
      <c r="L436" s="22" t="s">
        <v>38</v>
      </c>
      <c r="M436" s="22" t="s">
        <v>32</v>
      </c>
      <c r="N436" s="22" t="s">
        <v>21</v>
      </c>
    </row>
    <row r="437" spans="1:14" x14ac:dyDescent="0.25">
      <c r="A437" s="22" t="s">
        <v>590</v>
      </c>
      <c r="B437" s="63">
        <v>45325</v>
      </c>
      <c r="C437" s="22" t="str">
        <f>TRIM(Raw_Data!C437)</f>
        <v>Davis, Daniel</v>
      </c>
      <c r="D437" s="22" t="str">
        <f>PROPER(TRIM(Raw_Data!D437))</f>
        <v>Italy</v>
      </c>
      <c r="E437" s="22" t="s">
        <v>36</v>
      </c>
      <c r="F437" s="22" t="s">
        <v>37</v>
      </c>
      <c r="G437" s="22">
        <v>16</v>
      </c>
      <c r="H437" s="2">
        <v>42.18</v>
      </c>
      <c r="I437" s="64">
        <v>674.88</v>
      </c>
      <c r="J437" s="2">
        <v>19.100000000000001</v>
      </c>
      <c r="K437" s="2">
        <v>143.78</v>
      </c>
      <c r="L437" s="22" t="s">
        <v>19</v>
      </c>
      <c r="M437" s="22" t="s">
        <v>32</v>
      </c>
      <c r="N437" s="22" t="s">
        <v>28</v>
      </c>
    </row>
    <row r="438" spans="1:14" x14ac:dyDescent="0.25">
      <c r="A438" s="22" t="s">
        <v>591</v>
      </c>
      <c r="B438" s="63">
        <v>45518</v>
      </c>
      <c r="C438" s="22" t="str">
        <f>TRIM(Raw_Data!C438)</f>
        <v>Davis, James</v>
      </c>
      <c r="D438" s="22" t="str">
        <f>PROPER(TRIM(Raw_Data!D438))</f>
        <v>France</v>
      </c>
      <c r="E438" s="22" t="s">
        <v>56</v>
      </c>
      <c r="F438" s="22" t="s">
        <v>57</v>
      </c>
      <c r="G438" s="22">
        <v>12</v>
      </c>
      <c r="H438" s="2">
        <v>34.97</v>
      </c>
      <c r="I438" s="64">
        <v>419.64</v>
      </c>
      <c r="J438" s="2">
        <v>28.48</v>
      </c>
      <c r="K438" s="2">
        <v>91.16</v>
      </c>
      <c r="L438" s="22" t="s">
        <v>19</v>
      </c>
      <c r="M438" s="22" t="s">
        <v>20</v>
      </c>
      <c r="N438" s="22" t="s">
        <v>28</v>
      </c>
    </row>
    <row r="439" spans="1:14" x14ac:dyDescent="0.25">
      <c r="A439" s="22" t="s">
        <v>592</v>
      </c>
      <c r="B439" s="63">
        <v>45649</v>
      </c>
      <c r="C439" s="22" t="str">
        <f>TRIM(Raw_Data!C439)</f>
        <v>Jones, David</v>
      </c>
      <c r="D439" s="22" t="str">
        <f>PROPER(TRIM(Raw_Data!D439))</f>
        <v>Brazil</v>
      </c>
      <c r="E439" s="22" t="s">
        <v>48</v>
      </c>
      <c r="F439" s="22" t="s">
        <v>37</v>
      </c>
      <c r="G439" s="22">
        <v>31</v>
      </c>
      <c r="H439" s="2">
        <v>33.619999999999997</v>
      </c>
      <c r="I439" s="64">
        <v>1042.22</v>
      </c>
      <c r="J439" s="2">
        <v>26.33</v>
      </c>
      <c r="K439" s="2">
        <v>395.89</v>
      </c>
      <c r="L439" s="22" t="s">
        <v>38</v>
      </c>
      <c r="M439" s="22" t="s">
        <v>32</v>
      </c>
      <c r="N439" s="22" t="s">
        <v>39</v>
      </c>
    </row>
    <row r="440" spans="1:14" x14ac:dyDescent="0.25">
      <c r="A440" s="22" t="s">
        <v>593</v>
      </c>
      <c r="B440" s="63">
        <v>45614</v>
      </c>
      <c r="C440" s="22" t="str">
        <f>TRIM(Raw_Data!C440)</f>
        <v>Smith, Laura</v>
      </c>
      <c r="D440" s="22" t="str">
        <f>PROPER(TRIM(Raw_Data!D440))</f>
        <v>Uae</v>
      </c>
      <c r="E440" s="22" t="s">
        <v>51</v>
      </c>
      <c r="F440" s="22" t="s">
        <v>52</v>
      </c>
      <c r="G440" s="22">
        <v>40</v>
      </c>
      <c r="H440" s="2">
        <v>30.56</v>
      </c>
      <c r="I440" s="64">
        <v>1222.4000000000001</v>
      </c>
      <c r="J440" s="2">
        <v>26.42</v>
      </c>
      <c r="K440" s="2">
        <v>295.98</v>
      </c>
      <c r="L440" s="22" t="s">
        <v>19</v>
      </c>
      <c r="M440" s="22" t="s">
        <v>20</v>
      </c>
      <c r="N440" s="22" t="s">
        <v>58</v>
      </c>
    </row>
    <row r="441" spans="1:14" x14ac:dyDescent="0.25">
      <c r="A441" s="22" t="s">
        <v>594</v>
      </c>
      <c r="B441" s="63">
        <v>45679</v>
      </c>
      <c r="C441" s="22" t="str">
        <f>TRIM(Raw_Data!C441)</f>
        <v>Martinez, Emma</v>
      </c>
      <c r="D441" s="22" t="str">
        <f>PROPER(TRIM(Raw_Data!D441))</f>
        <v>Germany</v>
      </c>
      <c r="E441" s="22" t="s">
        <v>17</v>
      </c>
      <c r="F441" s="22" t="s">
        <v>18</v>
      </c>
      <c r="G441" s="22">
        <v>15</v>
      </c>
      <c r="H441" s="2">
        <v>61.93</v>
      </c>
      <c r="I441" s="64">
        <v>928.95</v>
      </c>
      <c r="J441" s="2">
        <v>25.68</v>
      </c>
      <c r="K441" s="2">
        <v>378.27</v>
      </c>
      <c r="L441" s="22" t="s">
        <v>26</v>
      </c>
      <c r="M441" s="22" t="s">
        <v>32</v>
      </c>
      <c r="N441" s="22" t="s">
        <v>28</v>
      </c>
    </row>
    <row r="442" spans="1:14" x14ac:dyDescent="0.25">
      <c r="A442" s="22" t="s">
        <v>595</v>
      </c>
      <c r="B442" s="63">
        <v>45298</v>
      </c>
      <c r="C442" s="22" t="str">
        <f>TRIM(Raw_Data!C442)</f>
        <v>Martinez, Sarah</v>
      </c>
      <c r="D442" s="22" t="str">
        <f>PROPER(TRIM(Raw_Data!D442))</f>
        <v>China</v>
      </c>
      <c r="E442" s="22" t="s">
        <v>48</v>
      </c>
      <c r="F442" s="22" t="s">
        <v>37</v>
      </c>
      <c r="G442" s="22">
        <v>20</v>
      </c>
      <c r="H442" s="2">
        <v>35.770000000000003</v>
      </c>
      <c r="I442" s="64">
        <v>715.4</v>
      </c>
      <c r="J442" s="2">
        <v>39.229999999999997</v>
      </c>
      <c r="K442" s="2">
        <v>276.17</v>
      </c>
      <c r="L442" s="22" t="s">
        <v>19</v>
      </c>
      <c r="M442" s="22" t="s">
        <v>20</v>
      </c>
      <c r="N442" s="22" t="s">
        <v>58</v>
      </c>
    </row>
    <row r="443" spans="1:14" x14ac:dyDescent="0.25">
      <c r="A443" s="22" t="s">
        <v>596</v>
      </c>
      <c r="B443" s="63">
        <v>45444</v>
      </c>
      <c r="C443" s="22" t="str">
        <f>TRIM(Raw_Data!C443)</f>
        <v>Martinez, John</v>
      </c>
      <c r="D443" s="22" t="str">
        <f>PROPER(TRIM(Raw_Data!D443))</f>
        <v>Uk</v>
      </c>
      <c r="E443" s="22" t="s">
        <v>63</v>
      </c>
      <c r="F443" s="22" t="s">
        <v>37</v>
      </c>
      <c r="G443" s="22">
        <v>21</v>
      </c>
      <c r="H443" s="2">
        <v>22.48</v>
      </c>
      <c r="I443" s="64">
        <v>472.08</v>
      </c>
      <c r="J443" s="2">
        <v>12.96</v>
      </c>
      <c r="K443" s="2">
        <v>191.37</v>
      </c>
      <c r="L443" s="22" t="s">
        <v>26</v>
      </c>
      <c r="M443" s="22" t="s">
        <v>20</v>
      </c>
      <c r="N443" s="22" t="s">
        <v>28</v>
      </c>
    </row>
    <row r="444" spans="1:14" x14ac:dyDescent="0.25">
      <c r="A444" s="22" t="s">
        <v>597</v>
      </c>
      <c r="B444" s="63">
        <v>45681</v>
      </c>
      <c r="C444" s="22" t="str">
        <f>TRIM(Raw_Data!C444)</f>
        <v>Johnson, Sophia</v>
      </c>
      <c r="D444" s="22" t="str">
        <f>PROPER(TRIM(Raw_Data!D444))</f>
        <v>China</v>
      </c>
      <c r="E444" s="22" t="s">
        <v>25</v>
      </c>
      <c r="F444" s="22" t="s">
        <v>18</v>
      </c>
      <c r="G444" s="22">
        <v>8</v>
      </c>
      <c r="H444" s="2">
        <v>27.53</v>
      </c>
      <c r="I444" s="64">
        <v>220.24</v>
      </c>
      <c r="J444" s="2">
        <v>12.66</v>
      </c>
      <c r="K444" s="2">
        <v>63.58</v>
      </c>
      <c r="L444" s="22" t="s">
        <v>26</v>
      </c>
      <c r="M444" s="22" t="s">
        <v>27</v>
      </c>
      <c r="N444" s="22" t="s">
        <v>58</v>
      </c>
    </row>
    <row r="445" spans="1:14" x14ac:dyDescent="0.25">
      <c r="A445" s="22" t="s">
        <v>598</v>
      </c>
      <c r="B445" s="63">
        <v>45563</v>
      </c>
      <c r="C445" s="22" t="str">
        <f>TRIM(Raw_Data!C445)</f>
        <v>Miller, Emily</v>
      </c>
      <c r="D445" s="22" t="str">
        <f>PROPER(TRIM(Raw_Data!D445))</f>
        <v>India</v>
      </c>
      <c r="E445" s="22" t="s">
        <v>51</v>
      </c>
      <c r="F445" s="22" t="s">
        <v>52</v>
      </c>
      <c r="G445" s="22">
        <v>35</v>
      </c>
      <c r="H445" s="2">
        <v>39.65</v>
      </c>
      <c r="I445" s="64">
        <v>1387.75</v>
      </c>
      <c r="J445" s="2">
        <v>60.95</v>
      </c>
      <c r="K445" s="2">
        <v>539.29999999999995</v>
      </c>
      <c r="L445" s="22" t="s">
        <v>38</v>
      </c>
      <c r="M445" s="22" t="s">
        <v>27</v>
      </c>
      <c r="N445" s="22" t="s">
        <v>58</v>
      </c>
    </row>
    <row r="446" spans="1:14" x14ac:dyDescent="0.25">
      <c r="A446" s="22" t="s">
        <v>599</v>
      </c>
      <c r="B446" s="63">
        <v>45340</v>
      </c>
      <c r="C446" s="22" t="str">
        <f>TRIM(Raw_Data!C446)</f>
        <v>Garcia, Laura</v>
      </c>
      <c r="D446" s="22" t="str">
        <f>PROPER(TRIM(Raw_Data!D446))</f>
        <v>South Africa</v>
      </c>
      <c r="E446" s="22" t="s">
        <v>60</v>
      </c>
      <c r="F446" s="22" t="s">
        <v>52</v>
      </c>
      <c r="G446" s="22">
        <v>50</v>
      </c>
      <c r="H446" s="2">
        <v>23.68</v>
      </c>
      <c r="I446" s="64">
        <v>1184</v>
      </c>
      <c r="J446" s="2">
        <v>46.62</v>
      </c>
      <c r="K446" s="2">
        <v>362.38</v>
      </c>
      <c r="L446" s="22" t="s">
        <v>26</v>
      </c>
      <c r="M446" s="22" t="s">
        <v>27</v>
      </c>
      <c r="N446" s="22" t="s">
        <v>87</v>
      </c>
    </row>
    <row r="447" spans="1:14" x14ac:dyDescent="0.25">
      <c r="A447" s="22" t="s">
        <v>600</v>
      </c>
      <c r="B447" s="63">
        <v>45698</v>
      </c>
      <c r="C447" s="22" t="str">
        <f>TRIM(Raw_Data!C447)</f>
        <v>Davis, Michael</v>
      </c>
      <c r="D447" s="22" t="str">
        <f>PROPER(TRIM(Raw_Data!D447))</f>
        <v>Uae</v>
      </c>
      <c r="E447" s="22" t="s">
        <v>63</v>
      </c>
      <c r="F447" s="22" t="s">
        <v>37</v>
      </c>
      <c r="G447" s="22">
        <v>5</v>
      </c>
      <c r="H447" s="2">
        <v>19.809999999999999</v>
      </c>
      <c r="I447" s="64">
        <v>99.05</v>
      </c>
      <c r="J447" s="2">
        <v>5.91</v>
      </c>
      <c r="K447" s="2">
        <v>29.39</v>
      </c>
      <c r="L447" s="22" t="s">
        <v>26</v>
      </c>
      <c r="M447" s="22" t="s">
        <v>32</v>
      </c>
      <c r="N447" s="22" t="s">
        <v>58</v>
      </c>
    </row>
    <row r="448" spans="1:14" x14ac:dyDescent="0.25">
      <c r="A448" s="22" t="s">
        <v>601</v>
      </c>
      <c r="B448" s="63">
        <v>45425</v>
      </c>
      <c r="C448" s="22" t="str">
        <f>TRIM(Raw_Data!C448)</f>
        <v>Williams, David</v>
      </c>
      <c r="D448" s="22" t="str">
        <f>PROPER(TRIM(Raw_Data!D448))</f>
        <v>Brazil</v>
      </c>
      <c r="E448" s="22" t="s">
        <v>63</v>
      </c>
      <c r="F448" s="22" t="s">
        <v>37</v>
      </c>
      <c r="G448" s="22">
        <v>27</v>
      </c>
      <c r="H448" s="2">
        <v>18.03</v>
      </c>
      <c r="I448" s="64">
        <v>486.81</v>
      </c>
      <c r="J448" s="2">
        <v>36.630000000000003</v>
      </c>
      <c r="K448" s="2">
        <v>105.93</v>
      </c>
      <c r="L448" s="22" t="s">
        <v>19</v>
      </c>
      <c r="M448" s="22" t="s">
        <v>32</v>
      </c>
      <c r="N448" s="22" t="s">
        <v>39</v>
      </c>
    </row>
    <row r="449" spans="1:14" x14ac:dyDescent="0.25">
      <c r="A449" s="22" t="s">
        <v>602</v>
      </c>
      <c r="B449" s="63">
        <v>45386</v>
      </c>
      <c r="C449" s="22" t="str">
        <f>TRIM(Raw_Data!C449)</f>
        <v>Brown, Emily</v>
      </c>
      <c r="D449" s="22" t="str">
        <f>PROPER(TRIM(Raw_Data!D449))</f>
        <v>South Africa</v>
      </c>
      <c r="E449" s="22" t="s">
        <v>25</v>
      </c>
      <c r="F449" s="22" t="s">
        <v>18</v>
      </c>
      <c r="G449" s="22">
        <v>45</v>
      </c>
      <c r="H449" s="2">
        <v>26.93</v>
      </c>
      <c r="I449" s="64">
        <v>1211.8499999999999</v>
      </c>
      <c r="J449" s="2">
        <v>62.85</v>
      </c>
      <c r="K449" s="2">
        <v>339</v>
      </c>
      <c r="L449" s="22" t="s">
        <v>26</v>
      </c>
      <c r="M449" s="22" t="s">
        <v>27</v>
      </c>
      <c r="N449" s="22" t="s">
        <v>87</v>
      </c>
    </row>
    <row r="450" spans="1:14" x14ac:dyDescent="0.25">
      <c r="A450" s="22" t="s">
        <v>603</v>
      </c>
      <c r="B450" s="63">
        <v>45455</v>
      </c>
      <c r="C450" s="22" t="str">
        <f>TRIM(Raw_Data!C450)</f>
        <v>Davis, Daniel</v>
      </c>
      <c r="D450" s="22" t="str">
        <f>PROPER(TRIM(Raw_Data!D450))</f>
        <v>Italy</v>
      </c>
      <c r="E450" s="22" t="s">
        <v>48</v>
      </c>
      <c r="F450" s="22" t="s">
        <v>37</v>
      </c>
      <c r="G450" s="22">
        <v>40</v>
      </c>
      <c r="H450" s="2">
        <v>32.54</v>
      </c>
      <c r="I450" s="64">
        <v>1301.5999999999999</v>
      </c>
      <c r="J450" s="2">
        <v>47.06</v>
      </c>
      <c r="K450" s="2">
        <v>454.54</v>
      </c>
      <c r="L450" s="22" t="s">
        <v>19</v>
      </c>
      <c r="M450" s="22" t="s">
        <v>27</v>
      </c>
      <c r="N450" s="22" t="s">
        <v>28</v>
      </c>
    </row>
    <row r="451" spans="1:14" x14ac:dyDescent="0.25">
      <c r="A451" s="22" t="s">
        <v>604</v>
      </c>
      <c r="B451" s="63">
        <v>45790</v>
      </c>
      <c r="C451" s="22" t="str">
        <f>TRIM(Raw_Data!C451)</f>
        <v>Miller, Michael</v>
      </c>
      <c r="D451" s="22" t="str">
        <f>PROPER(TRIM(Raw_Data!D451))</f>
        <v>India</v>
      </c>
      <c r="E451" s="22" t="s">
        <v>51</v>
      </c>
      <c r="F451" s="22" t="s">
        <v>52</v>
      </c>
      <c r="G451" s="22">
        <v>26</v>
      </c>
      <c r="H451" s="2">
        <v>35.32</v>
      </c>
      <c r="I451" s="64">
        <v>918.32</v>
      </c>
      <c r="J451" s="2">
        <v>60.02</v>
      </c>
      <c r="K451" s="2">
        <v>273.3</v>
      </c>
      <c r="L451" s="22" t="s">
        <v>38</v>
      </c>
      <c r="M451" s="22" t="s">
        <v>20</v>
      </c>
      <c r="N451" s="22" t="s">
        <v>58</v>
      </c>
    </row>
    <row r="452" spans="1:14" x14ac:dyDescent="0.25">
      <c r="A452" s="22" t="s">
        <v>605</v>
      </c>
      <c r="B452" s="63">
        <v>45681</v>
      </c>
      <c r="C452" s="22" t="str">
        <f>TRIM(Raw_Data!C452)</f>
        <v>Hernandez, Sophia</v>
      </c>
      <c r="D452" s="22" t="str">
        <f>PROPER(TRIM(Raw_Data!D452))</f>
        <v>Brazil</v>
      </c>
      <c r="E452" s="22" t="s">
        <v>63</v>
      </c>
      <c r="F452" s="22" t="s">
        <v>37</v>
      </c>
      <c r="G452" s="22">
        <v>16</v>
      </c>
      <c r="H452" s="2">
        <v>16.440000000000001</v>
      </c>
      <c r="I452" s="64">
        <v>263.04000000000002</v>
      </c>
      <c r="J452" s="2">
        <v>17.64</v>
      </c>
      <c r="K452" s="2">
        <v>41.4</v>
      </c>
      <c r="L452" s="22" t="s">
        <v>19</v>
      </c>
      <c r="M452" s="22" t="s">
        <v>20</v>
      </c>
      <c r="N452" s="22" t="s">
        <v>39</v>
      </c>
    </row>
    <row r="453" spans="1:14" x14ac:dyDescent="0.25">
      <c r="A453" s="22" t="s">
        <v>606</v>
      </c>
      <c r="B453" s="63">
        <v>45731</v>
      </c>
      <c r="C453" s="22" t="str">
        <f>TRIM(Raw_Data!C453)</f>
        <v>Miller, Emily</v>
      </c>
      <c r="D453" s="22" t="str">
        <f>PROPER(TRIM(Raw_Data!D453))</f>
        <v>France</v>
      </c>
      <c r="E453" s="22" t="s">
        <v>83</v>
      </c>
      <c r="F453" s="22" t="s">
        <v>52</v>
      </c>
      <c r="G453" s="22">
        <v>39</v>
      </c>
      <c r="H453" s="2">
        <v>46.27</v>
      </c>
      <c r="I453" s="64">
        <v>1804.53</v>
      </c>
      <c r="J453" s="2">
        <v>38.57</v>
      </c>
      <c r="K453" s="2">
        <v>673.96</v>
      </c>
      <c r="L453" s="22" t="s">
        <v>38</v>
      </c>
      <c r="M453" s="22" t="s">
        <v>32</v>
      </c>
      <c r="N453" s="22" t="s">
        <v>28</v>
      </c>
    </row>
    <row r="454" spans="1:14" x14ac:dyDescent="0.25">
      <c r="A454" s="22" t="s">
        <v>607</v>
      </c>
      <c r="B454" s="63">
        <v>45584</v>
      </c>
      <c r="C454" s="22" t="str">
        <f>TRIM(Raw_Data!C454)</f>
        <v>Williams, Michael</v>
      </c>
      <c r="D454" s="22" t="str">
        <f>PROPER(TRIM(Raw_Data!D454))</f>
        <v>Uk</v>
      </c>
      <c r="E454" s="22" t="s">
        <v>56</v>
      </c>
      <c r="F454" s="22" t="s">
        <v>57</v>
      </c>
      <c r="G454" s="22">
        <v>15</v>
      </c>
      <c r="H454" s="2">
        <v>33.22</v>
      </c>
      <c r="I454" s="64">
        <v>498.3</v>
      </c>
      <c r="J454" s="2">
        <v>36.85</v>
      </c>
      <c r="K454" s="2">
        <v>86.45</v>
      </c>
      <c r="L454" s="22" t="s">
        <v>38</v>
      </c>
      <c r="M454" s="22" t="s">
        <v>32</v>
      </c>
      <c r="N454" s="22" t="s">
        <v>28</v>
      </c>
    </row>
    <row r="455" spans="1:14" x14ac:dyDescent="0.25">
      <c r="A455" s="22" t="s">
        <v>608</v>
      </c>
      <c r="B455" s="63">
        <v>45459</v>
      </c>
      <c r="C455" s="22" t="str">
        <f>TRIM(Raw_Data!C455)</f>
        <v>Miller, Sarah</v>
      </c>
      <c r="D455" s="22" t="str">
        <f>PROPER(TRIM(Raw_Data!D455))</f>
        <v>South Africa</v>
      </c>
      <c r="E455" s="22" t="s">
        <v>43</v>
      </c>
      <c r="F455" s="22" t="s">
        <v>44</v>
      </c>
      <c r="G455" s="22">
        <v>35</v>
      </c>
      <c r="H455" s="2">
        <v>71.02</v>
      </c>
      <c r="I455" s="64">
        <v>2485.6999999999998</v>
      </c>
      <c r="J455" s="2">
        <v>137.22</v>
      </c>
      <c r="K455" s="2">
        <v>948.48</v>
      </c>
      <c r="L455" s="22" t="s">
        <v>26</v>
      </c>
      <c r="M455" s="22" t="s">
        <v>27</v>
      </c>
      <c r="N455" s="22" t="s">
        <v>87</v>
      </c>
    </row>
    <row r="456" spans="1:14" x14ac:dyDescent="0.25">
      <c r="A456" s="22" t="s">
        <v>609</v>
      </c>
      <c r="B456" s="63">
        <v>45555</v>
      </c>
      <c r="C456" s="22" t="str">
        <f>TRIM(Raw_Data!C456)</f>
        <v>Brown, Michael</v>
      </c>
      <c r="D456" s="22" t="str">
        <f>PROPER(TRIM(Raw_Data!D456))</f>
        <v>Uae</v>
      </c>
      <c r="E456" s="22" t="s">
        <v>83</v>
      </c>
      <c r="F456" s="22" t="s">
        <v>52</v>
      </c>
      <c r="G456" s="22">
        <v>2</v>
      </c>
      <c r="H456" s="2">
        <v>42.31</v>
      </c>
      <c r="I456" s="64">
        <v>84.62</v>
      </c>
      <c r="J456" s="2">
        <v>4.28</v>
      </c>
      <c r="K456" s="2">
        <v>24.34</v>
      </c>
      <c r="L456" s="22" t="s">
        <v>26</v>
      </c>
      <c r="M456" s="22" t="s">
        <v>27</v>
      </c>
      <c r="N456" s="22" t="s">
        <v>58</v>
      </c>
    </row>
    <row r="457" spans="1:14" x14ac:dyDescent="0.25">
      <c r="A457" s="22" t="s">
        <v>610</v>
      </c>
      <c r="B457" s="63">
        <v>45771</v>
      </c>
      <c r="C457" s="22" t="str">
        <f>TRIM(Raw_Data!C457)</f>
        <v>Johnson, Sarah</v>
      </c>
      <c r="D457" s="22" t="str">
        <f>PROPER(TRIM(Raw_Data!D457))</f>
        <v>Singapore</v>
      </c>
      <c r="E457" s="22" t="s">
        <v>56</v>
      </c>
      <c r="F457" s="22" t="s">
        <v>57</v>
      </c>
      <c r="G457" s="22">
        <v>8</v>
      </c>
      <c r="H457" s="2">
        <v>41.36</v>
      </c>
      <c r="I457" s="64">
        <v>330.88</v>
      </c>
      <c r="J457" s="2">
        <v>11.78</v>
      </c>
      <c r="K457" s="2">
        <v>119.1</v>
      </c>
      <c r="L457" s="22" t="s">
        <v>19</v>
      </c>
      <c r="M457" s="22" t="s">
        <v>20</v>
      </c>
      <c r="N457" s="22" t="s">
        <v>58</v>
      </c>
    </row>
    <row r="458" spans="1:14" x14ac:dyDescent="0.25">
      <c r="A458" s="22" t="s">
        <v>611</v>
      </c>
      <c r="B458" s="63">
        <v>45551</v>
      </c>
      <c r="C458" s="22" t="str">
        <f>TRIM(Raw_Data!C458)</f>
        <v>Martinez, Sarah</v>
      </c>
      <c r="D458" s="22" t="str">
        <f>PROPER(TRIM(Raw_Data!D458))</f>
        <v>Canada</v>
      </c>
      <c r="E458" s="22" t="s">
        <v>25</v>
      </c>
      <c r="F458" s="22" t="s">
        <v>18</v>
      </c>
      <c r="G458" s="22">
        <v>3</v>
      </c>
      <c r="H458" s="2">
        <v>31.39</v>
      </c>
      <c r="I458" s="64">
        <v>94.17</v>
      </c>
      <c r="J458" s="2">
        <v>2.52</v>
      </c>
      <c r="K458" s="2">
        <v>37.65</v>
      </c>
      <c r="L458" s="22" t="s">
        <v>38</v>
      </c>
      <c r="M458" s="22" t="s">
        <v>32</v>
      </c>
      <c r="N458" s="22" t="s">
        <v>21</v>
      </c>
    </row>
    <row r="459" spans="1:14" x14ac:dyDescent="0.25">
      <c r="A459" s="22" t="s">
        <v>612</v>
      </c>
      <c r="B459" s="63">
        <v>45660</v>
      </c>
      <c r="C459" s="22" t="str">
        <f>TRIM(Raw_Data!C459)</f>
        <v>Johnson, Daniel</v>
      </c>
      <c r="D459" s="22" t="str">
        <f>PROPER(TRIM(Raw_Data!D459))</f>
        <v>France</v>
      </c>
      <c r="E459" s="22" t="s">
        <v>51</v>
      </c>
      <c r="F459" s="22" t="s">
        <v>52</v>
      </c>
      <c r="G459" s="22">
        <v>48</v>
      </c>
      <c r="H459" s="2">
        <v>33.61</v>
      </c>
      <c r="I459" s="64">
        <v>1613.28</v>
      </c>
      <c r="J459" s="2">
        <v>109.92</v>
      </c>
      <c r="K459" s="2">
        <v>423.36</v>
      </c>
      <c r="L459" s="22" t="s">
        <v>19</v>
      </c>
      <c r="M459" s="22" t="s">
        <v>32</v>
      </c>
      <c r="N459" s="22" t="s">
        <v>28</v>
      </c>
    </row>
    <row r="460" spans="1:14" x14ac:dyDescent="0.25">
      <c r="A460" s="22" t="s">
        <v>613</v>
      </c>
      <c r="B460" s="63">
        <v>45328</v>
      </c>
      <c r="C460" s="22" t="str">
        <f>TRIM(Raw_Data!C460)</f>
        <v>Garcia, Michael</v>
      </c>
      <c r="D460" s="22" t="str">
        <f>PROPER(TRIM(Raw_Data!D460))</f>
        <v>Germany</v>
      </c>
      <c r="E460" s="22" t="s">
        <v>36</v>
      </c>
      <c r="F460" s="22" t="s">
        <v>37</v>
      </c>
      <c r="G460" s="22">
        <v>9</v>
      </c>
      <c r="H460" s="2">
        <v>50.29</v>
      </c>
      <c r="I460" s="64">
        <v>452.61</v>
      </c>
      <c r="J460" s="2">
        <v>32.93</v>
      </c>
      <c r="K460" s="2">
        <v>131.68</v>
      </c>
      <c r="L460" s="22" t="s">
        <v>26</v>
      </c>
      <c r="M460" s="22" t="s">
        <v>32</v>
      </c>
      <c r="N460" s="22" t="s">
        <v>28</v>
      </c>
    </row>
    <row r="461" spans="1:14" x14ac:dyDescent="0.25">
      <c r="A461" s="22" t="s">
        <v>614</v>
      </c>
      <c r="B461" s="63">
        <v>45585</v>
      </c>
      <c r="C461" s="22" t="str">
        <f>TRIM(Raw_Data!C461)</f>
        <v>Johnson, Daniel</v>
      </c>
      <c r="D461" s="22" t="str">
        <f>PROPER(TRIM(Raw_Data!D461))</f>
        <v>Usa</v>
      </c>
      <c r="E461" s="22" t="s">
        <v>51</v>
      </c>
      <c r="F461" s="22" t="s">
        <v>52</v>
      </c>
      <c r="G461" s="22">
        <v>12</v>
      </c>
      <c r="H461" s="2">
        <v>34.96</v>
      </c>
      <c r="I461" s="64">
        <v>419.52</v>
      </c>
      <c r="J461" s="2">
        <v>15.43</v>
      </c>
      <c r="K461" s="2">
        <v>134.09</v>
      </c>
      <c r="L461" s="22" t="s">
        <v>26</v>
      </c>
      <c r="M461" s="22" t="s">
        <v>32</v>
      </c>
      <c r="N461" s="22" t="s">
        <v>21</v>
      </c>
    </row>
    <row r="462" spans="1:14" x14ac:dyDescent="0.25">
      <c r="A462" s="22" t="s">
        <v>615</v>
      </c>
      <c r="B462" s="63">
        <v>45710</v>
      </c>
      <c r="C462" s="22" t="str">
        <f>TRIM(Raw_Data!C462)</f>
        <v>Jones, Emma</v>
      </c>
      <c r="D462" s="22" t="str">
        <f>PROPER(TRIM(Raw_Data!D462))</f>
        <v>Australia</v>
      </c>
      <c r="E462" s="22" t="s">
        <v>17</v>
      </c>
      <c r="F462" s="22" t="s">
        <v>18</v>
      </c>
      <c r="G462" s="22">
        <v>29</v>
      </c>
      <c r="H462" s="2">
        <v>52.72</v>
      </c>
      <c r="I462" s="64">
        <v>1528.88</v>
      </c>
      <c r="J462" s="2">
        <v>96.91</v>
      </c>
      <c r="K462" s="2">
        <v>416.97</v>
      </c>
      <c r="L462" s="22" t="s">
        <v>26</v>
      </c>
      <c r="M462" s="22" t="s">
        <v>32</v>
      </c>
      <c r="N462" s="22" t="s">
        <v>130</v>
      </c>
    </row>
    <row r="463" spans="1:14" x14ac:dyDescent="0.25">
      <c r="A463" s="22" t="s">
        <v>616</v>
      </c>
      <c r="B463" s="63">
        <v>45692</v>
      </c>
      <c r="C463" s="22" t="str">
        <f>TRIM(Raw_Data!C463)</f>
        <v>Garcia, Daniel</v>
      </c>
      <c r="D463" s="22" t="str">
        <f>PROPER(TRIM(Raw_Data!D463))</f>
        <v>Canada</v>
      </c>
      <c r="E463" s="22" t="s">
        <v>60</v>
      </c>
      <c r="F463" s="22" t="s">
        <v>52</v>
      </c>
      <c r="G463" s="22">
        <v>39</v>
      </c>
      <c r="H463" s="2">
        <v>22.18</v>
      </c>
      <c r="I463" s="64">
        <v>865.02</v>
      </c>
      <c r="J463" s="2">
        <v>26.23</v>
      </c>
      <c r="K463" s="2">
        <v>234.29</v>
      </c>
      <c r="L463" s="22" t="s">
        <v>19</v>
      </c>
      <c r="M463" s="22" t="s">
        <v>32</v>
      </c>
      <c r="N463" s="22" t="s">
        <v>21</v>
      </c>
    </row>
    <row r="464" spans="1:14" x14ac:dyDescent="0.25">
      <c r="A464" s="22" t="s">
        <v>617</v>
      </c>
      <c r="B464" s="63">
        <v>45716</v>
      </c>
      <c r="C464" s="22" t="str">
        <f>TRIM(Raw_Data!C464)</f>
        <v>Miller, Emma</v>
      </c>
      <c r="D464" s="22" t="str">
        <f>PROPER(TRIM(Raw_Data!D464))</f>
        <v>Singapore</v>
      </c>
      <c r="E464" s="22" t="s">
        <v>60</v>
      </c>
      <c r="F464" s="22" t="s">
        <v>52</v>
      </c>
      <c r="G464" s="22">
        <v>11</v>
      </c>
      <c r="H464" s="2">
        <v>21.4</v>
      </c>
      <c r="I464" s="64">
        <v>235.4</v>
      </c>
      <c r="J464" s="2">
        <v>11.64</v>
      </c>
      <c r="K464" s="2">
        <v>53.26</v>
      </c>
      <c r="L464" s="22" t="s">
        <v>19</v>
      </c>
      <c r="M464" s="22" t="s">
        <v>32</v>
      </c>
      <c r="N464" s="22" t="s">
        <v>58</v>
      </c>
    </row>
    <row r="465" spans="1:14" x14ac:dyDescent="0.25">
      <c r="A465" s="22" t="s">
        <v>618</v>
      </c>
      <c r="B465" s="63">
        <v>45397</v>
      </c>
      <c r="C465" s="22" t="str">
        <f>TRIM(Raw_Data!C465)</f>
        <v>Brown, John</v>
      </c>
      <c r="D465" s="22" t="str">
        <f>PROPER(TRIM(Raw_Data!D465))</f>
        <v>Singapore</v>
      </c>
      <c r="E465" s="22" t="s">
        <v>56</v>
      </c>
      <c r="F465" s="22" t="s">
        <v>57</v>
      </c>
      <c r="G465" s="22">
        <v>21</v>
      </c>
      <c r="H465" s="2">
        <v>36.26</v>
      </c>
      <c r="I465" s="64">
        <v>761.46</v>
      </c>
      <c r="J465" s="2">
        <v>56.99</v>
      </c>
      <c r="K465" s="2">
        <v>179.47</v>
      </c>
      <c r="L465" s="22" t="s">
        <v>26</v>
      </c>
      <c r="M465" s="22" t="s">
        <v>20</v>
      </c>
      <c r="N465" s="22" t="s">
        <v>58</v>
      </c>
    </row>
    <row r="466" spans="1:14" x14ac:dyDescent="0.25">
      <c r="A466" s="22" t="s">
        <v>619</v>
      </c>
      <c r="B466" s="63">
        <v>45582</v>
      </c>
      <c r="C466" s="22" t="str">
        <f>TRIM(Raw_Data!C466)</f>
        <v>Miller, Sarah</v>
      </c>
      <c r="D466" s="22" t="str">
        <f>PROPER(TRIM(Raw_Data!D466))</f>
        <v>China</v>
      </c>
      <c r="E466" s="22" t="s">
        <v>51</v>
      </c>
      <c r="F466" s="22" t="s">
        <v>52</v>
      </c>
      <c r="G466" s="22">
        <v>39</v>
      </c>
      <c r="H466" s="2">
        <v>35.409999999999997</v>
      </c>
      <c r="I466" s="64">
        <v>1380.99</v>
      </c>
      <c r="J466" s="2">
        <v>84.56</v>
      </c>
      <c r="K466" s="2">
        <v>418.93</v>
      </c>
      <c r="L466" s="22" t="s">
        <v>26</v>
      </c>
      <c r="M466" s="22" t="s">
        <v>20</v>
      </c>
      <c r="N466" s="22" t="s">
        <v>58</v>
      </c>
    </row>
    <row r="467" spans="1:14" x14ac:dyDescent="0.25">
      <c r="A467" s="22" t="s">
        <v>620</v>
      </c>
      <c r="B467" s="63">
        <v>45396</v>
      </c>
      <c r="C467" s="22" t="str">
        <f>TRIM(Raw_Data!C467)</f>
        <v>Smith, Sophia</v>
      </c>
      <c r="D467" s="22" t="str">
        <f>PROPER(TRIM(Raw_Data!D467))</f>
        <v>China</v>
      </c>
      <c r="E467" s="22" t="s">
        <v>25</v>
      </c>
      <c r="F467" s="22" t="s">
        <v>18</v>
      </c>
      <c r="G467" s="22">
        <v>13</v>
      </c>
      <c r="H467" s="2">
        <v>27.35</v>
      </c>
      <c r="I467" s="64">
        <v>355.55</v>
      </c>
      <c r="J467" s="2">
        <v>26.23</v>
      </c>
      <c r="K467" s="2">
        <v>95.32</v>
      </c>
      <c r="L467" s="22" t="s">
        <v>26</v>
      </c>
      <c r="M467" s="22" t="s">
        <v>32</v>
      </c>
      <c r="N467" s="22" t="s">
        <v>58</v>
      </c>
    </row>
    <row r="468" spans="1:14" x14ac:dyDescent="0.25">
      <c r="A468" s="22" t="s">
        <v>621</v>
      </c>
      <c r="B468" s="63">
        <v>45321</v>
      </c>
      <c r="C468" s="22" t="str">
        <f>TRIM(Raw_Data!C468)</f>
        <v>Johnson, Sarah</v>
      </c>
      <c r="D468" s="22" t="str">
        <f>PROPER(TRIM(Raw_Data!D468))</f>
        <v>Brazil</v>
      </c>
      <c r="E468" s="22" t="s">
        <v>63</v>
      </c>
      <c r="F468" s="22" t="s">
        <v>37</v>
      </c>
      <c r="G468" s="22">
        <v>40</v>
      </c>
      <c r="H468" s="2">
        <v>21.08</v>
      </c>
      <c r="I468" s="64">
        <v>843.2</v>
      </c>
      <c r="J468" s="2">
        <v>66.81</v>
      </c>
      <c r="K468" s="2">
        <v>266.39</v>
      </c>
      <c r="L468" s="22" t="s">
        <v>38</v>
      </c>
      <c r="M468" s="22" t="s">
        <v>27</v>
      </c>
      <c r="N468" s="22" t="s">
        <v>39</v>
      </c>
    </row>
    <row r="469" spans="1:14" x14ac:dyDescent="0.25">
      <c r="A469" s="22" t="s">
        <v>622</v>
      </c>
      <c r="B469" s="63">
        <v>45568</v>
      </c>
      <c r="C469" s="22" t="str">
        <f>TRIM(Raw_Data!C469)</f>
        <v>Jones, Emma</v>
      </c>
      <c r="D469" s="22" t="str">
        <f>PROPER(TRIM(Raw_Data!D469))</f>
        <v>Mexico</v>
      </c>
      <c r="E469" s="22" t="s">
        <v>60</v>
      </c>
      <c r="F469" s="22" t="s">
        <v>52</v>
      </c>
      <c r="G469" s="22">
        <v>47</v>
      </c>
      <c r="H469" s="2">
        <v>27.54</v>
      </c>
      <c r="I469" s="64">
        <v>1294.3800000000001</v>
      </c>
      <c r="J469" s="2">
        <v>62.78</v>
      </c>
      <c r="K469" s="2">
        <v>503.1</v>
      </c>
      <c r="L469" s="22" t="s">
        <v>19</v>
      </c>
      <c r="M469" s="22" t="s">
        <v>20</v>
      </c>
      <c r="N469" s="22" t="s">
        <v>21</v>
      </c>
    </row>
    <row r="470" spans="1:14" x14ac:dyDescent="0.25">
      <c r="A470" s="22" t="s">
        <v>623</v>
      </c>
      <c r="B470" s="63">
        <v>45356</v>
      </c>
      <c r="C470" s="22" t="str">
        <f>TRIM(Raw_Data!C470)</f>
        <v>Miller, Daniel</v>
      </c>
      <c r="D470" s="22" t="str">
        <f>PROPER(TRIM(Raw_Data!D470))</f>
        <v>India</v>
      </c>
      <c r="E470" s="22" t="s">
        <v>36</v>
      </c>
      <c r="F470" s="22" t="s">
        <v>37</v>
      </c>
      <c r="G470" s="22">
        <v>16</v>
      </c>
      <c r="H470" s="2">
        <v>45.08</v>
      </c>
      <c r="I470" s="64">
        <v>721.28</v>
      </c>
      <c r="J470" s="2">
        <v>21.61</v>
      </c>
      <c r="K470" s="2">
        <v>187.67</v>
      </c>
      <c r="L470" s="22" t="s">
        <v>26</v>
      </c>
      <c r="M470" s="22" t="s">
        <v>32</v>
      </c>
      <c r="N470" s="22" t="s">
        <v>58</v>
      </c>
    </row>
    <row r="471" spans="1:14" x14ac:dyDescent="0.25">
      <c r="A471" s="22" t="s">
        <v>624</v>
      </c>
      <c r="B471" s="63">
        <v>45764</v>
      </c>
      <c r="C471" s="22" t="str">
        <f>TRIM(Raw_Data!C471)</f>
        <v>Garcia, Emily</v>
      </c>
      <c r="D471" s="22" t="str">
        <f>PROPER(TRIM(Raw_Data!D471))</f>
        <v>Uae</v>
      </c>
      <c r="E471" s="22" t="s">
        <v>51</v>
      </c>
      <c r="F471" s="22" t="s">
        <v>52</v>
      </c>
      <c r="G471" s="22">
        <v>37</v>
      </c>
      <c r="H471" s="2">
        <v>33.200000000000003</v>
      </c>
      <c r="I471" s="64">
        <v>1228.4000000000001</v>
      </c>
      <c r="J471" s="2">
        <v>41.34</v>
      </c>
      <c r="K471" s="2">
        <v>354.56</v>
      </c>
      <c r="L471" s="22" t="s">
        <v>38</v>
      </c>
      <c r="M471" s="22" t="s">
        <v>27</v>
      </c>
      <c r="N471" s="22" t="s">
        <v>58</v>
      </c>
    </row>
    <row r="472" spans="1:14" x14ac:dyDescent="0.25">
      <c r="A472" s="22" t="s">
        <v>625</v>
      </c>
      <c r="B472" s="63">
        <v>45638</v>
      </c>
      <c r="C472" s="22" t="str">
        <f>TRIM(Raw_Data!C472)</f>
        <v>Smith, Emily</v>
      </c>
      <c r="D472" s="22" t="str">
        <f>PROPER(TRIM(Raw_Data!D472))</f>
        <v>Uae</v>
      </c>
      <c r="E472" s="22" t="s">
        <v>25</v>
      </c>
      <c r="F472" s="22" t="s">
        <v>18</v>
      </c>
      <c r="G472" s="22">
        <v>8</v>
      </c>
      <c r="H472" s="2">
        <v>27.31</v>
      </c>
      <c r="I472" s="64">
        <v>218.48</v>
      </c>
      <c r="J472" s="2">
        <v>9.51</v>
      </c>
      <c r="K472" s="2">
        <v>64.97</v>
      </c>
      <c r="L472" s="22" t="s">
        <v>38</v>
      </c>
      <c r="M472" s="22" t="s">
        <v>20</v>
      </c>
      <c r="N472" s="22" t="s">
        <v>58</v>
      </c>
    </row>
    <row r="473" spans="1:14" x14ac:dyDescent="0.25">
      <c r="A473" s="22" t="s">
        <v>626</v>
      </c>
      <c r="B473" s="63">
        <v>45405</v>
      </c>
      <c r="C473" s="22" t="str">
        <f>TRIM(Raw_Data!C473)</f>
        <v>Martinez, Michael</v>
      </c>
      <c r="D473" s="22" t="str">
        <f>PROPER(TRIM(Raw_Data!D473))</f>
        <v>South Africa</v>
      </c>
      <c r="E473" s="22" t="s">
        <v>25</v>
      </c>
      <c r="F473" s="22" t="s">
        <v>18</v>
      </c>
      <c r="G473" s="22">
        <v>19</v>
      </c>
      <c r="H473" s="2">
        <v>29.14</v>
      </c>
      <c r="I473" s="64">
        <v>553.66</v>
      </c>
      <c r="J473" s="2">
        <v>19.7</v>
      </c>
      <c r="K473" s="2">
        <v>191.96</v>
      </c>
      <c r="L473" s="22" t="s">
        <v>19</v>
      </c>
      <c r="M473" s="22" t="s">
        <v>27</v>
      </c>
      <c r="N473" s="22" t="s">
        <v>87</v>
      </c>
    </row>
    <row r="474" spans="1:14" x14ac:dyDescent="0.25">
      <c r="A474" s="22" t="s">
        <v>627</v>
      </c>
      <c r="B474" s="63">
        <v>45563</v>
      </c>
      <c r="C474" s="22" t="str">
        <f>TRIM(Raw_Data!C474)</f>
        <v>Williams, James</v>
      </c>
      <c r="D474" s="22" t="str">
        <f>PROPER(TRIM(Raw_Data!D474))</f>
        <v>Singapore</v>
      </c>
      <c r="E474" s="22" t="s">
        <v>17</v>
      </c>
      <c r="F474" s="22" t="s">
        <v>18</v>
      </c>
      <c r="G474" s="22">
        <v>6</v>
      </c>
      <c r="H474" s="2">
        <v>55.41</v>
      </c>
      <c r="I474" s="64">
        <v>332.46</v>
      </c>
      <c r="J474" s="2">
        <v>15.57</v>
      </c>
      <c r="K474" s="2">
        <v>106.89</v>
      </c>
      <c r="L474" s="22" t="s">
        <v>19</v>
      </c>
      <c r="M474" s="22" t="s">
        <v>20</v>
      </c>
      <c r="N474" s="22" t="s">
        <v>58</v>
      </c>
    </row>
    <row r="475" spans="1:14" x14ac:dyDescent="0.25">
      <c r="A475" s="22" t="s">
        <v>628</v>
      </c>
      <c r="B475" s="63">
        <v>45763</v>
      </c>
      <c r="C475" s="22" t="str">
        <f>TRIM(Raw_Data!C475)</f>
        <v>Hernandez, Laura</v>
      </c>
      <c r="D475" s="22" t="str">
        <f>PROPER(TRIM(Raw_Data!D475))</f>
        <v>Uae</v>
      </c>
      <c r="E475" s="22" t="s">
        <v>25</v>
      </c>
      <c r="F475" s="22" t="s">
        <v>18</v>
      </c>
      <c r="G475" s="22">
        <v>48</v>
      </c>
      <c r="H475" s="2">
        <v>29.07</v>
      </c>
      <c r="I475" s="64">
        <v>1395.36</v>
      </c>
      <c r="J475" s="2">
        <v>70.38</v>
      </c>
      <c r="K475" s="2">
        <v>460.98</v>
      </c>
      <c r="L475" s="22" t="s">
        <v>26</v>
      </c>
      <c r="M475" s="22" t="s">
        <v>32</v>
      </c>
      <c r="N475" s="22" t="s">
        <v>58</v>
      </c>
    </row>
    <row r="476" spans="1:14" x14ac:dyDescent="0.25">
      <c r="A476" s="22" t="s">
        <v>629</v>
      </c>
      <c r="B476" s="63">
        <v>45419</v>
      </c>
      <c r="C476" s="22" t="str">
        <f>TRIM(Raw_Data!C476)</f>
        <v>Hernandez, Michael</v>
      </c>
      <c r="D476" s="22" t="str">
        <f>PROPER(TRIM(Raw_Data!D476))</f>
        <v>Brazil</v>
      </c>
      <c r="E476" s="22" t="s">
        <v>51</v>
      </c>
      <c r="F476" s="22" t="s">
        <v>52</v>
      </c>
      <c r="G476" s="22">
        <v>26</v>
      </c>
      <c r="H476" s="2">
        <v>27.17</v>
      </c>
      <c r="I476" s="64">
        <v>706.42</v>
      </c>
      <c r="J476" s="2">
        <v>33.94</v>
      </c>
      <c r="K476" s="2">
        <v>87.48</v>
      </c>
      <c r="L476" s="22" t="s">
        <v>38</v>
      </c>
      <c r="M476" s="22" t="s">
        <v>27</v>
      </c>
      <c r="N476" s="22" t="s">
        <v>39</v>
      </c>
    </row>
    <row r="477" spans="1:14" x14ac:dyDescent="0.25">
      <c r="A477" s="22" t="s">
        <v>630</v>
      </c>
      <c r="B477" s="63">
        <v>45425</v>
      </c>
      <c r="C477" s="22" t="str">
        <f>TRIM(Raw_Data!C477)</f>
        <v>Miller, Laura</v>
      </c>
      <c r="D477" s="22" t="str">
        <f>PROPER(TRIM(Raw_Data!D477))</f>
        <v>Japan</v>
      </c>
      <c r="E477" s="22" t="s">
        <v>17</v>
      </c>
      <c r="F477" s="22" t="s">
        <v>18</v>
      </c>
      <c r="G477" s="22">
        <v>9</v>
      </c>
      <c r="H477" s="2">
        <v>48.76</v>
      </c>
      <c r="I477" s="64">
        <v>438.84</v>
      </c>
      <c r="J477" s="2">
        <v>16.91</v>
      </c>
      <c r="K477" s="2">
        <v>106.93</v>
      </c>
      <c r="L477" s="22" t="s">
        <v>38</v>
      </c>
      <c r="M477" s="22" t="s">
        <v>20</v>
      </c>
      <c r="N477" s="22" t="s">
        <v>58</v>
      </c>
    </row>
    <row r="478" spans="1:14" x14ac:dyDescent="0.25">
      <c r="A478" s="22" t="s">
        <v>631</v>
      </c>
      <c r="B478" s="63">
        <v>45321</v>
      </c>
      <c r="C478" s="22" t="str">
        <f>TRIM(Raw_Data!C478)</f>
        <v>Miller, Emily</v>
      </c>
      <c r="D478" s="22" t="str">
        <f>PROPER(TRIM(Raw_Data!D478))</f>
        <v>Uk</v>
      </c>
      <c r="E478" s="22" t="s">
        <v>51</v>
      </c>
      <c r="F478" s="22" t="s">
        <v>52</v>
      </c>
      <c r="G478" s="22">
        <v>37</v>
      </c>
      <c r="H478" s="2">
        <v>33.21</v>
      </c>
      <c r="I478" s="64">
        <v>1228.77</v>
      </c>
      <c r="J478" s="2">
        <v>96.12</v>
      </c>
      <c r="K478" s="2">
        <v>300.14999999999998</v>
      </c>
      <c r="L478" s="22" t="s">
        <v>38</v>
      </c>
      <c r="M478" s="22" t="s">
        <v>27</v>
      </c>
      <c r="N478" s="22" t="s">
        <v>28</v>
      </c>
    </row>
    <row r="479" spans="1:14" x14ac:dyDescent="0.25">
      <c r="A479" s="22" t="s">
        <v>632</v>
      </c>
      <c r="B479" s="63">
        <v>45460</v>
      </c>
      <c r="C479" s="22" t="str">
        <f>TRIM(Raw_Data!C479)</f>
        <v>Miller, Laura</v>
      </c>
      <c r="D479" s="22" t="str">
        <f>PROPER(TRIM(Raw_Data!D479))</f>
        <v>Brazil</v>
      </c>
      <c r="E479" s="22" t="s">
        <v>63</v>
      </c>
      <c r="F479" s="22" t="s">
        <v>37</v>
      </c>
      <c r="G479" s="22">
        <v>29</v>
      </c>
      <c r="H479" s="2">
        <v>16.54</v>
      </c>
      <c r="I479" s="64">
        <v>479.66</v>
      </c>
      <c r="J479" s="2">
        <v>30.23</v>
      </c>
      <c r="K479" s="2">
        <v>79.680000000000007</v>
      </c>
      <c r="L479" s="22" t="s">
        <v>26</v>
      </c>
      <c r="M479" s="22" t="s">
        <v>32</v>
      </c>
      <c r="N479" s="22" t="s">
        <v>39</v>
      </c>
    </row>
    <row r="480" spans="1:14" x14ac:dyDescent="0.25">
      <c r="A480" s="22" t="s">
        <v>633</v>
      </c>
      <c r="B480" s="63">
        <v>45767</v>
      </c>
      <c r="C480" s="22" t="str">
        <f>TRIM(Raw_Data!C480)</f>
        <v>Williams, David</v>
      </c>
      <c r="D480" s="22" t="str">
        <f>PROPER(TRIM(Raw_Data!D480))</f>
        <v>Australia</v>
      </c>
      <c r="E480" s="22" t="s">
        <v>56</v>
      </c>
      <c r="F480" s="22" t="s">
        <v>57</v>
      </c>
      <c r="G480" s="22">
        <v>11</v>
      </c>
      <c r="H480" s="2">
        <v>44.56</v>
      </c>
      <c r="I480" s="64">
        <v>490.16</v>
      </c>
      <c r="J480" s="2">
        <v>23.97</v>
      </c>
      <c r="K480" s="2">
        <v>191.19</v>
      </c>
      <c r="L480" s="22" t="s">
        <v>26</v>
      </c>
      <c r="M480" s="22" t="s">
        <v>32</v>
      </c>
      <c r="N480" s="22" t="s">
        <v>130</v>
      </c>
    </row>
    <row r="481" spans="1:14" x14ac:dyDescent="0.25">
      <c r="A481" s="22" t="s">
        <v>634</v>
      </c>
      <c r="B481" s="63">
        <v>45609</v>
      </c>
      <c r="C481" s="22" t="str">
        <f>TRIM(Raw_Data!C481)</f>
        <v>Hernandez, Emma</v>
      </c>
      <c r="D481" s="22" t="str">
        <f>PROPER(TRIM(Raw_Data!D481))</f>
        <v>Mexico</v>
      </c>
      <c r="E481" s="22" t="s">
        <v>36</v>
      </c>
      <c r="F481" s="22" t="s">
        <v>37</v>
      </c>
      <c r="G481" s="22">
        <v>50</v>
      </c>
      <c r="H481" s="2">
        <v>44.78</v>
      </c>
      <c r="I481" s="64">
        <v>2239</v>
      </c>
      <c r="J481" s="2">
        <v>169.97</v>
      </c>
      <c r="K481" s="2">
        <v>469.03</v>
      </c>
      <c r="L481" s="22" t="s">
        <v>19</v>
      </c>
      <c r="M481" s="22" t="s">
        <v>32</v>
      </c>
      <c r="N481" s="22" t="s">
        <v>21</v>
      </c>
    </row>
    <row r="482" spans="1:14" x14ac:dyDescent="0.25">
      <c r="A482" s="22" t="s">
        <v>635</v>
      </c>
      <c r="B482" s="63">
        <v>45633</v>
      </c>
      <c r="C482" s="22" t="str">
        <f>TRIM(Raw_Data!C482)</f>
        <v>Davis, Sarah</v>
      </c>
      <c r="D482" s="22" t="str">
        <f>PROPER(TRIM(Raw_Data!D482))</f>
        <v>Usa</v>
      </c>
      <c r="E482" s="22" t="s">
        <v>25</v>
      </c>
      <c r="F482" s="22" t="s">
        <v>18</v>
      </c>
      <c r="G482" s="22">
        <v>30</v>
      </c>
      <c r="H482" s="2">
        <v>22.51</v>
      </c>
      <c r="I482" s="64">
        <v>675.3</v>
      </c>
      <c r="J482" s="2">
        <v>26.26</v>
      </c>
      <c r="K482" s="2">
        <v>109.04</v>
      </c>
      <c r="L482" s="22" t="s">
        <v>19</v>
      </c>
      <c r="M482" s="22" t="s">
        <v>20</v>
      </c>
      <c r="N482" s="22" t="s">
        <v>21</v>
      </c>
    </row>
    <row r="483" spans="1:14" x14ac:dyDescent="0.25">
      <c r="A483" s="22" t="s">
        <v>636</v>
      </c>
      <c r="B483" s="63">
        <v>45355</v>
      </c>
      <c r="C483" s="22" t="str">
        <f>TRIM(Raw_Data!C483)</f>
        <v>Martinez, John</v>
      </c>
      <c r="D483" s="22" t="str">
        <f>PROPER(TRIM(Raw_Data!D483))</f>
        <v>Australia</v>
      </c>
      <c r="E483" s="22" t="s">
        <v>60</v>
      </c>
      <c r="F483" s="22" t="s">
        <v>52</v>
      </c>
      <c r="G483" s="22">
        <v>50</v>
      </c>
      <c r="H483" s="2">
        <v>27.18</v>
      </c>
      <c r="I483" s="64">
        <v>1359</v>
      </c>
      <c r="J483" s="2">
        <v>45.67</v>
      </c>
      <c r="K483" s="2">
        <v>538.33000000000004</v>
      </c>
      <c r="L483" s="22" t="s">
        <v>19</v>
      </c>
      <c r="M483" s="22" t="s">
        <v>32</v>
      </c>
      <c r="N483" s="22" t="s">
        <v>130</v>
      </c>
    </row>
    <row r="484" spans="1:14" x14ac:dyDescent="0.25">
      <c r="A484" s="22" t="s">
        <v>637</v>
      </c>
      <c r="B484" s="63">
        <v>45562</v>
      </c>
      <c r="C484" s="22" t="str">
        <f>TRIM(Raw_Data!C484)</f>
        <v>Smith, Daniel</v>
      </c>
      <c r="D484" s="22" t="str">
        <f>PROPER(TRIM(Raw_Data!D484))</f>
        <v>Italy</v>
      </c>
      <c r="E484" s="22" t="s">
        <v>83</v>
      </c>
      <c r="F484" s="22" t="s">
        <v>52</v>
      </c>
      <c r="G484" s="22">
        <v>28</v>
      </c>
      <c r="H484" s="2">
        <v>37.51</v>
      </c>
      <c r="I484" s="64">
        <v>1050.28</v>
      </c>
      <c r="J484" s="2">
        <v>45.83</v>
      </c>
      <c r="K484" s="2">
        <v>220.45</v>
      </c>
      <c r="L484" s="22" t="s">
        <v>38</v>
      </c>
      <c r="M484" s="22" t="s">
        <v>27</v>
      </c>
      <c r="N484" s="22" t="s">
        <v>28</v>
      </c>
    </row>
    <row r="485" spans="1:14" x14ac:dyDescent="0.25">
      <c r="A485" s="22" t="s">
        <v>638</v>
      </c>
      <c r="B485" s="63">
        <v>45362</v>
      </c>
      <c r="C485" s="22" t="str">
        <f>TRIM(Raw_Data!C485)</f>
        <v>Davis, James</v>
      </c>
      <c r="D485" s="22" t="str">
        <f>PROPER(TRIM(Raw_Data!D485))</f>
        <v>Australia</v>
      </c>
      <c r="E485" s="22" t="s">
        <v>43</v>
      </c>
      <c r="F485" s="22" t="s">
        <v>44</v>
      </c>
      <c r="G485" s="22">
        <v>50</v>
      </c>
      <c r="H485" s="2">
        <v>53.71</v>
      </c>
      <c r="I485" s="64">
        <v>2685.5</v>
      </c>
      <c r="J485" s="2">
        <v>197.89</v>
      </c>
      <c r="K485" s="2">
        <v>487.61</v>
      </c>
      <c r="L485" s="22" t="s">
        <v>26</v>
      </c>
      <c r="M485" s="22" t="s">
        <v>32</v>
      </c>
      <c r="N485" s="22" t="s">
        <v>130</v>
      </c>
    </row>
    <row r="486" spans="1:14" x14ac:dyDescent="0.25">
      <c r="A486" s="22" t="s">
        <v>639</v>
      </c>
      <c r="B486" s="63">
        <v>45652</v>
      </c>
      <c r="C486" s="22" t="str">
        <f>TRIM(Raw_Data!C486)</f>
        <v>Smith, John</v>
      </c>
      <c r="D486" s="22" t="str">
        <f>PROPER(TRIM(Raw_Data!D486))</f>
        <v>South Africa</v>
      </c>
      <c r="E486" s="22" t="s">
        <v>60</v>
      </c>
      <c r="F486" s="22" t="s">
        <v>52</v>
      </c>
      <c r="G486" s="22">
        <v>24</v>
      </c>
      <c r="H486" s="2">
        <v>18.62</v>
      </c>
      <c r="I486" s="64">
        <v>446.88</v>
      </c>
      <c r="J486" s="2">
        <v>26.91</v>
      </c>
      <c r="K486" s="2">
        <v>47.97</v>
      </c>
      <c r="L486" s="22" t="s">
        <v>26</v>
      </c>
      <c r="M486" s="22" t="s">
        <v>27</v>
      </c>
      <c r="N486" s="22" t="s">
        <v>87</v>
      </c>
    </row>
    <row r="487" spans="1:14" x14ac:dyDescent="0.25">
      <c r="A487" s="22" t="s">
        <v>640</v>
      </c>
      <c r="B487" s="63">
        <v>45663</v>
      </c>
      <c r="C487" s="22" t="str">
        <f>TRIM(Raw_Data!C487)</f>
        <v>Davis, Michael</v>
      </c>
      <c r="D487" s="22" t="str">
        <f>PROPER(TRIM(Raw_Data!D487))</f>
        <v>Singapore</v>
      </c>
      <c r="E487" s="22" t="s">
        <v>43</v>
      </c>
      <c r="F487" s="22" t="s">
        <v>44</v>
      </c>
      <c r="G487" s="22">
        <v>10</v>
      </c>
      <c r="H487" s="2">
        <v>49.15</v>
      </c>
      <c r="I487" s="64">
        <v>491.5</v>
      </c>
      <c r="J487" s="2">
        <v>13.3</v>
      </c>
      <c r="K487" s="2">
        <v>78.2</v>
      </c>
      <c r="L487" s="22" t="s">
        <v>38</v>
      </c>
      <c r="M487" s="22" t="s">
        <v>32</v>
      </c>
      <c r="N487" s="22" t="s">
        <v>58</v>
      </c>
    </row>
    <row r="488" spans="1:14" x14ac:dyDescent="0.25">
      <c r="A488" s="22" t="s">
        <v>641</v>
      </c>
      <c r="B488" s="63">
        <v>45631</v>
      </c>
      <c r="C488" s="22" t="str">
        <f>TRIM(Raw_Data!C488)</f>
        <v>Miller, Sarah</v>
      </c>
      <c r="D488" s="22" t="str">
        <f>PROPER(TRIM(Raw_Data!D488))</f>
        <v>China</v>
      </c>
      <c r="E488" s="22" t="s">
        <v>43</v>
      </c>
      <c r="F488" s="22" t="s">
        <v>44</v>
      </c>
      <c r="G488" s="22">
        <v>42</v>
      </c>
      <c r="H488" s="2">
        <v>50.96</v>
      </c>
      <c r="I488" s="64">
        <v>2140.3200000000002</v>
      </c>
      <c r="J488" s="2">
        <v>127.85</v>
      </c>
      <c r="K488" s="2">
        <v>332.47</v>
      </c>
      <c r="L488" s="22" t="s">
        <v>19</v>
      </c>
      <c r="M488" s="22" t="s">
        <v>27</v>
      </c>
      <c r="N488" s="22" t="s">
        <v>58</v>
      </c>
    </row>
    <row r="489" spans="1:14" x14ac:dyDescent="0.25">
      <c r="A489" s="22" t="s">
        <v>642</v>
      </c>
      <c r="B489" s="63">
        <v>45312</v>
      </c>
      <c r="C489" s="22" t="str">
        <f>TRIM(Raw_Data!C489)</f>
        <v>Martinez, Sophia</v>
      </c>
      <c r="D489" s="22" t="str">
        <f>PROPER(TRIM(Raw_Data!D489))</f>
        <v>China</v>
      </c>
      <c r="E489" s="22" t="s">
        <v>56</v>
      </c>
      <c r="F489" s="22" t="s">
        <v>57</v>
      </c>
      <c r="G489" s="22">
        <v>39</v>
      </c>
      <c r="H489" s="2">
        <v>37.46</v>
      </c>
      <c r="I489" s="64">
        <v>1460.94</v>
      </c>
      <c r="J489" s="2">
        <v>82.25</v>
      </c>
      <c r="K489" s="2">
        <v>403.69</v>
      </c>
      <c r="L489" s="22" t="s">
        <v>38</v>
      </c>
      <c r="M489" s="22" t="s">
        <v>20</v>
      </c>
      <c r="N489" s="22" t="s">
        <v>58</v>
      </c>
    </row>
    <row r="490" spans="1:14" x14ac:dyDescent="0.25">
      <c r="A490" s="22" t="s">
        <v>643</v>
      </c>
      <c r="B490" s="63">
        <v>45787</v>
      </c>
      <c r="C490" s="22" t="str">
        <f>TRIM(Raw_Data!C490)</f>
        <v>Garcia, Sophia</v>
      </c>
      <c r="D490" s="22" t="str">
        <f>PROPER(TRIM(Raw_Data!D490))</f>
        <v>France</v>
      </c>
      <c r="E490" s="22" t="s">
        <v>63</v>
      </c>
      <c r="F490" s="22" t="s">
        <v>37</v>
      </c>
      <c r="G490" s="22">
        <v>7</v>
      </c>
      <c r="H490" s="2">
        <v>20.2</v>
      </c>
      <c r="I490" s="64">
        <v>141.4</v>
      </c>
      <c r="J490" s="2">
        <v>4.3499999999999996</v>
      </c>
      <c r="K490" s="2">
        <v>47.8</v>
      </c>
      <c r="L490" s="22" t="s">
        <v>26</v>
      </c>
      <c r="M490" s="22" t="s">
        <v>32</v>
      </c>
      <c r="N490" s="22" t="s">
        <v>28</v>
      </c>
    </row>
    <row r="491" spans="1:14" x14ac:dyDescent="0.25">
      <c r="A491" s="22" t="s">
        <v>644</v>
      </c>
      <c r="B491" s="63">
        <v>45550</v>
      </c>
      <c r="C491" s="22" t="str">
        <f>TRIM(Raw_Data!C491)</f>
        <v>Garcia, Emily</v>
      </c>
      <c r="D491" s="22" t="str">
        <f>PROPER(TRIM(Raw_Data!D491))</f>
        <v>Canada</v>
      </c>
      <c r="E491" s="22" t="s">
        <v>63</v>
      </c>
      <c r="F491" s="22" t="s">
        <v>37</v>
      </c>
      <c r="G491" s="22">
        <v>18</v>
      </c>
      <c r="H491" s="2">
        <v>18.63</v>
      </c>
      <c r="I491" s="64">
        <v>335.34</v>
      </c>
      <c r="J491" s="2">
        <v>26.18</v>
      </c>
      <c r="K491" s="2">
        <v>79.66</v>
      </c>
      <c r="L491" s="22" t="s">
        <v>26</v>
      </c>
      <c r="M491" s="22" t="s">
        <v>20</v>
      </c>
      <c r="N491" s="22" t="s">
        <v>21</v>
      </c>
    </row>
    <row r="492" spans="1:14" x14ac:dyDescent="0.25">
      <c r="A492" s="22" t="s">
        <v>645</v>
      </c>
      <c r="B492" s="63">
        <v>45439</v>
      </c>
      <c r="C492" s="22" t="str">
        <f>TRIM(Raw_Data!C492)</f>
        <v>Brown, John</v>
      </c>
      <c r="D492" s="22" t="str">
        <f>PROPER(TRIM(Raw_Data!D492))</f>
        <v>Australia</v>
      </c>
      <c r="E492" s="22" t="s">
        <v>51</v>
      </c>
      <c r="F492" s="22" t="s">
        <v>52</v>
      </c>
      <c r="G492" s="22">
        <v>12</v>
      </c>
      <c r="H492" s="2">
        <v>27.08</v>
      </c>
      <c r="I492" s="64">
        <v>324.95999999999998</v>
      </c>
      <c r="J492" s="2">
        <v>15.59</v>
      </c>
      <c r="K492" s="2">
        <v>39.369999999999997</v>
      </c>
      <c r="L492" s="22" t="s">
        <v>26</v>
      </c>
      <c r="M492" s="22" t="s">
        <v>32</v>
      </c>
      <c r="N492" s="22" t="s">
        <v>130</v>
      </c>
    </row>
    <row r="493" spans="1:14" x14ac:dyDescent="0.25">
      <c r="A493" s="22" t="s">
        <v>646</v>
      </c>
      <c r="B493" s="63">
        <v>45771</v>
      </c>
      <c r="C493" s="22" t="str">
        <f>TRIM(Raw_Data!C493)</f>
        <v>Hernandez, Sarah</v>
      </c>
      <c r="D493" s="22" t="str">
        <f>PROPER(TRIM(Raw_Data!D493))</f>
        <v>France</v>
      </c>
      <c r="E493" s="22" t="s">
        <v>56</v>
      </c>
      <c r="F493" s="22" t="s">
        <v>57</v>
      </c>
      <c r="G493" s="22">
        <v>50</v>
      </c>
      <c r="H493" s="2">
        <v>32.21</v>
      </c>
      <c r="I493" s="64">
        <v>1610.5</v>
      </c>
      <c r="J493" s="2">
        <v>32.68</v>
      </c>
      <c r="K493" s="2">
        <v>327.82</v>
      </c>
      <c r="L493" s="22" t="s">
        <v>26</v>
      </c>
      <c r="M493" s="22" t="s">
        <v>32</v>
      </c>
      <c r="N493" s="22" t="s">
        <v>28</v>
      </c>
    </row>
    <row r="494" spans="1:14" x14ac:dyDescent="0.25">
      <c r="A494" s="22" t="s">
        <v>647</v>
      </c>
      <c r="B494" s="63">
        <v>45734</v>
      </c>
      <c r="C494" s="22" t="str">
        <f>TRIM(Raw_Data!C494)</f>
        <v>Garcia, James</v>
      </c>
      <c r="D494" s="22" t="str">
        <f>PROPER(TRIM(Raw_Data!D494))</f>
        <v>South Africa</v>
      </c>
      <c r="E494" s="22" t="s">
        <v>63</v>
      </c>
      <c r="F494" s="22" t="s">
        <v>37</v>
      </c>
      <c r="G494" s="22">
        <v>49</v>
      </c>
      <c r="H494" s="2">
        <v>20.59</v>
      </c>
      <c r="I494" s="64">
        <v>1008.91</v>
      </c>
      <c r="J494" s="2">
        <v>78.03</v>
      </c>
      <c r="K494" s="2">
        <v>306.13</v>
      </c>
      <c r="L494" s="22" t="s">
        <v>26</v>
      </c>
      <c r="M494" s="22" t="s">
        <v>32</v>
      </c>
      <c r="N494" s="22" t="s">
        <v>87</v>
      </c>
    </row>
    <row r="495" spans="1:14" x14ac:dyDescent="0.25">
      <c r="A495" s="22" t="s">
        <v>648</v>
      </c>
      <c r="B495" s="63">
        <v>45399</v>
      </c>
      <c r="C495" s="22" t="str">
        <f>TRIM(Raw_Data!C495)</f>
        <v>Miller, Michael</v>
      </c>
      <c r="D495" s="22" t="str">
        <f>PROPER(TRIM(Raw_Data!D495))</f>
        <v>Italy</v>
      </c>
      <c r="E495" s="22" t="s">
        <v>48</v>
      </c>
      <c r="F495" s="22" t="s">
        <v>37</v>
      </c>
      <c r="G495" s="22">
        <v>22</v>
      </c>
      <c r="H495" s="2">
        <v>28.63</v>
      </c>
      <c r="I495" s="64">
        <v>629.86</v>
      </c>
      <c r="J495" s="2">
        <v>29.08</v>
      </c>
      <c r="K495" s="2">
        <v>160.78</v>
      </c>
      <c r="L495" s="22" t="s">
        <v>26</v>
      </c>
      <c r="M495" s="22" t="s">
        <v>27</v>
      </c>
      <c r="N495" s="22" t="s">
        <v>28</v>
      </c>
    </row>
    <row r="496" spans="1:14" x14ac:dyDescent="0.25">
      <c r="A496" s="22" t="s">
        <v>649</v>
      </c>
      <c r="B496" s="63">
        <v>45706</v>
      </c>
      <c r="C496" s="22" t="str">
        <f>TRIM(Raw_Data!C496)</f>
        <v>Davis, Michael</v>
      </c>
      <c r="D496" s="22" t="str">
        <f>PROPER(TRIM(Raw_Data!D496))</f>
        <v>China</v>
      </c>
      <c r="E496" s="22" t="s">
        <v>43</v>
      </c>
      <c r="F496" s="22" t="s">
        <v>44</v>
      </c>
      <c r="G496" s="22">
        <v>11</v>
      </c>
      <c r="H496" s="2">
        <v>56.12</v>
      </c>
      <c r="I496" s="64">
        <v>617.32000000000005</v>
      </c>
      <c r="J496" s="2">
        <v>38.26</v>
      </c>
      <c r="K496" s="2">
        <v>139.06</v>
      </c>
      <c r="L496" s="22" t="s">
        <v>26</v>
      </c>
      <c r="M496" s="22" t="s">
        <v>27</v>
      </c>
      <c r="N496" s="22" t="s">
        <v>58</v>
      </c>
    </row>
    <row r="497" spans="1:14" x14ac:dyDescent="0.25">
      <c r="A497" s="22" t="s">
        <v>650</v>
      </c>
      <c r="B497" s="63">
        <v>45395</v>
      </c>
      <c r="C497" s="22" t="str">
        <f>TRIM(Raw_Data!C497)</f>
        <v>Johnson, Emma</v>
      </c>
      <c r="D497" s="22" t="str">
        <f>PROPER(TRIM(Raw_Data!D497))</f>
        <v>Usa</v>
      </c>
      <c r="E497" s="22" t="s">
        <v>56</v>
      </c>
      <c r="F497" s="22" t="s">
        <v>57</v>
      </c>
      <c r="G497" s="22">
        <v>2</v>
      </c>
      <c r="H497" s="2">
        <v>30.88</v>
      </c>
      <c r="I497" s="64">
        <v>61.76</v>
      </c>
      <c r="J497" s="2">
        <v>4.42</v>
      </c>
      <c r="K497" s="2">
        <v>7.34</v>
      </c>
      <c r="L497" s="22" t="s">
        <v>38</v>
      </c>
      <c r="M497" s="22" t="s">
        <v>27</v>
      </c>
      <c r="N497" s="22" t="s">
        <v>21</v>
      </c>
    </row>
    <row r="498" spans="1:14" x14ac:dyDescent="0.25">
      <c r="A498" s="22" t="s">
        <v>651</v>
      </c>
      <c r="B498" s="63">
        <v>45477</v>
      </c>
      <c r="C498" s="22" t="str">
        <f>TRIM(Raw_Data!C498)</f>
        <v>Johnson, Emily</v>
      </c>
      <c r="D498" s="22" t="str">
        <f>PROPER(TRIM(Raw_Data!D498))</f>
        <v>Australia</v>
      </c>
      <c r="E498" s="22" t="s">
        <v>43</v>
      </c>
      <c r="F498" s="22" t="s">
        <v>44</v>
      </c>
      <c r="G498" s="22">
        <v>34</v>
      </c>
      <c r="H498" s="2">
        <v>63.8</v>
      </c>
      <c r="I498" s="64">
        <v>2169.1999999999998</v>
      </c>
      <c r="J498" s="2">
        <v>69.650000000000006</v>
      </c>
      <c r="K498" s="2">
        <v>739.55</v>
      </c>
      <c r="L498" s="22" t="s">
        <v>26</v>
      </c>
      <c r="M498" s="22" t="s">
        <v>32</v>
      </c>
      <c r="N498" s="22" t="s">
        <v>130</v>
      </c>
    </row>
    <row r="499" spans="1:14" x14ac:dyDescent="0.25">
      <c r="A499" s="22" t="s">
        <v>652</v>
      </c>
      <c r="B499" s="63">
        <v>45651</v>
      </c>
      <c r="C499" s="22" t="str">
        <f>TRIM(Raw_Data!C499)</f>
        <v>Smith, David</v>
      </c>
      <c r="D499" s="22" t="str">
        <f>PROPER(TRIM(Raw_Data!D499))</f>
        <v>Mexico</v>
      </c>
      <c r="E499" s="22" t="s">
        <v>83</v>
      </c>
      <c r="F499" s="22" t="s">
        <v>52</v>
      </c>
      <c r="G499" s="22">
        <v>50</v>
      </c>
      <c r="H499" s="2">
        <v>44.61</v>
      </c>
      <c r="I499" s="64">
        <v>2230.5</v>
      </c>
      <c r="J499" s="2">
        <v>91.32</v>
      </c>
      <c r="K499" s="2">
        <v>739.18</v>
      </c>
      <c r="L499" s="22" t="s">
        <v>38</v>
      </c>
      <c r="M499" s="22" t="s">
        <v>20</v>
      </c>
      <c r="N499" s="22" t="s">
        <v>21</v>
      </c>
    </row>
    <row r="500" spans="1:14" x14ac:dyDescent="0.25">
      <c r="A500" s="22" t="s">
        <v>653</v>
      </c>
      <c r="B500" s="63">
        <v>45537</v>
      </c>
      <c r="C500" s="22" t="str">
        <f>TRIM(Raw_Data!C500)</f>
        <v>Smith, Emma</v>
      </c>
      <c r="D500" s="22" t="str">
        <f>PROPER(TRIM(Raw_Data!D500))</f>
        <v>Uae</v>
      </c>
      <c r="E500" s="22" t="s">
        <v>63</v>
      </c>
      <c r="F500" s="22" t="s">
        <v>37</v>
      </c>
      <c r="G500" s="22">
        <v>14</v>
      </c>
      <c r="H500" s="2">
        <v>18.61</v>
      </c>
      <c r="I500" s="64">
        <v>260.54000000000002</v>
      </c>
      <c r="J500" s="2">
        <v>5.39</v>
      </c>
      <c r="K500" s="2">
        <v>76.650000000000006</v>
      </c>
      <c r="L500" s="22" t="s">
        <v>26</v>
      </c>
      <c r="M500" s="22" t="s">
        <v>32</v>
      </c>
      <c r="N500" s="22" t="s">
        <v>58</v>
      </c>
    </row>
    <row r="501" spans="1:14" x14ac:dyDescent="0.25">
      <c r="A501" s="22" t="s">
        <v>654</v>
      </c>
      <c r="B501" s="63">
        <v>45487</v>
      </c>
      <c r="C501" s="22" t="str">
        <f>TRIM(Raw_Data!C501)</f>
        <v>Hernandez, Michael</v>
      </c>
      <c r="D501" s="22" t="str">
        <f>PROPER(TRIM(Raw_Data!D501))</f>
        <v>Uk</v>
      </c>
      <c r="E501" s="22" t="s">
        <v>60</v>
      </c>
      <c r="F501" s="22" t="s">
        <v>52</v>
      </c>
      <c r="G501" s="22">
        <v>7</v>
      </c>
      <c r="H501" s="2">
        <v>24.61</v>
      </c>
      <c r="I501" s="64">
        <v>172.27</v>
      </c>
      <c r="J501" s="2">
        <v>9.64</v>
      </c>
      <c r="K501" s="2">
        <v>54.13</v>
      </c>
      <c r="L501" s="22" t="s">
        <v>38</v>
      </c>
      <c r="M501" s="22" t="s">
        <v>32</v>
      </c>
      <c r="N501" s="22" t="s">
        <v>28</v>
      </c>
    </row>
  </sheetData>
  <conditionalFormatting sqref="K1:K1048576">
    <cfRule type="cellIs" dxfId="96" priority="1" operator="lessThan">
      <formula>0</formula>
    </cfRule>
  </conditionalFormatting>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501"/>
  <sheetViews>
    <sheetView topLeftCell="D1" zoomScale="80" zoomScaleNormal="80" workbookViewId="0">
      <selection activeCell="R21" sqref="R21"/>
    </sheetView>
  </sheetViews>
  <sheetFormatPr defaultRowHeight="15" x14ac:dyDescent="0.25"/>
  <cols>
    <col min="1" max="1" width="15.7109375" bestFit="1" customWidth="1"/>
    <col min="2" max="2" width="16.7109375" bestFit="1" customWidth="1"/>
    <col min="3" max="3" width="21.85546875" bestFit="1" customWidth="1"/>
    <col min="4" max="4" width="13.5703125" bestFit="1" customWidth="1"/>
    <col min="5" max="5" width="17" bestFit="1" customWidth="1"/>
    <col min="6" max="6" width="14.42578125" bestFit="1" customWidth="1"/>
    <col min="7" max="7" width="14.28515625" style="67" bestFit="1" customWidth="1"/>
    <col min="8" max="8" width="15.7109375" bestFit="1" customWidth="1"/>
    <col min="9" max="9" width="16.5703125" style="5" bestFit="1" customWidth="1"/>
    <col min="10" max="10" width="19.42578125" bestFit="1" customWidth="1"/>
    <col min="11" max="11" width="11.28515625" bestFit="1" customWidth="1"/>
    <col min="12" max="12" width="16.7109375" bestFit="1" customWidth="1"/>
    <col min="13" max="13" width="19.28515625" bestFit="1" customWidth="1"/>
    <col min="14" max="14" width="18.28515625" bestFit="1" customWidth="1"/>
    <col min="15" max="15" width="15.28515625" style="5" bestFit="1" customWidth="1"/>
    <col min="16" max="16" width="11.28515625" style="5" bestFit="1" customWidth="1"/>
    <col min="17" max="17" width="19" bestFit="1" customWidth="1"/>
    <col min="18" max="18" width="14.28515625" customWidth="1"/>
    <col min="19" max="19" width="24.28515625" bestFit="1" customWidth="1"/>
    <col min="20" max="20" width="14.28515625" customWidth="1"/>
  </cols>
  <sheetData>
    <row r="1" spans="1:20" s="107" customFormat="1" ht="15.75" x14ac:dyDescent="0.25">
      <c r="A1" s="102" t="s">
        <v>0</v>
      </c>
      <c r="B1" s="103" t="s">
        <v>1</v>
      </c>
      <c r="C1" s="102" t="s">
        <v>2</v>
      </c>
      <c r="D1" s="102" t="s">
        <v>3</v>
      </c>
      <c r="E1" s="102" t="s">
        <v>4</v>
      </c>
      <c r="F1" s="102" t="s">
        <v>5</v>
      </c>
      <c r="G1" s="108" t="s">
        <v>6</v>
      </c>
      <c r="H1" s="104" t="s">
        <v>7</v>
      </c>
      <c r="I1" s="105" t="s">
        <v>8</v>
      </c>
      <c r="J1" s="104" t="s">
        <v>9</v>
      </c>
      <c r="K1" s="104" t="s">
        <v>10</v>
      </c>
      <c r="L1" s="102" t="s">
        <v>11</v>
      </c>
      <c r="M1" s="102" t="s">
        <v>12</v>
      </c>
      <c r="N1" s="102" t="s">
        <v>13</v>
      </c>
      <c r="O1" s="105" t="s">
        <v>658</v>
      </c>
      <c r="P1" s="105" t="s">
        <v>681</v>
      </c>
      <c r="Q1" s="102" t="s">
        <v>685</v>
      </c>
      <c r="R1" s="109"/>
      <c r="S1" s="109"/>
      <c r="T1" s="109"/>
    </row>
    <row r="2" spans="1:20" x14ac:dyDescent="0.25">
      <c r="A2" s="22" t="s">
        <v>14</v>
      </c>
      <c r="B2" s="63">
        <v>45677</v>
      </c>
      <c r="C2" s="22" t="s">
        <v>15</v>
      </c>
      <c r="D2" s="22" t="str">
        <f>PROPER(TRIM(Raw_Data!D2))</f>
        <v>Usa</v>
      </c>
      <c r="E2" s="22" t="s">
        <v>17</v>
      </c>
      <c r="F2" s="22" t="s">
        <v>18</v>
      </c>
      <c r="G2" s="66">
        <v>20</v>
      </c>
      <c r="H2" s="2">
        <v>55.22</v>
      </c>
      <c r="I2" s="64">
        <f>PRODUCT(Table13[[#This Row],[Quantity]:[Unit_Price]])</f>
        <v>1104.4000000000001</v>
      </c>
      <c r="J2" s="2">
        <v>49.36</v>
      </c>
      <c r="K2" s="2">
        <v>355.04</v>
      </c>
      <c r="L2" s="22" t="s">
        <v>19</v>
      </c>
      <c r="M2" s="22" t="s">
        <v>20</v>
      </c>
      <c r="N2" s="22" t="s">
        <v>21</v>
      </c>
      <c r="O2" s="64">
        <f>VLOOKUP($E2,Products!$B$2:$F$11,5,0)</f>
        <v>35</v>
      </c>
      <c r="P2" s="64">
        <f>PRODUCT(Table13[[#This Row],[Quantity]],Table13[[#This Row],[Unit_Cost]])</f>
        <v>700</v>
      </c>
      <c r="Q2" s="65">
        <f>Table13[[#This Row],[Profit]]/Table13[[#This Row],[Total_Sales]]</f>
        <v>0.32147772546178921</v>
      </c>
      <c r="R2" s="1"/>
      <c r="S2" s="1"/>
      <c r="T2" s="1"/>
    </row>
    <row r="3" spans="1:20" x14ac:dyDescent="0.25">
      <c r="A3" s="22" t="s">
        <v>22</v>
      </c>
      <c r="B3" s="63">
        <v>45702</v>
      </c>
      <c r="C3" s="22" t="s">
        <v>23</v>
      </c>
      <c r="D3" s="22" t="str">
        <f>PROPER(TRIM(Raw_Data!D3))</f>
        <v>Uk</v>
      </c>
      <c r="E3" s="22" t="s">
        <v>25</v>
      </c>
      <c r="F3" s="22" t="s">
        <v>18</v>
      </c>
      <c r="G3" s="66">
        <v>33</v>
      </c>
      <c r="H3" s="2">
        <v>32.03</v>
      </c>
      <c r="I3" s="64">
        <f>PRODUCT(Table13[[#This Row],[Quantity]:[Unit_Price]])</f>
        <v>1056.99</v>
      </c>
      <c r="J3" s="2">
        <v>59.59</v>
      </c>
      <c r="K3" s="2">
        <v>403.4</v>
      </c>
      <c r="L3" s="22" t="s">
        <v>26</v>
      </c>
      <c r="M3" s="22" t="s">
        <v>27</v>
      </c>
      <c r="N3" s="22" t="s">
        <v>28</v>
      </c>
      <c r="O3" s="64">
        <f>VLOOKUP($E3,Products!$B$2:$F$11,5,0)</f>
        <v>18</v>
      </c>
      <c r="P3" s="64">
        <f>PRODUCT(Table13[[#This Row],[Quantity]],Table13[[#This Row],[Unit_Cost]])</f>
        <v>594</v>
      </c>
      <c r="Q3" s="65">
        <f>Table13[[#This Row],[Profit]]/Table13[[#This Row],[Total_Sales]]</f>
        <v>0.38164977908967918</v>
      </c>
      <c r="R3" s="1"/>
      <c r="S3" s="1"/>
      <c r="T3" s="1"/>
    </row>
    <row r="4" spans="1:20" x14ac:dyDescent="0.25">
      <c r="A4" s="22" t="s">
        <v>29</v>
      </c>
      <c r="B4" s="63">
        <v>45411</v>
      </c>
      <c r="C4" s="22" t="s">
        <v>30</v>
      </c>
      <c r="D4" s="22" t="str">
        <f>PROPER(TRIM(Raw_Data!D4))</f>
        <v>Italy</v>
      </c>
      <c r="E4" s="22" t="s">
        <v>25</v>
      </c>
      <c r="F4" s="22" t="s">
        <v>18</v>
      </c>
      <c r="G4" s="66">
        <v>34</v>
      </c>
      <c r="H4" s="2">
        <v>28.48</v>
      </c>
      <c r="I4" s="64">
        <f>PRODUCT(Table13[[#This Row],[Quantity]:[Unit_Price]])</f>
        <v>968.32</v>
      </c>
      <c r="J4" s="2">
        <v>73.95</v>
      </c>
      <c r="K4" s="2">
        <v>282.37</v>
      </c>
      <c r="L4" s="22" t="s">
        <v>19</v>
      </c>
      <c r="M4" s="22" t="s">
        <v>32</v>
      </c>
      <c r="N4" s="22" t="s">
        <v>28</v>
      </c>
      <c r="O4" s="64">
        <f>VLOOKUP($E4,Products!$B$2:$F$11,5,0)</f>
        <v>18</v>
      </c>
      <c r="P4" s="64">
        <f>PRODUCT(Table13[[#This Row],[Quantity]],Table13[[#This Row],[Unit_Cost]])</f>
        <v>612</v>
      </c>
      <c r="Q4" s="65">
        <f>Table13[[#This Row],[Profit]]/Table13[[#This Row],[Total_Sales]]</f>
        <v>0.2916081460674157</v>
      </c>
      <c r="R4" s="1"/>
      <c r="S4" s="1"/>
      <c r="T4" s="1"/>
    </row>
    <row r="5" spans="1:20" x14ac:dyDescent="0.25">
      <c r="A5" s="22" t="s">
        <v>33</v>
      </c>
      <c r="B5" s="63">
        <v>45566</v>
      </c>
      <c r="C5" s="22" t="s">
        <v>34</v>
      </c>
      <c r="D5" s="22" t="str">
        <f>PROPER(TRIM(Raw_Data!D5))</f>
        <v>Brazil</v>
      </c>
      <c r="E5" s="22" t="s">
        <v>36</v>
      </c>
      <c r="F5" s="22" t="s">
        <v>37</v>
      </c>
      <c r="G5" s="66">
        <v>6</v>
      </c>
      <c r="H5" s="2">
        <v>56.36</v>
      </c>
      <c r="I5" s="64">
        <f>PRODUCT(Table13[[#This Row],[Quantity]:[Unit_Price]])</f>
        <v>338.15999999999997</v>
      </c>
      <c r="J5" s="2">
        <v>11.39</v>
      </c>
      <c r="K5" s="2">
        <v>134.77000000000001</v>
      </c>
      <c r="L5" s="22" t="s">
        <v>38</v>
      </c>
      <c r="M5" s="22" t="s">
        <v>27</v>
      </c>
      <c r="N5" s="22" t="s">
        <v>39</v>
      </c>
      <c r="O5" s="64">
        <f>VLOOKUP($E5,Products!$B$2:$F$11,5,0)</f>
        <v>32</v>
      </c>
      <c r="P5" s="64">
        <f>PRODUCT(Table13[[#This Row],[Quantity]],Table13[[#This Row],[Unit_Cost]])</f>
        <v>192</v>
      </c>
      <c r="Q5" s="65">
        <f>Table13[[#This Row],[Profit]]/Table13[[#This Row],[Total_Sales]]</f>
        <v>0.39853915306363857</v>
      </c>
      <c r="R5" s="1"/>
      <c r="S5" s="1"/>
      <c r="T5" s="1"/>
    </row>
    <row r="6" spans="1:20" x14ac:dyDescent="0.25">
      <c r="A6" s="22" t="s">
        <v>40</v>
      </c>
      <c r="B6" s="63">
        <v>45703</v>
      </c>
      <c r="C6" s="22" t="s">
        <v>41</v>
      </c>
      <c r="D6" s="22" t="str">
        <f>PROPER(TRIM(Raw_Data!D6))</f>
        <v>Canada</v>
      </c>
      <c r="E6" s="22" t="s">
        <v>43</v>
      </c>
      <c r="F6" s="22" t="s">
        <v>44</v>
      </c>
      <c r="G6" s="66">
        <v>17</v>
      </c>
      <c r="H6" s="2">
        <v>69.22</v>
      </c>
      <c r="I6" s="64">
        <f>PRODUCT(Table13[[#This Row],[Quantity]:[Unit_Price]])</f>
        <v>1176.74</v>
      </c>
      <c r="J6" s="2">
        <v>65.94</v>
      </c>
      <c r="K6" s="2">
        <v>430.8</v>
      </c>
      <c r="L6" s="22" t="s">
        <v>26</v>
      </c>
      <c r="M6" s="22" t="s">
        <v>20</v>
      </c>
      <c r="N6" s="22" t="s">
        <v>21</v>
      </c>
      <c r="O6" s="64">
        <f>VLOOKUP($E6,Products!$B$2:$F$11,5,0)</f>
        <v>40</v>
      </c>
      <c r="P6" s="64">
        <f>PRODUCT(Table13[[#This Row],[Quantity]],Table13[[#This Row],[Unit_Cost]])</f>
        <v>680</v>
      </c>
      <c r="Q6" s="65">
        <f>Table13[[#This Row],[Profit]]/Table13[[#This Row],[Total_Sales]]</f>
        <v>0.36609616397844896</v>
      </c>
      <c r="R6" s="1"/>
      <c r="S6" s="1"/>
      <c r="T6" s="1"/>
    </row>
    <row r="7" spans="1:20" x14ac:dyDescent="0.25">
      <c r="A7" s="22" t="s">
        <v>45</v>
      </c>
      <c r="B7" s="63">
        <v>45714</v>
      </c>
      <c r="C7" s="22" t="s">
        <v>46</v>
      </c>
      <c r="D7" s="22" t="str">
        <f>PROPER(TRIM(Raw_Data!D7))</f>
        <v>Mexico</v>
      </c>
      <c r="E7" s="22" t="s">
        <v>48</v>
      </c>
      <c r="F7" s="22" t="s">
        <v>37</v>
      </c>
      <c r="G7" s="66">
        <v>13</v>
      </c>
      <c r="H7" s="2">
        <v>27.94</v>
      </c>
      <c r="I7" s="64">
        <f>PRODUCT(Table13[[#This Row],[Quantity]:[Unit_Price]])</f>
        <v>363.22</v>
      </c>
      <c r="J7" s="2">
        <v>15.36</v>
      </c>
      <c r="K7" s="2">
        <v>87.86</v>
      </c>
      <c r="L7" s="22" t="s">
        <v>26</v>
      </c>
      <c r="M7" s="22" t="s">
        <v>20</v>
      </c>
      <c r="N7" s="22" t="s">
        <v>21</v>
      </c>
      <c r="O7" s="64">
        <f>VLOOKUP($E7,Products!$B$2:$F$11,5,0)</f>
        <v>20</v>
      </c>
      <c r="P7" s="64">
        <f>PRODUCT(Table13[[#This Row],[Quantity]],Table13[[#This Row],[Unit_Cost]])</f>
        <v>260</v>
      </c>
      <c r="Q7" s="65">
        <f>Table13[[#This Row],[Profit]]/Table13[[#This Row],[Total_Sales]]</f>
        <v>0.2418919663014151</v>
      </c>
      <c r="R7" s="1"/>
      <c r="S7" s="1"/>
      <c r="T7" s="1"/>
    </row>
    <row r="8" spans="1:20" ht="15.75" thickBot="1" x14ac:dyDescent="0.3">
      <c r="A8" s="22" t="s">
        <v>49</v>
      </c>
      <c r="B8" s="63">
        <v>45456</v>
      </c>
      <c r="C8" s="22" t="s">
        <v>50</v>
      </c>
      <c r="D8" s="22" t="str">
        <f>PROPER(TRIM(Raw_Data!D8))</f>
        <v>Uk</v>
      </c>
      <c r="E8" s="22" t="s">
        <v>51</v>
      </c>
      <c r="F8" s="22" t="s">
        <v>52</v>
      </c>
      <c r="G8" s="66">
        <v>3</v>
      </c>
      <c r="H8" s="2">
        <v>31.52</v>
      </c>
      <c r="I8" s="64">
        <f>PRODUCT(Table13[[#This Row],[Quantity]:[Unit_Price]])</f>
        <v>94.56</v>
      </c>
      <c r="J8" s="2">
        <v>6.98</v>
      </c>
      <c r="K8" s="2">
        <v>20.079999999999998</v>
      </c>
      <c r="L8" s="22" t="s">
        <v>19</v>
      </c>
      <c r="M8" s="22" t="s">
        <v>32</v>
      </c>
      <c r="N8" s="22" t="s">
        <v>28</v>
      </c>
      <c r="O8" s="64">
        <f>VLOOKUP($E8,Products!$B$2:$F$11,5,0)</f>
        <v>22.5</v>
      </c>
      <c r="P8" s="64">
        <f>PRODUCT(Table13[[#This Row],[Quantity]],Table13[[#This Row],[Unit_Cost]])</f>
        <v>67.5</v>
      </c>
      <c r="Q8" s="65">
        <f>Table13[[#This Row],[Profit]]/Table13[[#This Row],[Total_Sales]]</f>
        <v>0.21235194585448391</v>
      </c>
      <c r="R8" s="1"/>
      <c r="S8" s="1"/>
      <c r="T8" s="1"/>
    </row>
    <row r="9" spans="1:20" ht="15.75" x14ac:dyDescent="0.25">
      <c r="A9" s="22" t="s">
        <v>53</v>
      </c>
      <c r="B9" s="63">
        <v>45778</v>
      </c>
      <c r="C9" s="22" t="s">
        <v>54</v>
      </c>
      <c r="D9" s="22" t="str">
        <f>PROPER(TRIM(Raw_Data!D9))</f>
        <v>China</v>
      </c>
      <c r="E9" s="22" t="s">
        <v>56</v>
      </c>
      <c r="F9" s="22" t="s">
        <v>57</v>
      </c>
      <c r="G9" s="66">
        <v>14</v>
      </c>
      <c r="H9" s="2">
        <v>30.71</v>
      </c>
      <c r="I9" s="64">
        <f>PRODUCT(Table13[[#This Row],[Quantity]:[Unit_Price]])</f>
        <v>429.94</v>
      </c>
      <c r="J9" s="2">
        <v>13.03</v>
      </c>
      <c r="K9" s="2">
        <v>66.91</v>
      </c>
      <c r="L9" s="22" t="s">
        <v>26</v>
      </c>
      <c r="M9" s="22" t="s">
        <v>20</v>
      </c>
      <c r="N9" s="22" t="s">
        <v>58</v>
      </c>
      <c r="O9" s="64">
        <f>VLOOKUP($E9,Products!$B$2:$F$11,5,0)</f>
        <v>25</v>
      </c>
      <c r="P9" s="64">
        <f>PRODUCT(Table13[[#This Row],[Quantity]],Table13[[#This Row],[Unit_Cost]])</f>
        <v>350</v>
      </c>
      <c r="Q9" s="65">
        <f>Table13[[#This Row],[Profit]]/Table13[[#This Row],[Total_Sales]]</f>
        <v>0.15562636646973996</v>
      </c>
      <c r="R9" s="1"/>
      <c r="S9" s="110" t="s">
        <v>1066</v>
      </c>
      <c r="T9" s="1"/>
    </row>
    <row r="10" spans="1:20" x14ac:dyDescent="0.25">
      <c r="A10" s="22" t="s">
        <v>59</v>
      </c>
      <c r="B10" s="63">
        <v>45548</v>
      </c>
      <c r="C10" s="22" t="s">
        <v>30</v>
      </c>
      <c r="D10" s="22" t="str">
        <f>PROPER(TRIM(Raw_Data!D10))</f>
        <v>Usa</v>
      </c>
      <c r="E10" s="22" t="s">
        <v>60</v>
      </c>
      <c r="F10" s="22" t="s">
        <v>52</v>
      </c>
      <c r="G10" s="66">
        <v>47</v>
      </c>
      <c r="H10" s="2">
        <v>24.47</v>
      </c>
      <c r="I10" s="64">
        <f>PRODUCT(Table13[[#This Row],[Quantity]:[Unit_Price]])</f>
        <v>1150.0899999999999</v>
      </c>
      <c r="J10" s="2">
        <v>61.3</v>
      </c>
      <c r="K10" s="2">
        <v>360.29</v>
      </c>
      <c r="L10" s="22" t="s">
        <v>26</v>
      </c>
      <c r="M10" s="22" t="s">
        <v>20</v>
      </c>
      <c r="N10" s="22" t="s">
        <v>21</v>
      </c>
      <c r="O10" s="64">
        <f>VLOOKUP($E10,Products!$B$2:$F$11,5,0)</f>
        <v>15.5</v>
      </c>
      <c r="P10" s="64">
        <f>PRODUCT(Table13[[#This Row],[Quantity]],Table13[[#This Row],[Unit_Cost]])</f>
        <v>728.5</v>
      </c>
      <c r="Q10" s="65">
        <f>Table13[[#This Row],[Profit]]/Table13[[#This Row],[Total_Sales]]</f>
        <v>0.31327113530245465</v>
      </c>
      <c r="R10" s="1"/>
      <c r="S10" s="111"/>
      <c r="T10" s="1"/>
    </row>
    <row r="11" spans="1:20" x14ac:dyDescent="0.25">
      <c r="A11" s="22" t="s">
        <v>61</v>
      </c>
      <c r="B11" s="63">
        <v>45531</v>
      </c>
      <c r="C11" s="22" t="s">
        <v>62</v>
      </c>
      <c r="D11" s="22" t="str">
        <f>PROPER(TRIM(Raw_Data!D11))</f>
        <v>Italy</v>
      </c>
      <c r="E11" s="22" t="s">
        <v>63</v>
      </c>
      <c r="F11" s="22" t="s">
        <v>37</v>
      </c>
      <c r="G11" s="66">
        <v>27</v>
      </c>
      <c r="H11" s="2">
        <v>18.98</v>
      </c>
      <c r="I11" s="64">
        <f>PRODUCT(Table13[[#This Row],[Quantity]:[Unit_Price]])</f>
        <v>512.46</v>
      </c>
      <c r="J11" s="2">
        <v>28.89</v>
      </c>
      <c r="K11" s="2">
        <v>139.32</v>
      </c>
      <c r="L11" s="22" t="s">
        <v>26</v>
      </c>
      <c r="M11" s="22" t="s">
        <v>32</v>
      </c>
      <c r="N11" s="22" t="s">
        <v>28</v>
      </c>
      <c r="O11" s="64">
        <f>VLOOKUP($E11,Products!$B$2:$F$11,5,0)</f>
        <v>12.75</v>
      </c>
      <c r="P11" s="64">
        <f>PRODUCT(Table13[[#This Row],[Quantity]],Table13[[#This Row],[Unit_Cost]])</f>
        <v>344.25</v>
      </c>
      <c r="Q11" s="65">
        <f>Table13[[#This Row],[Profit]]/Table13[[#This Row],[Total_Sales]]</f>
        <v>0.27186512118018963</v>
      </c>
      <c r="R11" s="1"/>
      <c r="S11" s="112" t="s">
        <v>686</v>
      </c>
    </row>
    <row r="12" spans="1:20" x14ac:dyDescent="0.25">
      <c r="A12" s="22" t="s">
        <v>64</v>
      </c>
      <c r="B12" s="63">
        <v>45754</v>
      </c>
      <c r="C12" s="22" t="s">
        <v>65</v>
      </c>
      <c r="D12" s="22" t="str">
        <f>PROPER(TRIM(Raw_Data!D12))</f>
        <v>China</v>
      </c>
      <c r="E12" s="22" t="s">
        <v>17</v>
      </c>
      <c r="F12" s="22" t="s">
        <v>18</v>
      </c>
      <c r="G12" s="66">
        <v>32</v>
      </c>
      <c r="H12" s="2">
        <v>57.84</v>
      </c>
      <c r="I12" s="64">
        <f>PRODUCT(Table13[[#This Row],[Quantity]:[Unit_Price]])</f>
        <v>1850.88</v>
      </c>
      <c r="J12" s="2">
        <v>55.15</v>
      </c>
      <c r="K12" s="2">
        <v>675.73</v>
      </c>
      <c r="L12" s="22" t="s">
        <v>19</v>
      </c>
      <c r="M12" s="22" t="s">
        <v>20</v>
      </c>
      <c r="N12" s="22" t="s">
        <v>58</v>
      </c>
      <c r="O12" s="64">
        <f>VLOOKUP($E12,Products!$B$2:$F$11,5,0)</f>
        <v>35</v>
      </c>
      <c r="P12" s="64">
        <f>PRODUCT(Table13[[#This Row],[Quantity]],Table13[[#This Row],[Unit_Cost]])</f>
        <v>1120</v>
      </c>
      <c r="Q12" s="65">
        <f>Table13[[#This Row],[Profit]]/Table13[[#This Row],[Total_Sales]]</f>
        <v>0.36508579702627936</v>
      </c>
      <c r="R12" s="1"/>
      <c r="S12" s="113">
        <f>AVERAGE(Table13[Profit_Margin])</f>
        <v>0.27267437490594426</v>
      </c>
    </row>
    <row r="13" spans="1:20" x14ac:dyDescent="0.25">
      <c r="A13" s="22" t="s">
        <v>66</v>
      </c>
      <c r="B13" s="63">
        <v>45634</v>
      </c>
      <c r="C13" s="22" t="s">
        <v>67</v>
      </c>
      <c r="D13" s="22" t="str">
        <f>PROPER(TRIM(Raw_Data!D13))</f>
        <v>Canada</v>
      </c>
      <c r="E13" s="22" t="s">
        <v>43</v>
      </c>
      <c r="F13" s="22" t="s">
        <v>44</v>
      </c>
      <c r="G13" s="66">
        <v>49</v>
      </c>
      <c r="H13" s="2">
        <v>58.77</v>
      </c>
      <c r="I13" s="64">
        <f>PRODUCT(Table13[[#This Row],[Quantity]:[Unit_Price]])</f>
        <v>2879.73</v>
      </c>
      <c r="J13" s="2">
        <v>140.29</v>
      </c>
      <c r="K13" s="2">
        <v>779.44</v>
      </c>
      <c r="L13" s="22" t="s">
        <v>38</v>
      </c>
      <c r="M13" s="22" t="s">
        <v>32</v>
      </c>
      <c r="N13" s="22" t="s">
        <v>21</v>
      </c>
      <c r="O13" s="64">
        <f>VLOOKUP($E13,Products!$B$2:$F$11,5,0)</f>
        <v>40</v>
      </c>
      <c r="P13" s="64">
        <f>PRODUCT(Table13[[#This Row],[Quantity]],Table13[[#This Row],[Unit_Cost]])</f>
        <v>1960</v>
      </c>
      <c r="Q13" s="65">
        <f>Table13[[#This Row],[Profit]]/Table13[[#This Row],[Total_Sales]]</f>
        <v>0.27066426366360735</v>
      </c>
      <c r="R13" s="1"/>
      <c r="S13" s="111"/>
      <c r="T13" s="1"/>
    </row>
    <row r="14" spans="1:20" x14ac:dyDescent="0.25">
      <c r="A14" s="22" t="s">
        <v>68</v>
      </c>
      <c r="B14" s="63">
        <v>45547</v>
      </c>
      <c r="C14" s="22" t="s">
        <v>65</v>
      </c>
      <c r="D14" s="22" t="str">
        <f>PROPER(TRIM(Raw_Data!D14))</f>
        <v>Singapore</v>
      </c>
      <c r="E14" s="22" t="s">
        <v>17</v>
      </c>
      <c r="F14" s="22" t="s">
        <v>18</v>
      </c>
      <c r="G14" s="66">
        <v>43</v>
      </c>
      <c r="H14" s="2">
        <v>56.92</v>
      </c>
      <c r="I14" s="64">
        <f>PRODUCT(Table13[[#This Row],[Quantity]:[Unit_Price]])</f>
        <v>2447.56</v>
      </c>
      <c r="J14" s="2">
        <v>140.4</v>
      </c>
      <c r="K14" s="2">
        <v>802.16</v>
      </c>
      <c r="L14" s="22" t="s">
        <v>19</v>
      </c>
      <c r="M14" s="22" t="s">
        <v>27</v>
      </c>
      <c r="N14" s="22" t="s">
        <v>58</v>
      </c>
      <c r="O14" s="64">
        <f>VLOOKUP($E14,Products!$B$2:$F$11,5,0)</f>
        <v>35</v>
      </c>
      <c r="P14" s="64">
        <f>PRODUCT(Table13[[#This Row],[Quantity]],Table13[[#This Row],[Unit_Cost]])</f>
        <v>1505</v>
      </c>
      <c r="Q14" s="65">
        <f>Table13[[#This Row],[Profit]]/Table13[[#This Row],[Total_Sales]]</f>
        <v>0.3277386458350357</v>
      </c>
      <c r="R14" s="1"/>
      <c r="S14" s="112" t="s">
        <v>687</v>
      </c>
      <c r="T14" s="1"/>
    </row>
    <row r="15" spans="1:20" x14ac:dyDescent="0.25">
      <c r="A15" s="22" t="s">
        <v>70</v>
      </c>
      <c r="B15" s="63">
        <v>45350</v>
      </c>
      <c r="C15" s="22" t="s">
        <v>71</v>
      </c>
      <c r="D15" s="22" t="str">
        <f>PROPER(TRIM(Raw_Data!D15))</f>
        <v>Italy</v>
      </c>
      <c r="E15" s="22" t="s">
        <v>56</v>
      </c>
      <c r="F15" s="22" t="s">
        <v>57</v>
      </c>
      <c r="G15" s="66">
        <v>32</v>
      </c>
      <c r="H15" s="2">
        <v>43.45</v>
      </c>
      <c r="I15" s="64">
        <f>PRODUCT(Table13[[#This Row],[Quantity]:[Unit_Price]])</f>
        <v>1390.4</v>
      </c>
      <c r="J15" s="2">
        <v>30.04</v>
      </c>
      <c r="K15" s="2">
        <v>560.36</v>
      </c>
      <c r="L15" s="22" t="s">
        <v>19</v>
      </c>
      <c r="M15" s="22" t="s">
        <v>32</v>
      </c>
      <c r="N15" s="22" t="s">
        <v>28</v>
      </c>
      <c r="O15" s="64">
        <f>VLOOKUP($E15,Products!$B$2:$F$11,5,0)</f>
        <v>25</v>
      </c>
      <c r="P15" s="64">
        <f>PRODUCT(Table13[[#This Row],[Quantity]],Table13[[#This Row],[Unit_Cost]])</f>
        <v>800</v>
      </c>
      <c r="Q15" s="65">
        <f>Table13[[#This Row],[Profit]]/Table13[[#This Row],[Total_Sales]]</f>
        <v>0.4030207134637514</v>
      </c>
      <c r="R15" s="1"/>
      <c r="S15" s="113">
        <f>MIN(Q2:Q501)</f>
        <v>9.3578691423519017E-2</v>
      </c>
      <c r="T15" s="1"/>
    </row>
    <row r="16" spans="1:20" x14ac:dyDescent="0.25">
      <c r="A16" s="22" t="s">
        <v>72</v>
      </c>
      <c r="B16" s="63">
        <v>45378</v>
      </c>
      <c r="C16" s="22" t="s">
        <v>73</v>
      </c>
      <c r="D16" s="22" t="str">
        <f>PROPER(TRIM(Raw_Data!D16))</f>
        <v>Uae</v>
      </c>
      <c r="E16" s="22" t="s">
        <v>56</v>
      </c>
      <c r="F16" s="22" t="s">
        <v>57</v>
      </c>
      <c r="G16" s="66">
        <v>22</v>
      </c>
      <c r="H16" s="2">
        <v>42.59</v>
      </c>
      <c r="I16" s="64">
        <f>PRODUCT(Table13[[#This Row],[Quantity]:[Unit_Price]])</f>
        <v>936.98</v>
      </c>
      <c r="J16" s="2">
        <v>29.87</v>
      </c>
      <c r="K16" s="2">
        <v>357.11</v>
      </c>
      <c r="L16" s="22" t="s">
        <v>26</v>
      </c>
      <c r="M16" s="22" t="s">
        <v>32</v>
      </c>
      <c r="N16" s="22" t="s">
        <v>58</v>
      </c>
      <c r="O16" s="64">
        <f>VLOOKUP($E16,Products!$B$2:$F$11,5,0)</f>
        <v>25</v>
      </c>
      <c r="P16" s="64">
        <f>PRODUCT(Table13[[#This Row],[Quantity]],Table13[[#This Row],[Unit_Cost]])</f>
        <v>550</v>
      </c>
      <c r="Q16" s="65">
        <f>Table13[[#This Row],[Profit]]/Table13[[#This Row],[Total_Sales]]</f>
        <v>0.38112873273709152</v>
      </c>
      <c r="R16" s="1"/>
      <c r="S16" s="111"/>
      <c r="T16" s="1"/>
    </row>
    <row r="17" spans="1:20" x14ac:dyDescent="0.25">
      <c r="A17" s="22" t="s">
        <v>75</v>
      </c>
      <c r="B17" s="63">
        <v>45556</v>
      </c>
      <c r="C17" s="22" t="s">
        <v>76</v>
      </c>
      <c r="D17" s="22" t="str">
        <f>PROPER(TRIM(Raw_Data!D17))</f>
        <v>Japan</v>
      </c>
      <c r="E17" s="22" t="s">
        <v>48</v>
      </c>
      <c r="F17" s="22" t="s">
        <v>37</v>
      </c>
      <c r="G17" s="66">
        <v>48</v>
      </c>
      <c r="H17" s="2">
        <v>25.36</v>
      </c>
      <c r="I17" s="64">
        <f>PRODUCT(Table13[[#This Row],[Quantity]:[Unit_Price]])</f>
        <v>1217.28</v>
      </c>
      <c r="J17" s="2">
        <v>49.68</v>
      </c>
      <c r="K17" s="2">
        <v>207.6</v>
      </c>
      <c r="L17" s="22" t="s">
        <v>26</v>
      </c>
      <c r="M17" s="22" t="s">
        <v>20</v>
      </c>
      <c r="N17" s="22" t="s">
        <v>58</v>
      </c>
      <c r="O17" s="64">
        <f>VLOOKUP($E17,Products!$B$2:$F$11,5,0)</f>
        <v>20</v>
      </c>
      <c r="P17" s="64">
        <f>PRODUCT(Table13[[#This Row],[Quantity]],Table13[[#This Row],[Unit_Cost]])</f>
        <v>960</v>
      </c>
      <c r="Q17" s="65">
        <f>Table13[[#This Row],[Profit]]/Table13[[#This Row],[Total_Sales]]</f>
        <v>0.17054416403785488</v>
      </c>
      <c r="R17" s="1"/>
      <c r="S17" s="112" t="s">
        <v>688</v>
      </c>
      <c r="T17" s="1"/>
    </row>
    <row r="18" spans="1:20" ht="15.75" thickBot="1" x14ac:dyDescent="0.3">
      <c r="A18" s="22" t="s">
        <v>78</v>
      </c>
      <c r="B18" s="63">
        <v>45506</v>
      </c>
      <c r="C18" s="22" t="s">
        <v>65</v>
      </c>
      <c r="D18" s="22" t="str">
        <f>PROPER(TRIM(Raw_Data!D18))</f>
        <v>Uae</v>
      </c>
      <c r="E18" s="22" t="s">
        <v>25</v>
      </c>
      <c r="F18" s="22" t="s">
        <v>18</v>
      </c>
      <c r="G18" s="66">
        <v>48</v>
      </c>
      <c r="H18" s="2">
        <v>30.07</v>
      </c>
      <c r="I18" s="64">
        <f>PRODUCT(Table13[[#This Row],[Quantity]:[Unit_Price]])</f>
        <v>1443.3600000000001</v>
      </c>
      <c r="J18" s="2">
        <v>102.31</v>
      </c>
      <c r="K18" s="2">
        <v>477.05</v>
      </c>
      <c r="L18" s="22" t="s">
        <v>38</v>
      </c>
      <c r="M18" s="22" t="s">
        <v>20</v>
      </c>
      <c r="N18" s="22" t="s">
        <v>58</v>
      </c>
      <c r="O18" s="64">
        <f>VLOOKUP($E18,Products!$B$2:$F$11,5,0)</f>
        <v>18</v>
      </c>
      <c r="P18" s="64">
        <f>PRODUCT(Table13[[#This Row],[Quantity]],Table13[[#This Row],[Unit_Cost]])</f>
        <v>864</v>
      </c>
      <c r="Q18" s="65">
        <f>Table13[[#This Row],[Profit]]/Table13[[#This Row],[Total_Sales]]</f>
        <v>0.33051352399955658</v>
      </c>
      <c r="R18" s="1"/>
      <c r="S18" s="114">
        <f>MAX(Q2:Q501)</f>
        <v>0.42019875028231574</v>
      </c>
      <c r="T18" s="1"/>
    </row>
    <row r="19" spans="1:20" x14ac:dyDescent="0.25">
      <c r="A19" s="22" t="s">
        <v>79</v>
      </c>
      <c r="B19" s="63">
        <v>45564</v>
      </c>
      <c r="C19" s="22" t="s">
        <v>46</v>
      </c>
      <c r="D19" s="22" t="str">
        <f>PROPER(TRIM(Raw_Data!D19))</f>
        <v>Uae</v>
      </c>
      <c r="E19" s="22" t="s">
        <v>48</v>
      </c>
      <c r="F19" s="22" t="s">
        <v>37</v>
      </c>
      <c r="G19" s="66">
        <v>6</v>
      </c>
      <c r="H19" s="2">
        <v>32.17</v>
      </c>
      <c r="I19" s="64">
        <f>PRODUCT(Table13[[#This Row],[Quantity]:[Unit_Price]])</f>
        <v>193.02</v>
      </c>
      <c r="J19" s="2">
        <v>14.45</v>
      </c>
      <c r="K19" s="2">
        <v>58.57</v>
      </c>
      <c r="L19" s="22" t="s">
        <v>38</v>
      </c>
      <c r="M19" s="22" t="s">
        <v>20</v>
      </c>
      <c r="N19" s="22" t="s">
        <v>58</v>
      </c>
      <c r="O19" s="64">
        <f>VLOOKUP($E19,Products!$B$2:$F$11,5,0)</f>
        <v>20</v>
      </c>
      <c r="P19" s="64">
        <f>PRODUCT(Table13[[#This Row],[Quantity]],Table13[[#This Row],[Unit_Cost]])</f>
        <v>120</v>
      </c>
      <c r="Q19" s="65">
        <f>Table13[[#This Row],[Profit]]/Table13[[#This Row],[Total_Sales]]</f>
        <v>0.30344005802507512</v>
      </c>
      <c r="R19" s="1"/>
      <c r="S19" s="1"/>
      <c r="T19" s="1"/>
    </row>
    <row r="20" spans="1:20" x14ac:dyDescent="0.25">
      <c r="A20" s="22" t="s">
        <v>80</v>
      </c>
      <c r="B20" s="63">
        <v>45476</v>
      </c>
      <c r="C20" s="22" t="s">
        <v>81</v>
      </c>
      <c r="D20" s="22" t="str">
        <f>PROPER(TRIM(Raw_Data!D20))</f>
        <v>Singapore</v>
      </c>
      <c r="E20" s="22" t="s">
        <v>25</v>
      </c>
      <c r="F20" s="22" t="s">
        <v>18</v>
      </c>
      <c r="G20" s="66">
        <v>37</v>
      </c>
      <c r="H20" s="2">
        <v>24.14</v>
      </c>
      <c r="I20" s="64">
        <f>PRODUCT(Table13[[#This Row],[Quantity]:[Unit_Price]])</f>
        <v>893.18000000000006</v>
      </c>
      <c r="J20" s="2">
        <v>31.39</v>
      </c>
      <c r="K20" s="2">
        <v>195.79</v>
      </c>
      <c r="L20" s="22" t="s">
        <v>26</v>
      </c>
      <c r="M20" s="22" t="s">
        <v>27</v>
      </c>
      <c r="N20" s="22" t="s">
        <v>58</v>
      </c>
      <c r="O20" s="64">
        <f>VLOOKUP($E20,Products!$B$2:$F$11,5,0)</f>
        <v>18</v>
      </c>
      <c r="P20" s="64">
        <f>PRODUCT(Table13[[#This Row],[Quantity]],Table13[[#This Row],[Unit_Cost]])</f>
        <v>666</v>
      </c>
      <c r="Q20" s="65">
        <f>Table13[[#This Row],[Profit]]/Table13[[#This Row],[Total_Sales]]</f>
        <v>0.2192055352784433</v>
      </c>
      <c r="R20" s="1"/>
      <c r="S20" s="1"/>
      <c r="T20" s="1"/>
    </row>
    <row r="21" spans="1:20" x14ac:dyDescent="0.25">
      <c r="A21" s="22" t="s">
        <v>82</v>
      </c>
      <c r="B21" s="63">
        <v>45770</v>
      </c>
      <c r="C21" s="22" t="s">
        <v>41</v>
      </c>
      <c r="D21" s="22" t="str">
        <f>PROPER(TRIM(Raw_Data!D21))</f>
        <v>Uk</v>
      </c>
      <c r="E21" s="22" t="s">
        <v>83</v>
      </c>
      <c r="F21" s="22" t="s">
        <v>52</v>
      </c>
      <c r="G21" s="66">
        <v>39</v>
      </c>
      <c r="H21" s="2">
        <v>37.840000000000003</v>
      </c>
      <c r="I21" s="64">
        <f>PRODUCT(Table13[[#This Row],[Quantity]:[Unit_Price]])</f>
        <v>1475.7600000000002</v>
      </c>
      <c r="J21" s="2">
        <v>73.400000000000006</v>
      </c>
      <c r="K21" s="2">
        <v>310.36</v>
      </c>
      <c r="L21" s="22" t="s">
        <v>26</v>
      </c>
      <c r="M21" s="22" t="s">
        <v>32</v>
      </c>
      <c r="N21" s="22" t="s">
        <v>28</v>
      </c>
      <c r="O21" s="64">
        <f>VLOOKUP($E21,Products!$B$2:$F$11,5,0)</f>
        <v>28</v>
      </c>
      <c r="P21" s="64">
        <f>PRODUCT(Table13[[#This Row],[Quantity]],Table13[[#This Row],[Unit_Cost]])</f>
        <v>1092</v>
      </c>
      <c r="Q21" s="65">
        <f>Table13[[#This Row],[Profit]]/Table13[[#This Row],[Total_Sales]]</f>
        <v>0.21030519867729167</v>
      </c>
      <c r="R21" s="1"/>
      <c r="S21" s="1"/>
      <c r="T21" s="1"/>
    </row>
    <row r="22" spans="1:20" x14ac:dyDescent="0.25">
      <c r="A22" s="22" t="s">
        <v>84</v>
      </c>
      <c r="B22" s="63">
        <v>45715</v>
      </c>
      <c r="C22" s="22" t="s">
        <v>85</v>
      </c>
      <c r="D22" s="22" t="str">
        <f>PROPER(TRIM(Raw_Data!D22))</f>
        <v>South Africa</v>
      </c>
      <c r="E22" s="22" t="s">
        <v>43</v>
      </c>
      <c r="F22" s="22" t="s">
        <v>44</v>
      </c>
      <c r="G22" s="66">
        <v>6</v>
      </c>
      <c r="H22" s="2">
        <v>68.77</v>
      </c>
      <c r="I22" s="64">
        <f>PRODUCT(Table13[[#This Row],[Quantity]:[Unit_Price]])</f>
        <v>412.62</v>
      </c>
      <c r="J22" s="2">
        <v>17.18</v>
      </c>
      <c r="K22" s="2">
        <v>155.44</v>
      </c>
      <c r="L22" s="22" t="s">
        <v>26</v>
      </c>
      <c r="M22" s="22" t="s">
        <v>20</v>
      </c>
      <c r="N22" s="22" t="s">
        <v>87</v>
      </c>
      <c r="O22" s="64">
        <f>VLOOKUP($E22,Products!$B$2:$F$11,5,0)</f>
        <v>40</v>
      </c>
      <c r="P22" s="64">
        <f>PRODUCT(Table13[[#This Row],[Quantity]],Table13[[#This Row],[Unit_Cost]])</f>
        <v>240</v>
      </c>
      <c r="Q22" s="65">
        <f>Table13[[#This Row],[Profit]]/Table13[[#This Row],[Total_Sales]]</f>
        <v>0.37671465270709126</v>
      </c>
      <c r="R22" s="1"/>
      <c r="S22" s="1"/>
      <c r="T22" s="1"/>
    </row>
    <row r="23" spans="1:20" x14ac:dyDescent="0.25">
      <c r="A23" s="22" t="s">
        <v>88</v>
      </c>
      <c r="B23" s="63">
        <v>45741</v>
      </c>
      <c r="C23" s="22" t="s">
        <v>89</v>
      </c>
      <c r="D23" s="22" t="str">
        <f>PROPER(TRIM(Raw_Data!D23))</f>
        <v>Canada</v>
      </c>
      <c r="E23" s="22" t="s">
        <v>63</v>
      </c>
      <c r="F23" s="22" t="s">
        <v>37</v>
      </c>
      <c r="G23" s="66">
        <v>6</v>
      </c>
      <c r="H23" s="2">
        <v>18.5</v>
      </c>
      <c r="I23" s="64">
        <f>PRODUCT(Table13[[#This Row],[Quantity]:[Unit_Price]])</f>
        <v>111</v>
      </c>
      <c r="J23" s="2">
        <v>5.26</v>
      </c>
      <c r="K23" s="2">
        <v>29.24</v>
      </c>
      <c r="L23" s="22" t="s">
        <v>38</v>
      </c>
      <c r="M23" s="22" t="s">
        <v>27</v>
      </c>
      <c r="N23" s="22" t="s">
        <v>21</v>
      </c>
      <c r="O23" s="64">
        <f>VLOOKUP($E23,Products!$B$2:$F$11,5,0)</f>
        <v>12.75</v>
      </c>
      <c r="P23" s="64">
        <f>PRODUCT(Table13[[#This Row],[Quantity]],Table13[[#This Row],[Unit_Cost]])</f>
        <v>76.5</v>
      </c>
      <c r="Q23" s="65">
        <f>Table13[[#This Row],[Profit]]/Table13[[#This Row],[Total_Sales]]</f>
        <v>0.2634234234234234</v>
      </c>
      <c r="R23" s="1"/>
      <c r="S23" s="1"/>
      <c r="T23" s="1"/>
    </row>
    <row r="24" spans="1:20" x14ac:dyDescent="0.25">
      <c r="A24" s="22" t="s">
        <v>90</v>
      </c>
      <c r="B24" s="63">
        <v>45426</v>
      </c>
      <c r="C24" s="22" t="s">
        <v>91</v>
      </c>
      <c r="D24" s="22" t="str">
        <f>PROPER(TRIM(Raw_Data!D24))</f>
        <v>Italy</v>
      </c>
      <c r="E24" s="22" t="s">
        <v>51</v>
      </c>
      <c r="F24" s="22" t="s">
        <v>52</v>
      </c>
      <c r="G24" s="66">
        <v>33</v>
      </c>
      <c r="H24" s="2">
        <v>28.96</v>
      </c>
      <c r="I24" s="64">
        <f>PRODUCT(Table13[[#This Row],[Quantity]:[Unit_Price]])</f>
        <v>955.68000000000006</v>
      </c>
      <c r="J24" s="2">
        <v>49.07</v>
      </c>
      <c r="K24" s="2">
        <v>164.11</v>
      </c>
      <c r="L24" s="22" t="s">
        <v>26</v>
      </c>
      <c r="M24" s="22" t="s">
        <v>20</v>
      </c>
      <c r="N24" s="22" t="s">
        <v>28</v>
      </c>
      <c r="O24" s="64">
        <f>VLOOKUP($E24,Products!$B$2:$F$11,5,0)</f>
        <v>22.5</v>
      </c>
      <c r="P24" s="64">
        <f>PRODUCT(Table13[[#This Row],[Quantity]],Table13[[#This Row],[Unit_Cost]])</f>
        <v>742.5</v>
      </c>
      <c r="Q24" s="65">
        <f>Table13[[#This Row],[Profit]]/Table13[[#This Row],[Total_Sales]]</f>
        <v>0.17172065963502428</v>
      </c>
      <c r="R24" s="1"/>
      <c r="S24" s="1"/>
      <c r="T24" s="1"/>
    </row>
    <row r="25" spans="1:20" x14ac:dyDescent="0.25">
      <c r="A25" s="22" t="s">
        <v>92</v>
      </c>
      <c r="B25" s="63">
        <v>45336</v>
      </c>
      <c r="C25" s="22" t="s">
        <v>93</v>
      </c>
      <c r="D25" s="22" t="str">
        <f>PROPER(TRIM(Raw_Data!D25))</f>
        <v>Canada</v>
      </c>
      <c r="E25" s="22" t="s">
        <v>51</v>
      </c>
      <c r="F25" s="22" t="s">
        <v>52</v>
      </c>
      <c r="G25" s="66">
        <v>31</v>
      </c>
      <c r="H25" s="2">
        <v>35.020000000000003</v>
      </c>
      <c r="I25" s="64">
        <f>PRODUCT(Table13[[#This Row],[Quantity]:[Unit_Price]])</f>
        <v>1085.6200000000001</v>
      </c>
      <c r="J25" s="2">
        <v>74.650000000000006</v>
      </c>
      <c r="K25" s="2">
        <v>313.47000000000003</v>
      </c>
      <c r="L25" s="22" t="s">
        <v>38</v>
      </c>
      <c r="M25" s="22" t="s">
        <v>20</v>
      </c>
      <c r="N25" s="22" t="s">
        <v>21</v>
      </c>
      <c r="O25" s="64">
        <f>VLOOKUP($E25,Products!$B$2:$F$11,5,0)</f>
        <v>22.5</v>
      </c>
      <c r="P25" s="64">
        <f>PRODUCT(Table13[[#This Row],[Quantity]],Table13[[#This Row],[Unit_Cost]])</f>
        <v>697.5</v>
      </c>
      <c r="Q25" s="65">
        <f>Table13[[#This Row],[Profit]]/Table13[[#This Row],[Total_Sales]]</f>
        <v>0.28874744385696655</v>
      </c>
      <c r="R25" s="1"/>
      <c r="S25" s="1"/>
      <c r="T25" s="1"/>
    </row>
    <row r="26" spans="1:20" x14ac:dyDescent="0.25">
      <c r="A26" s="22" t="s">
        <v>94</v>
      </c>
      <c r="B26" s="63">
        <v>45771</v>
      </c>
      <c r="C26" s="22" t="s">
        <v>95</v>
      </c>
      <c r="D26" s="22" t="str">
        <f>PROPER(TRIM(Raw_Data!D26))</f>
        <v>Canada</v>
      </c>
      <c r="E26" s="22" t="s">
        <v>48</v>
      </c>
      <c r="F26" s="22" t="s">
        <v>37</v>
      </c>
      <c r="G26" s="66">
        <v>25</v>
      </c>
      <c r="H26" s="2">
        <v>31.57</v>
      </c>
      <c r="I26" s="64">
        <f>PRODUCT(Table13[[#This Row],[Quantity]:[Unit_Price]])</f>
        <v>789.25</v>
      </c>
      <c r="J26" s="2">
        <v>56.47</v>
      </c>
      <c r="K26" s="2">
        <v>232.78</v>
      </c>
      <c r="L26" s="22" t="s">
        <v>26</v>
      </c>
      <c r="M26" s="22" t="s">
        <v>27</v>
      </c>
      <c r="N26" s="22" t="s">
        <v>21</v>
      </c>
      <c r="O26" s="64">
        <f>VLOOKUP($E26,Products!$B$2:$F$11,5,0)</f>
        <v>20</v>
      </c>
      <c r="P26" s="64">
        <f>PRODUCT(Table13[[#This Row],[Quantity]],Table13[[#This Row],[Unit_Cost]])</f>
        <v>500</v>
      </c>
      <c r="Q26" s="65">
        <f>Table13[[#This Row],[Profit]]/Table13[[#This Row],[Total_Sales]]</f>
        <v>0.29493823249920809</v>
      </c>
      <c r="R26" s="1"/>
      <c r="S26" s="1"/>
      <c r="T26" s="1"/>
    </row>
    <row r="27" spans="1:20" x14ac:dyDescent="0.25">
      <c r="A27" s="22" t="s">
        <v>96</v>
      </c>
      <c r="B27" s="63">
        <v>45648</v>
      </c>
      <c r="C27" s="22" t="s">
        <v>97</v>
      </c>
      <c r="D27" s="22" t="str">
        <f>PROPER(TRIM(Raw_Data!D27))</f>
        <v>Italy</v>
      </c>
      <c r="E27" s="22" t="s">
        <v>60</v>
      </c>
      <c r="F27" s="22" t="s">
        <v>52</v>
      </c>
      <c r="G27" s="66">
        <v>14</v>
      </c>
      <c r="H27" s="2">
        <v>27.08</v>
      </c>
      <c r="I27" s="64">
        <f>PRODUCT(Table13[[#This Row],[Quantity]:[Unit_Price]])</f>
        <v>379.12</v>
      </c>
      <c r="J27" s="2">
        <v>11.12</v>
      </c>
      <c r="K27" s="2">
        <v>151</v>
      </c>
      <c r="L27" s="22" t="s">
        <v>26</v>
      </c>
      <c r="M27" s="22" t="s">
        <v>32</v>
      </c>
      <c r="N27" s="22" t="s">
        <v>28</v>
      </c>
      <c r="O27" s="64">
        <f>VLOOKUP($E27,Products!$B$2:$F$11,5,0)</f>
        <v>15.5</v>
      </c>
      <c r="P27" s="64">
        <f>PRODUCT(Table13[[#This Row],[Quantity]],Table13[[#This Row],[Unit_Cost]])</f>
        <v>217</v>
      </c>
      <c r="Q27" s="65">
        <f>Table13[[#This Row],[Profit]]/Table13[[#This Row],[Total_Sales]]</f>
        <v>0.39829077864528378</v>
      </c>
      <c r="R27" s="1"/>
      <c r="S27" s="1"/>
      <c r="T27" s="1"/>
    </row>
    <row r="28" spans="1:20" x14ac:dyDescent="0.25">
      <c r="A28" s="22" t="s">
        <v>98</v>
      </c>
      <c r="B28" s="63">
        <v>45445</v>
      </c>
      <c r="C28" s="22" t="s">
        <v>34</v>
      </c>
      <c r="D28" s="22" t="str">
        <f>PROPER(TRIM(Raw_Data!D28))</f>
        <v>Italy</v>
      </c>
      <c r="E28" s="22" t="s">
        <v>83</v>
      </c>
      <c r="F28" s="22" t="s">
        <v>52</v>
      </c>
      <c r="G28" s="66">
        <v>39</v>
      </c>
      <c r="H28" s="2">
        <v>35.32</v>
      </c>
      <c r="I28" s="64">
        <f>PRODUCT(Table13[[#This Row],[Quantity]:[Unit_Price]])</f>
        <v>1377.48</v>
      </c>
      <c r="J28" s="2">
        <v>63.72</v>
      </c>
      <c r="K28" s="2">
        <v>221.76</v>
      </c>
      <c r="L28" s="22" t="s">
        <v>26</v>
      </c>
      <c r="M28" s="22" t="s">
        <v>27</v>
      </c>
      <c r="N28" s="22" t="s">
        <v>28</v>
      </c>
      <c r="O28" s="64">
        <f>VLOOKUP($E28,Products!$B$2:$F$11,5,0)</f>
        <v>28</v>
      </c>
      <c r="P28" s="64">
        <f>PRODUCT(Table13[[#This Row],[Quantity]],Table13[[#This Row],[Unit_Cost]])</f>
        <v>1092</v>
      </c>
      <c r="Q28" s="65">
        <f>Table13[[#This Row],[Profit]]/Table13[[#This Row],[Total_Sales]]</f>
        <v>0.16098963324331386</v>
      </c>
      <c r="R28" s="1"/>
      <c r="S28" s="1"/>
      <c r="T28" s="1"/>
    </row>
    <row r="29" spans="1:20" x14ac:dyDescent="0.25">
      <c r="A29" s="22" t="s">
        <v>99</v>
      </c>
      <c r="B29" s="63">
        <v>45527</v>
      </c>
      <c r="C29" s="22" t="s">
        <v>100</v>
      </c>
      <c r="D29" s="22" t="str">
        <f>PROPER(TRIM(Raw_Data!D29))</f>
        <v>China</v>
      </c>
      <c r="E29" s="22" t="s">
        <v>51</v>
      </c>
      <c r="F29" s="22" t="s">
        <v>52</v>
      </c>
      <c r="G29" s="66">
        <v>6</v>
      </c>
      <c r="H29" s="2">
        <v>39.630000000000003</v>
      </c>
      <c r="I29" s="64">
        <f>PRODUCT(Table13[[#This Row],[Quantity]:[Unit_Price]])</f>
        <v>237.78000000000003</v>
      </c>
      <c r="J29" s="2">
        <v>8.08</v>
      </c>
      <c r="K29" s="2">
        <v>94.7</v>
      </c>
      <c r="L29" s="22" t="s">
        <v>19</v>
      </c>
      <c r="M29" s="22" t="s">
        <v>32</v>
      </c>
      <c r="N29" s="22" t="s">
        <v>58</v>
      </c>
      <c r="O29" s="64">
        <f>VLOOKUP($E29,Products!$B$2:$F$11,5,0)</f>
        <v>22.5</v>
      </c>
      <c r="P29" s="64">
        <f>PRODUCT(Table13[[#This Row],[Quantity]],Table13[[#This Row],[Unit_Cost]])</f>
        <v>135</v>
      </c>
      <c r="Q29" s="65">
        <f>Table13[[#This Row],[Profit]]/Table13[[#This Row],[Total_Sales]]</f>
        <v>0.39826730591302884</v>
      </c>
      <c r="R29" s="1"/>
      <c r="S29" s="1"/>
      <c r="T29" s="1"/>
    </row>
    <row r="30" spans="1:20" x14ac:dyDescent="0.25">
      <c r="A30" s="22" t="s">
        <v>101</v>
      </c>
      <c r="B30" s="63">
        <v>45687</v>
      </c>
      <c r="C30" s="22" t="s">
        <v>102</v>
      </c>
      <c r="D30" s="22" t="str">
        <f>PROPER(TRIM(Raw_Data!D30))</f>
        <v>South Africa</v>
      </c>
      <c r="E30" s="22" t="s">
        <v>43</v>
      </c>
      <c r="F30" s="22" t="s">
        <v>44</v>
      </c>
      <c r="G30" s="66">
        <v>36</v>
      </c>
      <c r="H30" s="2">
        <v>68.400000000000006</v>
      </c>
      <c r="I30" s="64">
        <f>PRODUCT(Table13[[#This Row],[Quantity]:[Unit_Price]])</f>
        <v>2462.4</v>
      </c>
      <c r="J30" s="2">
        <v>150.83000000000001</v>
      </c>
      <c r="K30" s="2">
        <v>871.57</v>
      </c>
      <c r="L30" s="22" t="s">
        <v>26</v>
      </c>
      <c r="M30" s="22" t="s">
        <v>20</v>
      </c>
      <c r="N30" s="22" t="s">
        <v>87</v>
      </c>
      <c r="O30" s="64">
        <f>VLOOKUP($E30,Products!$B$2:$F$11,5,0)</f>
        <v>40</v>
      </c>
      <c r="P30" s="64">
        <f>PRODUCT(Table13[[#This Row],[Quantity]],Table13[[#This Row],[Unit_Cost]])</f>
        <v>1440</v>
      </c>
      <c r="Q30" s="65">
        <f>Table13[[#This Row],[Profit]]/Table13[[#This Row],[Total_Sales]]</f>
        <v>0.35395142949967512</v>
      </c>
      <c r="R30" s="1"/>
      <c r="S30" s="1"/>
      <c r="T30" s="1"/>
    </row>
    <row r="31" spans="1:20" x14ac:dyDescent="0.25">
      <c r="A31" s="22" t="s">
        <v>103</v>
      </c>
      <c r="B31" s="63">
        <v>45488</v>
      </c>
      <c r="C31" s="22" t="s">
        <v>76</v>
      </c>
      <c r="D31" s="22" t="str">
        <f>PROPER(TRIM(Raw_Data!D31))</f>
        <v>Italy</v>
      </c>
      <c r="E31" s="22" t="s">
        <v>56</v>
      </c>
      <c r="F31" s="22" t="s">
        <v>57</v>
      </c>
      <c r="G31" s="66">
        <v>1</v>
      </c>
      <c r="H31" s="2">
        <v>44.98</v>
      </c>
      <c r="I31" s="64">
        <f>PRODUCT(Table13[[#This Row],[Quantity]:[Unit_Price]])</f>
        <v>44.98</v>
      </c>
      <c r="J31" s="2">
        <v>2.81</v>
      </c>
      <c r="K31" s="2">
        <v>17.170000000000002</v>
      </c>
      <c r="L31" s="22" t="s">
        <v>26</v>
      </c>
      <c r="M31" s="22" t="s">
        <v>27</v>
      </c>
      <c r="N31" s="22" t="s">
        <v>28</v>
      </c>
      <c r="O31" s="64">
        <f>VLOOKUP($E31,Products!$B$2:$F$11,5,0)</f>
        <v>25</v>
      </c>
      <c r="P31" s="64">
        <f>PRODUCT(Table13[[#This Row],[Quantity]],Table13[[#This Row],[Unit_Cost]])</f>
        <v>25</v>
      </c>
      <c r="Q31" s="65">
        <f>Table13[[#This Row],[Profit]]/Table13[[#This Row],[Total_Sales]]</f>
        <v>0.38172521120498004</v>
      </c>
      <c r="R31" s="1"/>
      <c r="S31" s="1"/>
      <c r="T31" s="1"/>
    </row>
    <row r="32" spans="1:20" x14ac:dyDescent="0.25">
      <c r="A32" s="22" t="s">
        <v>104</v>
      </c>
      <c r="B32" s="63">
        <v>45769</v>
      </c>
      <c r="C32" s="22" t="s">
        <v>105</v>
      </c>
      <c r="D32" s="22" t="str">
        <f>PROPER(TRIM(Raw_Data!D32))</f>
        <v>France</v>
      </c>
      <c r="E32" s="22" t="s">
        <v>83</v>
      </c>
      <c r="F32" s="22" t="s">
        <v>52</v>
      </c>
      <c r="G32" s="66">
        <v>3</v>
      </c>
      <c r="H32" s="2">
        <v>37.74</v>
      </c>
      <c r="I32" s="64">
        <f>PRODUCT(Table13[[#This Row],[Quantity]:[Unit_Price]])</f>
        <v>113.22</v>
      </c>
      <c r="J32" s="2">
        <v>4.04</v>
      </c>
      <c r="K32" s="2">
        <v>25.18</v>
      </c>
      <c r="L32" s="22" t="s">
        <v>26</v>
      </c>
      <c r="M32" s="22" t="s">
        <v>27</v>
      </c>
      <c r="N32" s="22" t="s">
        <v>28</v>
      </c>
      <c r="O32" s="64">
        <f>VLOOKUP($E32,Products!$B$2:$F$11,5,0)</f>
        <v>28</v>
      </c>
      <c r="P32" s="64">
        <f>PRODUCT(Table13[[#This Row],[Quantity]],Table13[[#This Row],[Unit_Cost]])</f>
        <v>84</v>
      </c>
      <c r="Q32" s="65">
        <f>Table13[[#This Row],[Profit]]/Table13[[#This Row],[Total_Sales]]</f>
        <v>0.22239886945769299</v>
      </c>
      <c r="R32" s="1"/>
      <c r="S32" s="1"/>
      <c r="T32" s="1"/>
    </row>
    <row r="33" spans="1:20" x14ac:dyDescent="0.25">
      <c r="A33" s="22" t="s">
        <v>107</v>
      </c>
      <c r="B33" s="63">
        <v>45417</v>
      </c>
      <c r="C33" s="22" t="s">
        <v>108</v>
      </c>
      <c r="D33" s="22" t="str">
        <f>PROPER(TRIM(Raw_Data!D33))</f>
        <v>France</v>
      </c>
      <c r="E33" s="22" t="s">
        <v>56</v>
      </c>
      <c r="F33" s="22" t="s">
        <v>57</v>
      </c>
      <c r="G33" s="66">
        <v>12</v>
      </c>
      <c r="H33" s="2">
        <v>39.799999999999997</v>
      </c>
      <c r="I33" s="64">
        <f>PRODUCT(Table13[[#This Row],[Quantity]:[Unit_Price]])</f>
        <v>477.59999999999997</v>
      </c>
      <c r="J33" s="2">
        <v>20.54</v>
      </c>
      <c r="K33" s="2">
        <v>157.06</v>
      </c>
      <c r="L33" s="22" t="s">
        <v>38</v>
      </c>
      <c r="M33" s="22" t="s">
        <v>27</v>
      </c>
      <c r="N33" s="22" t="s">
        <v>28</v>
      </c>
      <c r="O33" s="64">
        <f>VLOOKUP($E33,Products!$B$2:$F$11,5,0)</f>
        <v>25</v>
      </c>
      <c r="P33" s="64">
        <f>PRODUCT(Table13[[#This Row],[Quantity]],Table13[[#This Row],[Unit_Cost]])</f>
        <v>300</v>
      </c>
      <c r="Q33" s="65">
        <f>Table13[[#This Row],[Profit]]/Table13[[#This Row],[Total_Sales]]</f>
        <v>0.32885259631490787</v>
      </c>
      <c r="R33" s="1"/>
      <c r="S33" s="1"/>
      <c r="T33" s="1"/>
    </row>
    <row r="34" spans="1:20" x14ac:dyDescent="0.25">
      <c r="A34" s="22" t="s">
        <v>109</v>
      </c>
      <c r="B34" s="63">
        <v>45409</v>
      </c>
      <c r="C34" s="22" t="s">
        <v>110</v>
      </c>
      <c r="D34" s="22" t="str">
        <f>PROPER(TRIM(Raw_Data!D34))</f>
        <v>China</v>
      </c>
      <c r="E34" s="22" t="s">
        <v>36</v>
      </c>
      <c r="F34" s="22" t="s">
        <v>37</v>
      </c>
      <c r="G34" s="66">
        <v>26</v>
      </c>
      <c r="H34" s="2">
        <v>43.23</v>
      </c>
      <c r="I34" s="64">
        <f>PRODUCT(Table13[[#This Row],[Quantity]:[Unit_Price]])</f>
        <v>1123.98</v>
      </c>
      <c r="J34" s="2">
        <v>57.2</v>
      </c>
      <c r="K34" s="2">
        <v>234.78</v>
      </c>
      <c r="L34" s="22" t="s">
        <v>26</v>
      </c>
      <c r="M34" s="22" t="s">
        <v>32</v>
      </c>
      <c r="N34" s="22" t="s">
        <v>58</v>
      </c>
      <c r="O34" s="64">
        <f>VLOOKUP($E34,Products!$B$2:$F$11,5,0)</f>
        <v>32</v>
      </c>
      <c r="P34" s="64">
        <f>PRODUCT(Table13[[#This Row],[Quantity]],Table13[[#This Row],[Unit_Cost]])</f>
        <v>832</v>
      </c>
      <c r="Q34" s="65">
        <f>Table13[[#This Row],[Profit]]/Table13[[#This Row],[Total_Sales]]</f>
        <v>0.20888272033310201</v>
      </c>
      <c r="R34" s="1"/>
      <c r="S34" s="1"/>
      <c r="T34" s="1"/>
    </row>
    <row r="35" spans="1:20" x14ac:dyDescent="0.25">
      <c r="A35" s="22" t="s">
        <v>111</v>
      </c>
      <c r="B35" s="63">
        <v>45668</v>
      </c>
      <c r="C35" s="22" t="s">
        <v>34</v>
      </c>
      <c r="D35" s="22" t="str">
        <f>PROPER(TRIM(Raw_Data!D35))</f>
        <v>Italy</v>
      </c>
      <c r="E35" s="22" t="s">
        <v>43</v>
      </c>
      <c r="F35" s="22" t="s">
        <v>44</v>
      </c>
      <c r="G35" s="66">
        <v>17</v>
      </c>
      <c r="H35" s="2">
        <v>66.34</v>
      </c>
      <c r="I35" s="64">
        <f>PRODUCT(Table13[[#This Row],[Quantity]:[Unit_Price]])</f>
        <v>1127.78</v>
      </c>
      <c r="J35" s="2">
        <v>81.150000000000006</v>
      </c>
      <c r="K35" s="2">
        <v>366.63</v>
      </c>
      <c r="L35" s="22" t="s">
        <v>26</v>
      </c>
      <c r="M35" s="22" t="s">
        <v>32</v>
      </c>
      <c r="N35" s="22" t="s">
        <v>28</v>
      </c>
      <c r="O35" s="64">
        <f>VLOOKUP($E35,Products!$B$2:$F$11,5,0)</f>
        <v>40</v>
      </c>
      <c r="P35" s="64">
        <f>PRODUCT(Table13[[#This Row],[Quantity]],Table13[[#This Row],[Unit_Cost]])</f>
        <v>680</v>
      </c>
      <c r="Q35" s="65">
        <f>Table13[[#This Row],[Profit]]/Table13[[#This Row],[Total_Sales]]</f>
        <v>0.32508999982266046</v>
      </c>
      <c r="R35" s="1"/>
      <c r="S35" s="1"/>
      <c r="T35" s="1"/>
    </row>
    <row r="36" spans="1:20" x14ac:dyDescent="0.25">
      <c r="A36" s="22" t="s">
        <v>112</v>
      </c>
      <c r="B36" s="63">
        <v>45578</v>
      </c>
      <c r="C36" s="22" t="s">
        <v>113</v>
      </c>
      <c r="D36" s="22" t="str">
        <f>PROPER(TRIM(Raw_Data!D36))</f>
        <v>Singapore</v>
      </c>
      <c r="E36" s="22" t="s">
        <v>56</v>
      </c>
      <c r="F36" s="22" t="s">
        <v>57</v>
      </c>
      <c r="G36" s="66">
        <v>4</v>
      </c>
      <c r="H36" s="2">
        <v>33.869999999999997</v>
      </c>
      <c r="I36" s="64">
        <f>PRODUCT(Table13[[#This Row],[Quantity]:[Unit_Price]])</f>
        <v>135.47999999999999</v>
      </c>
      <c r="J36" s="2">
        <v>6.59</v>
      </c>
      <c r="K36" s="2">
        <v>28.89</v>
      </c>
      <c r="L36" s="22" t="s">
        <v>19</v>
      </c>
      <c r="M36" s="22" t="s">
        <v>32</v>
      </c>
      <c r="N36" s="22" t="s">
        <v>58</v>
      </c>
      <c r="O36" s="64">
        <f>VLOOKUP($E36,Products!$B$2:$F$11,5,0)</f>
        <v>25</v>
      </c>
      <c r="P36" s="64">
        <f>PRODUCT(Table13[[#This Row],[Quantity]],Table13[[#This Row],[Unit_Cost]])</f>
        <v>100</v>
      </c>
      <c r="Q36" s="65">
        <f>Table13[[#This Row],[Profit]]/Table13[[#This Row],[Total_Sales]]</f>
        <v>0.21324180690876884</v>
      </c>
      <c r="R36" s="1"/>
      <c r="S36" s="1"/>
      <c r="T36" s="1"/>
    </row>
    <row r="37" spans="1:20" x14ac:dyDescent="0.25">
      <c r="A37" s="22" t="s">
        <v>114</v>
      </c>
      <c r="B37" s="63">
        <v>45606</v>
      </c>
      <c r="C37" s="22" t="s">
        <v>115</v>
      </c>
      <c r="D37" s="22" t="str">
        <f>PROPER(TRIM(Raw_Data!D37))</f>
        <v>Italy</v>
      </c>
      <c r="E37" s="22" t="s">
        <v>43</v>
      </c>
      <c r="F37" s="22" t="s">
        <v>44</v>
      </c>
      <c r="G37" s="66">
        <v>10</v>
      </c>
      <c r="H37" s="2">
        <v>64.650000000000006</v>
      </c>
      <c r="I37" s="64">
        <f>PRODUCT(Table13[[#This Row],[Quantity]:[Unit_Price]])</f>
        <v>646.5</v>
      </c>
      <c r="J37" s="2">
        <v>17.89</v>
      </c>
      <c r="K37" s="2">
        <v>228.61</v>
      </c>
      <c r="L37" s="22" t="s">
        <v>38</v>
      </c>
      <c r="M37" s="22" t="s">
        <v>20</v>
      </c>
      <c r="N37" s="22" t="s">
        <v>28</v>
      </c>
      <c r="O37" s="64">
        <f>VLOOKUP($E37,Products!$B$2:$F$11,5,0)</f>
        <v>40</v>
      </c>
      <c r="P37" s="64">
        <f>PRODUCT(Table13[[#This Row],[Quantity]],Table13[[#This Row],[Unit_Cost]])</f>
        <v>400</v>
      </c>
      <c r="Q37" s="65">
        <f>Table13[[#This Row],[Profit]]/Table13[[#This Row],[Total_Sales]]</f>
        <v>0.35361175560711527</v>
      </c>
      <c r="R37" s="1"/>
      <c r="S37" s="1"/>
      <c r="T37" s="1"/>
    </row>
    <row r="38" spans="1:20" x14ac:dyDescent="0.25">
      <c r="A38" s="22" t="s">
        <v>116</v>
      </c>
      <c r="B38" s="63">
        <v>45638</v>
      </c>
      <c r="C38" s="22" t="s">
        <v>117</v>
      </c>
      <c r="D38" s="22" t="str">
        <f>PROPER(TRIM(Raw_Data!D38))</f>
        <v>South Africa</v>
      </c>
      <c r="E38" s="22" t="s">
        <v>51</v>
      </c>
      <c r="F38" s="22" t="s">
        <v>52</v>
      </c>
      <c r="G38" s="66">
        <v>12</v>
      </c>
      <c r="H38" s="2">
        <v>29.56</v>
      </c>
      <c r="I38" s="64">
        <f>PRODUCT(Table13[[#This Row],[Quantity]:[Unit_Price]])</f>
        <v>354.71999999999997</v>
      </c>
      <c r="J38" s="2">
        <v>21.4</v>
      </c>
      <c r="K38" s="2">
        <v>63.32</v>
      </c>
      <c r="L38" s="22" t="s">
        <v>26</v>
      </c>
      <c r="M38" s="22" t="s">
        <v>20</v>
      </c>
      <c r="N38" s="22" t="s">
        <v>87</v>
      </c>
      <c r="O38" s="64">
        <f>VLOOKUP($E38,Products!$B$2:$F$11,5,0)</f>
        <v>22.5</v>
      </c>
      <c r="P38" s="64">
        <f>PRODUCT(Table13[[#This Row],[Quantity]],Table13[[#This Row],[Unit_Cost]])</f>
        <v>270</v>
      </c>
      <c r="Q38" s="65">
        <f>Table13[[#This Row],[Profit]]/Table13[[#This Row],[Total_Sales]]</f>
        <v>0.17850699142986018</v>
      </c>
      <c r="R38" s="1"/>
      <c r="S38" s="1"/>
      <c r="T38" s="1"/>
    </row>
    <row r="39" spans="1:20" x14ac:dyDescent="0.25">
      <c r="A39" s="22" t="s">
        <v>118</v>
      </c>
      <c r="B39" s="63">
        <v>45413</v>
      </c>
      <c r="C39" s="22" t="s">
        <v>119</v>
      </c>
      <c r="D39" s="22" t="str">
        <f>PROPER(TRIM(Raw_Data!D39))</f>
        <v>Usa</v>
      </c>
      <c r="E39" s="22" t="s">
        <v>56</v>
      </c>
      <c r="F39" s="22" t="s">
        <v>57</v>
      </c>
      <c r="G39" s="66">
        <v>4</v>
      </c>
      <c r="H39" s="2">
        <v>35.36</v>
      </c>
      <c r="I39" s="64">
        <f>PRODUCT(Table13[[#This Row],[Quantity]:[Unit_Price]])</f>
        <v>141.44</v>
      </c>
      <c r="J39" s="2">
        <v>8.66</v>
      </c>
      <c r="K39" s="2">
        <v>32.78</v>
      </c>
      <c r="L39" s="22" t="s">
        <v>38</v>
      </c>
      <c r="M39" s="22" t="s">
        <v>27</v>
      </c>
      <c r="N39" s="22" t="s">
        <v>21</v>
      </c>
      <c r="O39" s="64">
        <f>VLOOKUP($E39,Products!$B$2:$F$11,5,0)</f>
        <v>25</v>
      </c>
      <c r="P39" s="64">
        <f>PRODUCT(Table13[[#This Row],[Quantity]],Table13[[#This Row],[Unit_Cost]])</f>
        <v>100</v>
      </c>
      <c r="Q39" s="65">
        <f>Table13[[#This Row],[Profit]]/Table13[[#This Row],[Total_Sales]]</f>
        <v>0.23175904977375567</v>
      </c>
      <c r="R39" s="1"/>
      <c r="S39" s="1"/>
      <c r="T39" s="1"/>
    </row>
    <row r="40" spans="1:20" x14ac:dyDescent="0.25">
      <c r="A40" s="22" t="s">
        <v>120</v>
      </c>
      <c r="B40" s="63">
        <v>45684</v>
      </c>
      <c r="C40" s="22" t="s">
        <v>121</v>
      </c>
      <c r="D40" s="22" t="str">
        <f>PROPER(TRIM(Raw_Data!D40))</f>
        <v>Italy</v>
      </c>
      <c r="E40" s="22" t="s">
        <v>48</v>
      </c>
      <c r="F40" s="22" t="s">
        <v>37</v>
      </c>
      <c r="G40" s="66">
        <v>28</v>
      </c>
      <c r="H40" s="2">
        <v>31.42</v>
      </c>
      <c r="I40" s="64">
        <f>PRODUCT(Table13[[#This Row],[Quantity]:[Unit_Price]])</f>
        <v>879.76</v>
      </c>
      <c r="J40" s="2">
        <v>69.319999999999993</v>
      </c>
      <c r="K40" s="2">
        <v>250.44</v>
      </c>
      <c r="L40" s="22" t="s">
        <v>19</v>
      </c>
      <c r="M40" s="22" t="s">
        <v>32</v>
      </c>
      <c r="N40" s="22" t="s">
        <v>28</v>
      </c>
      <c r="O40" s="64">
        <f>VLOOKUP($E40,Products!$B$2:$F$11,5,0)</f>
        <v>20</v>
      </c>
      <c r="P40" s="64">
        <f>PRODUCT(Table13[[#This Row],[Quantity]],Table13[[#This Row],[Unit_Cost]])</f>
        <v>560</v>
      </c>
      <c r="Q40" s="65">
        <f>Table13[[#This Row],[Profit]]/Table13[[#This Row],[Total_Sales]]</f>
        <v>0.28466854596708191</v>
      </c>
      <c r="R40" s="1"/>
      <c r="S40" s="1"/>
      <c r="T40" s="1"/>
    </row>
    <row r="41" spans="1:20" x14ac:dyDescent="0.25">
      <c r="A41" s="22" t="s">
        <v>122</v>
      </c>
      <c r="B41" s="63">
        <v>45414</v>
      </c>
      <c r="C41" s="22" t="s">
        <v>123</v>
      </c>
      <c r="D41" s="22" t="str">
        <f>PROPER(TRIM(Raw_Data!D41))</f>
        <v>Usa</v>
      </c>
      <c r="E41" s="22" t="s">
        <v>17</v>
      </c>
      <c r="F41" s="22" t="s">
        <v>18</v>
      </c>
      <c r="G41" s="66">
        <v>35</v>
      </c>
      <c r="H41" s="2">
        <v>55.12</v>
      </c>
      <c r="I41" s="64">
        <f>PRODUCT(Table13[[#This Row],[Quantity]:[Unit_Price]])</f>
        <v>1929.1999999999998</v>
      </c>
      <c r="J41" s="2">
        <v>58.22</v>
      </c>
      <c r="K41" s="2">
        <v>645.98</v>
      </c>
      <c r="L41" s="22" t="s">
        <v>19</v>
      </c>
      <c r="M41" s="22" t="s">
        <v>20</v>
      </c>
      <c r="N41" s="22" t="s">
        <v>21</v>
      </c>
      <c r="O41" s="64">
        <f>VLOOKUP($E41,Products!$B$2:$F$11,5,0)</f>
        <v>35</v>
      </c>
      <c r="P41" s="64">
        <f>PRODUCT(Table13[[#This Row],[Quantity]],Table13[[#This Row],[Unit_Cost]])</f>
        <v>1225</v>
      </c>
      <c r="Q41" s="65">
        <f>Table13[[#This Row],[Profit]]/Table13[[#This Row],[Total_Sales]]</f>
        <v>0.3348434584283641</v>
      </c>
      <c r="R41" s="1"/>
      <c r="S41" s="1"/>
      <c r="T41" s="1"/>
    </row>
    <row r="42" spans="1:20" x14ac:dyDescent="0.25">
      <c r="A42" s="22" t="s">
        <v>124</v>
      </c>
      <c r="B42" s="63">
        <v>45762</v>
      </c>
      <c r="C42" s="22" t="s">
        <v>125</v>
      </c>
      <c r="D42" s="22" t="str">
        <f>PROPER(TRIM(Raw_Data!D42))</f>
        <v>Uae</v>
      </c>
      <c r="E42" s="22" t="s">
        <v>51</v>
      </c>
      <c r="F42" s="22" t="s">
        <v>52</v>
      </c>
      <c r="G42" s="66">
        <v>41</v>
      </c>
      <c r="H42" s="2">
        <v>33.94</v>
      </c>
      <c r="I42" s="64">
        <f>PRODUCT(Table13[[#This Row],[Quantity]:[Unit_Price]])</f>
        <v>1391.54</v>
      </c>
      <c r="J42" s="2">
        <v>33.26</v>
      </c>
      <c r="K42" s="2">
        <v>435.78</v>
      </c>
      <c r="L42" s="22" t="s">
        <v>19</v>
      </c>
      <c r="M42" s="22" t="s">
        <v>32</v>
      </c>
      <c r="N42" s="22" t="s">
        <v>58</v>
      </c>
      <c r="O42" s="64">
        <f>VLOOKUP($E42,Products!$B$2:$F$11,5,0)</f>
        <v>22.5</v>
      </c>
      <c r="P42" s="64">
        <f>PRODUCT(Table13[[#This Row],[Quantity]],Table13[[#This Row],[Unit_Cost]])</f>
        <v>922.5</v>
      </c>
      <c r="Q42" s="65">
        <f>Table13[[#This Row],[Profit]]/Table13[[#This Row],[Total_Sales]]</f>
        <v>0.31316383287580662</v>
      </c>
      <c r="R42" s="1"/>
      <c r="S42" s="1"/>
      <c r="T42" s="1"/>
    </row>
    <row r="43" spans="1:20" x14ac:dyDescent="0.25">
      <c r="A43" s="22" t="s">
        <v>126</v>
      </c>
      <c r="B43" s="63">
        <v>45531</v>
      </c>
      <c r="C43" s="22" t="s">
        <v>71</v>
      </c>
      <c r="D43" s="22" t="str">
        <f>PROPER(TRIM(Raw_Data!D43))</f>
        <v>Singapore</v>
      </c>
      <c r="E43" s="22" t="s">
        <v>51</v>
      </c>
      <c r="F43" s="22" t="s">
        <v>52</v>
      </c>
      <c r="G43" s="66">
        <v>20</v>
      </c>
      <c r="H43" s="2">
        <v>38.43</v>
      </c>
      <c r="I43" s="64">
        <f>PRODUCT(Table13[[#This Row],[Quantity]:[Unit_Price]])</f>
        <v>768.6</v>
      </c>
      <c r="J43" s="2">
        <v>60.07</v>
      </c>
      <c r="K43" s="2">
        <v>258.52999999999997</v>
      </c>
      <c r="L43" s="22" t="s">
        <v>38</v>
      </c>
      <c r="M43" s="22" t="s">
        <v>32</v>
      </c>
      <c r="N43" s="22" t="s">
        <v>58</v>
      </c>
      <c r="O43" s="64">
        <f>VLOOKUP($E43,Products!$B$2:$F$11,5,0)</f>
        <v>22.5</v>
      </c>
      <c r="P43" s="64">
        <f>PRODUCT(Table13[[#This Row],[Quantity]],Table13[[#This Row],[Unit_Cost]])</f>
        <v>450</v>
      </c>
      <c r="Q43" s="65">
        <f>Table13[[#This Row],[Profit]]/Table13[[#This Row],[Total_Sales]]</f>
        <v>0.33636481915170435</v>
      </c>
      <c r="R43" s="1"/>
      <c r="S43" s="1"/>
      <c r="T43" s="1"/>
    </row>
    <row r="44" spans="1:20" x14ac:dyDescent="0.25">
      <c r="A44" s="22" t="s">
        <v>127</v>
      </c>
      <c r="B44" s="63">
        <v>45441</v>
      </c>
      <c r="C44" s="22" t="s">
        <v>73</v>
      </c>
      <c r="D44" s="22" t="str">
        <f>PROPER(TRIM(Raw_Data!D44))</f>
        <v>Brazil</v>
      </c>
      <c r="E44" s="22" t="s">
        <v>56</v>
      </c>
      <c r="F44" s="22" t="s">
        <v>57</v>
      </c>
      <c r="G44" s="66">
        <v>23</v>
      </c>
      <c r="H44" s="2">
        <v>35.07</v>
      </c>
      <c r="I44" s="64">
        <f>PRODUCT(Table13[[#This Row],[Quantity]:[Unit_Price]])</f>
        <v>806.61</v>
      </c>
      <c r="J44" s="2">
        <v>21.23</v>
      </c>
      <c r="K44" s="2">
        <v>210.38</v>
      </c>
      <c r="L44" s="22" t="s">
        <v>19</v>
      </c>
      <c r="M44" s="22" t="s">
        <v>32</v>
      </c>
      <c r="N44" s="22" t="s">
        <v>39</v>
      </c>
      <c r="O44" s="64">
        <f>VLOOKUP($E44,Products!$B$2:$F$11,5,0)</f>
        <v>25</v>
      </c>
      <c r="P44" s="64">
        <f>PRODUCT(Table13[[#This Row],[Quantity]],Table13[[#This Row],[Unit_Cost]])</f>
        <v>575</v>
      </c>
      <c r="Q44" s="65">
        <f>Table13[[#This Row],[Profit]]/Table13[[#This Row],[Total_Sales]]</f>
        <v>0.26081997495691844</v>
      </c>
      <c r="R44" s="1"/>
      <c r="S44" s="1"/>
      <c r="T44" s="1"/>
    </row>
    <row r="45" spans="1:20" x14ac:dyDescent="0.25">
      <c r="A45" s="22" t="s">
        <v>128</v>
      </c>
      <c r="B45" s="63">
        <v>45745</v>
      </c>
      <c r="C45" s="22" t="s">
        <v>67</v>
      </c>
      <c r="D45" s="22" t="str">
        <f>PROPER(TRIM(Raw_Data!D45))</f>
        <v>Australia</v>
      </c>
      <c r="E45" s="22" t="s">
        <v>43</v>
      </c>
      <c r="F45" s="22" t="s">
        <v>44</v>
      </c>
      <c r="G45" s="66">
        <v>35</v>
      </c>
      <c r="H45" s="2">
        <v>71.44</v>
      </c>
      <c r="I45" s="64">
        <f>PRODUCT(Table13[[#This Row],[Quantity]:[Unit_Price]])</f>
        <v>2500.4</v>
      </c>
      <c r="J45" s="2">
        <v>166.81</v>
      </c>
      <c r="K45" s="2">
        <v>933.59</v>
      </c>
      <c r="L45" s="22" t="s">
        <v>26</v>
      </c>
      <c r="M45" s="22" t="s">
        <v>27</v>
      </c>
      <c r="N45" s="22" t="s">
        <v>130</v>
      </c>
      <c r="O45" s="64">
        <f>VLOOKUP($E45,Products!$B$2:$F$11,5,0)</f>
        <v>40</v>
      </c>
      <c r="P45" s="64">
        <f>PRODUCT(Table13[[#This Row],[Quantity]],Table13[[#This Row],[Unit_Cost]])</f>
        <v>1400</v>
      </c>
      <c r="Q45" s="65">
        <f>Table13[[#This Row],[Profit]]/Table13[[#This Row],[Total_Sales]]</f>
        <v>0.37337625979843225</v>
      </c>
      <c r="R45" s="1"/>
      <c r="S45" s="1"/>
      <c r="T45" s="1"/>
    </row>
    <row r="46" spans="1:20" x14ac:dyDescent="0.25">
      <c r="A46" s="22" t="s">
        <v>131</v>
      </c>
      <c r="B46" s="63">
        <v>45632</v>
      </c>
      <c r="C46" s="22" t="s">
        <v>115</v>
      </c>
      <c r="D46" s="22" t="str">
        <f>PROPER(TRIM(Raw_Data!D46))</f>
        <v>Canada</v>
      </c>
      <c r="E46" s="22" t="s">
        <v>25</v>
      </c>
      <c r="F46" s="22" t="s">
        <v>18</v>
      </c>
      <c r="G46" s="66">
        <v>11</v>
      </c>
      <c r="H46" s="2">
        <v>26.05</v>
      </c>
      <c r="I46" s="64">
        <f>PRODUCT(Table13[[#This Row],[Quantity]:[Unit_Price]])</f>
        <v>286.55</v>
      </c>
      <c r="J46" s="2">
        <v>13.39</v>
      </c>
      <c r="K46" s="2">
        <v>75.16</v>
      </c>
      <c r="L46" s="22" t="s">
        <v>26</v>
      </c>
      <c r="M46" s="22" t="s">
        <v>20</v>
      </c>
      <c r="N46" s="22" t="s">
        <v>21</v>
      </c>
      <c r="O46" s="64">
        <f>VLOOKUP($E46,Products!$B$2:$F$11,5,0)</f>
        <v>18</v>
      </c>
      <c r="P46" s="64">
        <f>PRODUCT(Table13[[#This Row],[Quantity]],Table13[[#This Row],[Unit_Cost]])</f>
        <v>198</v>
      </c>
      <c r="Q46" s="65">
        <f>Table13[[#This Row],[Profit]]/Table13[[#This Row],[Total_Sales]]</f>
        <v>0.26229279357878205</v>
      </c>
      <c r="R46" s="1"/>
      <c r="S46" s="1"/>
      <c r="T46" s="1"/>
    </row>
    <row r="47" spans="1:20" x14ac:dyDescent="0.25">
      <c r="A47" s="22" t="s">
        <v>132</v>
      </c>
      <c r="B47" s="63">
        <v>45349</v>
      </c>
      <c r="C47" s="22" t="s">
        <v>41</v>
      </c>
      <c r="D47" s="22" t="str">
        <f>PROPER(TRIM(Raw_Data!D47))</f>
        <v>Uk</v>
      </c>
      <c r="E47" s="22" t="s">
        <v>60</v>
      </c>
      <c r="F47" s="22" t="s">
        <v>52</v>
      </c>
      <c r="G47" s="66">
        <v>46</v>
      </c>
      <c r="H47" s="2">
        <v>26.67</v>
      </c>
      <c r="I47" s="64">
        <f>PRODUCT(Table13[[#This Row],[Quantity]:[Unit_Price]])</f>
        <v>1226.8200000000002</v>
      </c>
      <c r="J47" s="2">
        <v>83.55</v>
      </c>
      <c r="K47" s="2">
        <v>430.27</v>
      </c>
      <c r="L47" s="22" t="s">
        <v>19</v>
      </c>
      <c r="M47" s="22" t="s">
        <v>32</v>
      </c>
      <c r="N47" s="22" t="s">
        <v>28</v>
      </c>
      <c r="O47" s="64">
        <f>VLOOKUP($E47,Products!$B$2:$F$11,5,0)</f>
        <v>15.5</v>
      </c>
      <c r="P47" s="64">
        <f>PRODUCT(Table13[[#This Row],[Quantity]],Table13[[#This Row],[Unit_Cost]])</f>
        <v>713</v>
      </c>
      <c r="Q47" s="65">
        <f>Table13[[#This Row],[Profit]]/Table13[[#This Row],[Total_Sales]]</f>
        <v>0.35071974698814817</v>
      </c>
      <c r="R47" s="1"/>
      <c r="S47" s="1"/>
      <c r="T47" s="1"/>
    </row>
    <row r="48" spans="1:20" x14ac:dyDescent="0.25">
      <c r="A48" s="22" t="s">
        <v>133</v>
      </c>
      <c r="B48" s="63">
        <v>45622</v>
      </c>
      <c r="C48" s="22" t="s">
        <v>91</v>
      </c>
      <c r="D48" s="22" t="str">
        <f>PROPER(TRIM(Raw_Data!D48))</f>
        <v>Uk</v>
      </c>
      <c r="E48" s="22" t="s">
        <v>83</v>
      </c>
      <c r="F48" s="22" t="s">
        <v>52</v>
      </c>
      <c r="G48" s="66">
        <v>12</v>
      </c>
      <c r="H48" s="2">
        <v>42.84</v>
      </c>
      <c r="I48" s="64">
        <f>PRODUCT(Table13[[#This Row],[Quantity]:[Unit_Price]])</f>
        <v>514.08000000000004</v>
      </c>
      <c r="J48" s="2">
        <v>22.74</v>
      </c>
      <c r="K48" s="2">
        <v>155.34</v>
      </c>
      <c r="L48" s="22" t="s">
        <v>38</v>
      </c>
      <c r="M48" s="22" t="s">
        <v>20</v>
      </c>
      <c r="N48" s="22" t="s">
        <v>28</v>
      </c>
      <c r="O48" s="64">
        <f>VLOOKUP($E48,Products!$B$2:$F$11,5,0)</f>
        <v>28</v>
      </c>
      <c r="P48" s="64">
        <f>PRODUCT(Table13[[#This Row],[Quantity]],Table13[[#This Row],[Unit_Cost]])</f>
        <v>336</v>
      </c>
      <c r="Q48" s="65">
        <f>Table13[[#This Row],[Profit]]/Table13[[#This Row],[Total_Sales]]</f>
        <v>0.30217086834733892</v>
      </c>
      <c r="R48" s="1"/>
      <c r="S48" s="1"/>
      <c r="T48" s="1"/>
    </row>
    <row r="49" spans="1:20" x14ac:dyDescent="0.25">
      <c r="A49" s="22" t="s">
        <v>134</v>
      </c>
      <c r="B49" s="63">
        <v>45496</v>
      </c>
      <c r="C49" s="22" t="s">
        <v>135</v>
      </c>
      <c r="D49" s="22" t="str">
        <f>PROPER(TRIM(Raw_Data!D49))</f>
        <v>Singapore</v>
      </c>
      <c r="E49" s="22" t="s">
        <v>25</v>
      </c>
      <c r="F49" s="22" t="s">
        <v>18</v>
      </c>
      <c r="G49" s="66">
        <v>18</v>
      </c>
      <c r="H49" s="2">
        <v>30.89</v>
      </c>
      <c r="I49" s="64">
        <f>PRODUCT(Table13[[#This Row],[Quantity]:[Unit_Price]])</f>
        <v>556.02</v>
      </c>
      <c r="J49" s="2">
        <v>12</v>
      </c>
      <c r="K49" s="2">
        <v>220.02</v>
      </c>
      <c r="L49" s="22" t="s">
        <v>26</v>
      </c>
      <c r="M49" s="22" t="s">
        <v>20</v>
      </c>
      <c r="N49" s="22" t="s">
        <v>58</v>
      </c>
      <c r="O49" s="64">
        <f>VLOOKUP($E49,Products!$B$2:$F$11,5,0)</f>
        <v>18</v>
      </c>
      <c r="P49" s="64">
        <f>PRODUCT(Table13[[#This Row],[Quantity]],Table13[[#This Row],[Unit_Cost]])</f>
        <v>324</v>
      </c>
      <c r="Q49" s="65">
        <f>Table13[[#This Row],[Profit]]/Table13[[#This Row],[Total_Sales]]</f>
        <v>0.39570519046077485</v>
      </c>
      <c r="R49" s="1"/>
      <c r="S49" s="1"/>
      <c r="T49" s="1"/>
    </row>
    <row r="50" spans="1:20" x14ac:dyDescent="0.25">
      <c r="A50" s="22" t="s">
        <v>136</v>
      </c>
      <c r="B50" s="63">
        <v>45649</v>
      </c>
      <c r="C50" s="22" t="s">
        <v>137</v>
      </c>
      <c r="D50" s="22" t="str">
        <f>PROPER(TRIM(Raw_Data!D50))</f>
        <v>Canada</v>
      </c>
      <c r="E50" s="22" t="s">
        <v>17</v>
      </c>
      <c r="F50" s="22" t="s">
        <v>18</v>
      </c>
      <c r="G50" s="66">
        <v>21</v>
      </c>
      <c r="H50" s="2">
        <v>52.41</v>
      </c>
      <c r="I50" s="64">
        <f>PRODUCT(Table13[[#This Row],[Quantity]:[Unit_Price]])</f>
        <v>1100.6099999999999</v>
      </c>
      <c r="J50" s="2">
        <v>81.099999999999994</v>
      </c>
      <c r="K50" s="2">
        <v>284.51</v>
      </c>
      <c r="L50" s="22" t="s">
        <v>38</v>
      </c>
      <c r="M50" s="22" t="s">
        <v>27</v>
      </c>
      <c r="N50" s="22" t="s">
        <v>21</v>
      </c>
      <c r="O50" s="64">
        <f>VLOOKUP($E50,Products!$B$2:$F$11,5,0)</f>
        <v>35</v>
      </c>
      <c r="P50" s="64">
        <f>PRODUCT(Table13[[#This Row],[Quantity]],Table13[[#This Row],[Unit_Cost]])</f>
        <v>735</v>
      </c>
      <c r="Q50" s="65">
        <f>Table13[[#This Row],[Profit]]/Table13[[#This Row],[Total_Sales]]</f>
        <v>0.25850210337903529</v>
      </c>
      <c r="R50" s="1"/>
      <c r="S50" s="1"/>
      <c r="T50" s="1"/>
    </row>
    <row r="51" spans="1:20" x14ac:dyDescent="0.25">
      <c r="A51" s="22" t="s">
        <v>138</v>
      </c>
      <c r="B51" s="63">
        <v>45299</v>
      </c>
      <c r="C51" s="22" t="s">
        <v>139</v>
      </c>
      <c r="D51" s="22" t="str">
        <f>PROPER(TRIM(Raw_Data!D51))</f>
        <v>Australia</v>
      </c>
      <c r="E51" s="22" t="s">
        <v>83</v>
      </c>
      <c r="F51" s="22" t="s">
        <v>52</v>
      </c>
      <c r="G51" s="66">
        <v>17</v>
      </c>
      <c r="H51" s="2">
        <v>38.64</v>
      </c>
      <c r="I51" s="64">
        <f>PRODUCT(Table13[[#This Row],[Quantity]:[Unit_Price]])</f>
        <v>656.88</v>
      </c>
      <c r="J51" s="2">
        <v>13.86</v>
      </c>
      <c r="K51" s="2">
        <v>167.02</v>
      </c>
      <c r="L51" s="22" t="s">
        <v>26</v>
      </c>
      <c r="M51" s="22" t="s">
        <v>20</v>
      </c>
      <c r="N51" s="22" t="s">
        <v>130</v>
      </c>
      <c r="O51" s="64">
        <f>VLOOKUP($E51,Products!$B$2:$F$11,5,0)</f>
        <v>28</v>
      </c>
      <c r="P51" s="64">
        <f>PRODUCT(Table13[[#This Row],[Quantity]],Table13[[#This Row],[Unit_Cost]])</f>
        <v>476</v>
      </c>
      <c r="Q51" s="65">
        <f>Table13[[#This Row],[Profit]]/Table13[[#This Row],[Total_Sales]]</f>
        <v>0.25426257459505541</v>
      </c>
      <c r="R51" s="1"/>
      <c r="S51" s="1"/>
      <c r="T51" s="1"/>
    </row>
    <row r="52" spans="1:20" x14ac:dyDescent="0.25">
      <c r="A52" s="22" t="s">
        <v>140</v>
      </c>
      <c r="B52" s="63">
        <v>45767</v>
      </c>
      <c r="C52" s="22" t="s">
        <v>119</v>
      </c>
      <c r="D52" s="22" t="str">
        <f>PROPER(TRIM(Raw_Data!D52))</f>
        <v>Japan</v>
      </c>
      <c r="E52" s="22" t="s">
        <v>25</v>
      </c>
      <c r="F52" s="22" t="s">
        <v>18</v>
      </c>
      <c r="G52" s="66">
        <v>41</v>
      </c>
      <c r="H52" s="2">
        <v>25.79</v>
      </c>
      <c r="I52" s="64">
        <f>PRODUCT(Table13[[#This Row],[Quantity]:[Unit_Price]])</f>
        <v>1057.3899999999999</v>
      </c>
      <c r="J52" s="2">
        <v>71.22</v>
      </c>
      <c r="K52" s="2">
        <v>248.17</v>
      </c>
      <c r="L52" s="22" t="s">
        <v>26</v>
      </c>
      <c r="M52" s="22" t="s">
        <v>27</v>
      </c>
      <c r="N52" s="22" t="s">
        <v>58</v>
      </c>
      <c r="O52" s="64">
        <f>VLOOKUP($E52,Products!$B$2:$F$11,5,0)</f>
        <v>18</v>
      </c>
      <c r="P52" s="64">
        <f>PRODUCT(Table13[[#This Row],[Quantity]],Table13[[#This Row],[Unit_Cost]])</f>
        <v>738</v>
      </c>
      <c r="Q52" s="65">
        <f>Table13[[#This Row],[Profit]]/Table13[[#This Row],[Total_Sales]]</f>
        <v>0.23470053622599044</v>
      </c>
      <c r="R52" s="1"/>
      <c r="S52" s="1"/>
      <c r="T52" s="1"/>
    </row>
    <row r="53" spans="1:20" x14ac:dyDescent="0.25">
      <c r="A53" s="22" t="s">
        <v>141</v>
      </c>
      <c r="B53" s="63">
        <v>45480</v>
      </c>
      <c r="C53" s="22" t="s">
        <v>142</v>
      </c>
      <c r="D53" s="22" t="str">
        <f>PROPER(TRIM(Raw_Data!D53))</f>
        <v>Japan</v>
      </c>
      <c r="E53" s="22" t="s">
        <v>83</v>
      </c>
      <c r="F53" s="22" t="s">
        <v>52</v>
      </c>
      <c r="G53" s="66">
        <v>41</v>
      </c>
      <c r="H53" s="2">
        <v>41.13</v>
      </c>
      <c r="I53" s="64">
        <f>PRODUCT(Table13[[#This Row],[Quantity]:[Unit_Price]])</f>
        <v>1686.3300000000002</v>
      </c>
      <c r="J53" s="2">
        <v>80.12</v>
      </c>
      <c r="K53" s="2">
        <v>458.21</v>
      </c>
      <c r="L53" s="22" t="s">
        <v>26</v>
      </c>
      <c r="M53" s="22" t="s">
        <v>32</v>
      </c>
      <c r="N53" s="22" t="s">
        <v>58</v>
      </c>
      <c r="O53" s="64">
        <f>VLOOKUP($E53,Products!$B$2:$F$11,5,0)</f>
        <v>28</v>
      </c>
      <c r="P53" s="64">
        <f>PRODUCT(Table13[[#This Row],[Quantity]],Table13[[#This Row],[Unit_Cost]])</f>
        <v>1148</v>
      </c>
      <c r="Q53" s="65">
        <f>Table13[[#This Row],[Profit]]/Table13[[#This Row],[Total_Sales]]</f>
        <v>0.27172024455474308</v>
      </c>
      <c r="R53" s="1"/>
      <c r="S53" s="1"/>
      <c r="T53" s="1"/>
    </row>
    <row r="54" spans="1:20" x14ac:dyDescent="0.25">
      <c r="A54" s="22" t="s">
        <v>143</v>
      </c>
      <c r="B54" s="63">
        <v>45599</v>
      </c>
      <c r="C54" s="22" t="s">
        <v>67</v>
      </c>
      <c r="D54" s="22" t="str">
        <f>PROPER(TRIM(Raw_Data!D54))</f>
        <v>China</v>
      </c>
      <c r="E54" s="22" t="s">
        <v>43</v>
      </c>
      <c r="F54" s="22" t="s">
        <v>44</v>
      </c>
      <c r="G54" s="66">
        <v>33</v>
      </c>
      <c r="H54" s="2">
        <v>55.67</v>
      </c>
      <c r="I54" s="64">
        <f>PRODUCT(Table13[[#This Row],[Quantity]:[Unit_Price]])</f>
        <v>1837.1100000000001</v>
      </c>
      <c r="J54" s="2">
        <v>144.32</v>
      </c>
      <c r="K54" s="2">
        <v>372.79</v>
      </c>
      <c r="L54" s="22" t="s">
        <v>19</v>
      </c>
      <c r="M54" s="22" t="s">
        <v>20</v>
      </c>
      <c r="N54" s="22" t="s">
        <v>58</v>
      </c>
      <c r="O54" s="64">
        <f>VLOOKUP($E54,Products!$B$2:$F$11,5,0)</f>
        <v>40</v>
      </c>
      <c r="P54" s="64">
        <f>PRODUCT(Table13[[#This Row],[Quantity]],Table13[[#This Row],[Unit_Cost]])</f>
        <v>1320</v>
      </c>
      <c r="Q54" s="65">
        <f>Table13[[#This Row],[Profit]]/Table13[[#This Row],[Total_Sales]]</f>
        <v>0.20292198071971737</v>
      </c>
      <c r="R54" s="1"/>
      <c r="S54" s="1"/>
      <c r="T54" s="1"/>
    </row>
    <row r="55" spans="1:20" x14ac:dyDescent="0.25">
      <c r="A55" s="22" t="s">
        <v>144</v>
      </c>
      <c r="B55" s="63">
        <v>45602</v>
      </c>
      <c r="C55" s="22" t="s">
        <v>145</v>
      </c>
      <c r="D55" s="22" t="str">
        <f>PROPER(TRIM(Raw_Data!D55))</f>
        <v>Japan</v>
      </c>
      <c r="E55" s="22" t="s">
        <v>43</v>
      </c>
      <c r="F55" s="22" t="s">
        <v>44</v>
      </c>
      <c r="G55" s="66">
        <v>18</v>
      </c>
      <c r="H55" s="2">
        <v>50.87</v>
      </c>
      <c r="I55" s="64">
        <f>PRODUCT(Table13[[#This Row],[Quantity]:[Unit_Price]])</f>
        <v>915.66</v>
      </c>
      <c r="J55" s="2">
        <v>49.93</v>
      </c>
      <c r="K55" s="2">
        <v>145.72999999999999</v>
      </c>
      <c r="L55" s="22" t="s">
        <v>19</v>
      </c>
      <c r="M55" s="22" t="s">
        <v>27</v>
      </c>
      <c r="N55" s="22" t="s">
        <v>58</v>
      </c>
      <c r="O55" s="64">
        <f>VLOOKUP($E55,Products!$B$2:$F$11,5,0)</f>
        <v>40</v>
      </c>
      <c r="P55" s="64">
        <f>PRODUCT(Table13[[#This Row],[Quantity]],Table13[[#This Row],[Unit_Cost]])</f>
        <v>720</v>
      </c>
      <c r="Q55" s="65">
        <f>Table13[[#This Row],[Profit]]/Table13[[#This Row],[Total_Sales]]</f>
        <v>0.15915296070593887</v>
      </c>
      <c r="R55" s="1"/>
      <c r="S55" s="1"/>
      <c r="T55" s="1"/>
    </row>
    <row r="56" spans="1:20" x14ac:dyDescent="0.25">
      <c r="A56" s="22" t="s">
        <v>146</v>
      </c>
      <c r="B56" s="63">
        <v>45765</v>
      </c>
      <c r="C56" s="22" t="s">
        <v>147</v>
      </c>
      <c r="D56" s="22" t="str">
        <f>PROPER(TRIM(Raw_Data!D56))</f>
        <v>South Africa</v>
      </c>
      <c r="E56" s="22" t="s">
        <v>60</v>
      </c>
      <c r="F56" s="22" t="s">
        <v>52</v>
      </c>
      <c r="G56" s="66">
        <v>14</v>
      </c>
      <c r="H56" s="2">
        <v>26.7</v>
      </c>
      <c r="I56" s="64">
        <f>PRODUCT(Table13[[#This Row],[Quantity]:[Unit_Price]])</f>
        <v>373.8</v>
      </c>
      <c r="J56" s="2">
        <v>11.84</v>
      </c>
      <c r="K56" s="2">
        <v>144.96</v>
      </c>
      <c r="L56" s="22" t="s">
        <v>38</v>
      </c>
      <c r="M56" s="22" t="s">
        <v>20</v>
      </c>
      <c r="N56" s="22" t="s">
        <v>87</v>
      </c>
      <c r="O56" s="64">
        <f>VLOOKUP($E56,Products!$B$2:$F$11,5,0)</f>
        <v>15.5</v>
      </c>
      <c r="P56" s="64">
        <f>PRODUCT(Table13[[#This Row],[Quantity]],Table13[[#This Row],[Unit_Cost]])</f>
        <v>217</v>
      </c>
      <c r="Q56" s="65">
        <f>Table13[[#This Row],[Profit]]/Table13[[#This Row],[Total_Sales]]</f>
        <v>0.38780096308186196</v>
      </c>
      <c r="R56" s="1"/>
      <c r="S56" s="1"/>
      <c r="T56" s="1"/>
    </row>
    <row r="57" spans="1:20" x14ac:dyDescent="0.25">
      <c r="A57" s="22" t="s">
        <v>148</v>
      </c>
      <c r="B57" s="63">
        <v>45543</v>
      </c>
      <c r="C57" s="22" t="s">
        <v>149</v>
      </c>
      <c r="D57" s="22" t="str">
        <f>PROPER(TRIM(Raw_Data!D57))</f>
        <v>Usa</v>
      </c>
      <c r="E57" s="22" t="s">
        <v>25</v>
      </c>
      <c r="F57" s="22" t="s">
        <v>18</v>
      </c>
      <c r="G57" s="66">
        <v>16</v>
      </c>
      <c r="H57" s="2">
        <v>28.96</v>
      </c>
      <c r="I57" s="64">
        <f>PRODUCT(Table13[[#This Row],[Quantity]:[Unit_Price]])</f>
        <v>463.36</v>
      </c>
      <c r="J57" s="2">
        <v>35.65</v>
      </c>
      <c r="K57" s="2">
        <v>139.71</v>
      </c>
      <c r="L57" s="22" t="s">
        <v>19</v>
      </c>
      <c r="M57" s="22" t="s">
        <v>32</v>
      </c>
      <c r="N57" s="22" t="s">
        <v>21</v>
      </c>
      <c r="O57" s="64">
        <f>VLOOKUP($E57,Products!$B$2:$F$11,5,0)</f>
        <v>18</v>
      </c>
      <c r="P57" s="64">
        <f>PRODUCT(Table13[[#This Row],[Quantity]],Table13[[#This Row],[Unit_Cost]])</f>
        <v>288</v>
      </c>
      <c r="Q57" s="65">
        <f>Table13[[#This Row],[Profit]]/Table13[[#This Row],[Total_Sales]]</f>
        <v>0.30151502071823205</v>
      </c>
      <c r="R57" s="1"/>
      <c r="S57" s="1"/>
      <c r="T57" s="1"/>
    </row>
    <row r="58" spans="1:20" x14ac:dyDescent="0.25">
      <c r="A58" s="22" t="s">
        <v>150</v>
      </c>
      <c r="B58" s="63">
        <v>45418</v>
      </c>
      <c r="C58" s="22" t="s">
        <v>67</v>
      </c>
      <c r="D58" s="22" t="str">
        <f>PROPER(TRIM(Raw_Data!D58))</f>
        <v>Germany</v>
      </c>
      <c r="E58" s="22" t="s">
        <v>25</v>
      </c>
      <c r="F58" s="22" t="s">
        <v>18</v>
      </c>
      <c r="G58" s="66">
        <v>47</v>
      </c>
      <c r="H58" s="2">
        <v>23.03</v>
      </c>
      <c r="I58" s="64">
        <f>PRODUCT(Table13[[#This Row],[Quantity]:[Unit_Price]])</f>
        <v>1082.4100000000001</v>
      </c>
      <c r="J58" s="2">
        <v>50.12</v>
      </c>
      <c r="K58" s="2">
        <v>186.29</v>
      </c>
      <c r="L58" s="22" t="s">
        <v>38</v>
      </c>
      <c r="M58" s="22" t="s">
        <v>20</v>
      </c>
      <c r="N58" s="22" t="s">
        <v>28</v>
      </c>
      <c r="O58" s="64">
        <f>VLOOKUP($E58,Products!$B$2:$F$11,5,0)</f>
        <v>18</v>
      </c>
      <c r="P58" s="64">
        <f>PRODUCT(Table13[[#This Row],[Quantity]],Table13[[#This Row],[Unit_Cost]])</f>
        <v>846</v>
      </c>
      <c r="Q58" s="65">
        <f>Table13[[#This Row],[Profit]]/Table13[[#This Row],[Total_Sales]]</f>
        <v>0.1721066878539555</v>
      </c>
      <c r="R58" s="1"/>
      <c r="S58" s="1"/>
      <c r="T58" s="1"/>
    </row>
    <row r="59" spans="1:20" x14ac:dyDescent="0.25">
      <c r="A59" s="22" t="s">
        <v>152</v>
      </c>
      <c r="B59" s="63">
        <v>45425</v>
      </c>
      <c r="C59" s="22" t="s">
        <v>149</v>
      </c>
      <c r="D59" s="22" t="str">
        <f>PROPER(TRIM(Raw_Data!D59))</f>
        <v>Australia</v>
      </c>
      <c r="E59" s="22" t="s">
        <v>17</v>
      </c>
      <c r="F59" s="22" t="s">
        <v>18</v>
      </c>
      <c r="G59" s="66">
        <v>18</v>
      </c>
      <c r="H59" s="2">
        <v>50.03</v>
      </c>
      <c r="I59" s="64">
        <f>PRODUCT(Table13[[#This Row],[Quantity]:[Unit_Price]])</f>
        <v>900.54</v>
      </c>
      <c r="J59" s="2">
        <v>68.44</v>
      </c>
      <c r="K59" s="2">
        <v>202.1</v>
      </c>
      <c r="L59" s="22" t="s">
        <v>38</v>
      </c>
      <c r="M59" s="22" t="s">
        <v>20</v>
      </c>
      <c r="N59" s="22" t="s">
        <v>130</v>
      </c>
      <c r="O59" s="64">
        <f>VLOOKUP($E59,Products!$B$2:$F$11,5,0)</f>
        <v>35</v>
      </c>
      <c r="P59" s="64">
        <f>PRODUCT(Table13[[#This Row],[Quantity]],Table13[[#This Row],[Unit_Cost]])</f>
        <v>630</v>
      </c>
      <c r="Q59" s="65">
        <f>Table13[[#This Row],[Profit]]/Table13[[#This Row],[Total_Sales]]</f>
        <v>0.22442090301374731</v>
      </c>
      <c r="R59" s="1"/>
      <c r="S59" s="1"/>
      <c r="T59" s="1"/>
    </row>
    <row r="60" spans="1:20" x14ac:dyDescent="0.25">
      <c r="A60" s="22" t="s">
        <v>153</v>
      </c>
      <c r="B60" s="63">
        <v>45493</v>
      </c>
      <c r="C60" s="22" t="s">
        <v>154</v>
      </c>
      <c r="D60" s="22" t="str">
        <f>PROPER(TRIM(Raw_Data!D60))</f>
        <v>Uk</v>
      </c>
      <c r="E60" s="22" t="s">
        <v>56</v>
      </c>
      <c r="F60" s="22" t="s">
        <v>57</v>
      </c>
      <c r="G60" s="66">
        <v>38</v>
      </c>
      <c r="H60" s="2">
        <v>32.07</v>
      </c>
      <c r="I60" s="64">
        <f>PRODUCT(Table13[[#This Row],[Quantity]:[Unit_Price]])</f>
        <v>1218.6600000000001</v>
      </c>
      <c r="J60" s="2">
        <v>54.49</v>
      </c>
      <c r="K60" s="2">
        <v>214.17</v>
      </c>
      <c r="L60" s="22" t="s">
        <v>38</v>
      </c>
      <c r="M60" s="22" t="s">
        <v>32</v>
      </c>
      <c r="N60" s="22" t="s">
        <v>28</v>
      </c>
      <c r="O60" s="64">
        <f>VLOOKUP($E60,Products!$B$2:$F$11,5,0)</f>
        <v>25</v>
      </c>
      <c r="P60" s="64">
        <f>PRODUCT(Table13[[#This Row],[Quantity]],Table13[[#This Row],[Unit_Cost]])</f>
        <v>950</v>
      </c>
      <c r="Q60" s="65">
        <f>Table13[[#This Row],[Profit]]/Table13[[#This Row],[Total_Sales]]</f>
        <v>0.17574220865540838</v>
      </c>
      <c r="R60" s="1"/>
      <c r="S60" s="1"/>
      <c r="T60" s="1"/>
    </row>
    <row r="61" spans="1:20" x14ac:dyDescent="0.25">
      <c r="A61" s="22" t="s">
        <v>155</v>
      </c>
      <c r="B61" s="63">
        <v>45752</v>
      </c>
      <c r="C61" s="22" t="s">
        <v>156</v>
      </c>
      <c r="D61" s="22" t="str">
        <f>PROPER(TRIM(Raw_Data!D61))</f>
        <v>Brazil</v>
      </c>
      <c r="E61" s="22" t="s">
        <v>36</v>
      </c>
      <c r="F61" s="22" t="s">
        <v>37</v>
      </c>
      <c r="G61" s="66">
        <v>23</v>
      </c>
      <c r="H61" s="2">
        <v>50.96</v>
      </c>
      <c r="I61" s="64">
        <f>PRODUCT(Table13[[#This Row],[Quantity]:[Unit_Price]])</f>
        <v>1172.08</v>
      </c>
      <c r="J61" s="2">
        <v>61</v>
      </c>
      <c r="K61" s="2">
        <v>375.08</v>
      </c>
      <c r="L61" s="22" t="s">
        <v>38</v>
      </c>
      <c r="M61" s="22" t="s">
        <v>27</v>
      </c>
      <c r="N61" s="22" t="s">
        <v>39</v>
      </c>
      <c r="O61" s="64">
        <f>VLOOKUP($E61,Products!$B$2:$F$11,5,0)</f>
        <v>32</v>
      </c>
      <c r="P61" s="64">
        <f>PRODUCT(Table13[[#This Row],[Quantity]],Table13[[#This Row],[Unit_Cost]])</f>
        <v>736</v>
      </c>
      <c r="Q61" s="65">
        <f>Table13[[#This Row],[Profit]]/Table13[[#This Row],[Total_Sales]]</f>
        <v>0.32001228585079516</v>
      </c>
      <c r="R61" s="1"/>
      <c r="S61" s="1"/>
      <c r="T61" s="1"/>
    </row>
    <row r="62" spans="1:20" x14ac:dyDescent="0.25">
      <c r="A62" s="22" t="s">
        <v>157</v>
      </c>
      <c r="B62" s="63">
        <v>45736</v>
      </c>
      <c r="C62" s="22" t="s">
        <v>158</v>
      </c>
      <c r="D62" s="22" t="str">
        <f>PROPER(TRIM(Raw_Data!D62))</f>
        <v>Japan</v>
      </c>
      <c r="E62" s="22" t="s">
        <v>43</v>
      </c>
      <c r="F62" s="22" t="s">
        <v>44</v>
      </c>
      <c r="G62" s="66">
        <v>46</v>
      </c>
      <c r="H62" s="2">
        <v>70.599999999999994</v>
      </c>
      <c r="I62" s="64">
        <f>PRODUCT(Table13[[#This Row],[Quantity]:[Unit_Price]])</f>
        <v>3247.6</v>
      </c>
      <c r="J62" s="2">
        <v>166.91</v>
      </c>
      <c r="K62" s="2">
        <v>1240.69</v>
      </c>
      <c r="L62" s="22" t="s">
        <v>38</v>
      </c>
      <c r="M62" s="22" t="s">
        <v>27</v>
      </c>
      <c r="N62" s="22" t="s">
        <v>58</v>
      </c>
      <c r="O62" s="64">
        <f>VLOOKUP($E62,Products!$B$2:$F$11,5,0)</f>
        <v>40</v>
      </c>
      <c r="P62" s="64">
        <f>PRODUCT(Table13[[#This Row],[Quantity]],Table13[[#This Row],[Unit_Cost]])</f>
        <v>1840</v>
      </c>
      <c r="Q62" s="65">
        <f>Table13[[#This Row],[Profit]]/Table13[[#This Row],[Total_Sales]]</f>
        <v>0.3820328858233773</v>
      </c>
      <c r="R62" s="1"/>
      <c r="S62" s="1"/>
      <c r="T62" s="1"/>
    </row>
    <row r="63" spans="1:20" x14ac:dyDescent="0.25">
      <c r="A63" s="22" t="s">
        <v>159</v>
      </c>
      <c r="B63" s="63">
        <v>45515</v>
      </c>
      <c r="C63" s="22" t="s">
        <v>91</v>
      </c>
      <c r="D63" s="22" t="str">
        <f>PROPER(TRIM(Raw_Data!D63))</f>
        <v>Japan</v>
      </c>
      <c r="E63" s="22" t="s">
        <v>43</v>
      </c>
      <c r="F63" s="22" t="s">
        <v>44</v>
      </c>
      <c r="G63" s="66">
        <v>15</v>
      </c>
      <c r="H63" s="2">
        <v>53.36</v>
      </c>
      <c r="I63" s="64">
        <f>PRODUCT(Table13[[#This Row],[Quantity]:[Unit_Price]])</f>
        <v>800.4</v>
      </c>
      <c r="J63" s="2">
        <v>56.29</v>
      </c>
      <c r="K63" s="2">
        <v>144.11000000000001</v>
      </c>
      <c r="L63" s="22" t="s">
        <v>19</v>
      </c>
      <c r="M63" s="22" t="s">
        <v>20</v>
      </c>
      <c r="N63" s="22" t="s">
        <v>58</v>
      </c>
      <c r="O63" s="64">
        <f>VLOOKUP($E63,Products!$B$2:$F$11,5,0)</f>
        <v>40</v>
      </c>
      <c r="P63" s="64">
        <f>PRODUCT(Table13[[#This Row],[Quantity]],Table13[[#This Row],[Unit_Cost]])</f>
        <v>600</v>
      </c>
      <c r="Q63" s="65">
        <f>Table13[[#This Row],[Profit]]/Table13[[#This Row],[Total_Sales]]</f>
        <v>0.18004747626186909</v>
      </c>
      <c r="R63" s="1"/>
      <c r="S63" s="1"/>
      <c r="T63" s="1"/>
    </row>
    <row r="64" spans="1:20" x14ac:dyDescent="0.25">
      <c r="A64" s="22" t="s">
        <v>160</v>
      </c>
      <c r="B64" s="63">
        <v>45369</v>
      </c>
      <c r="C64" s="22" t="s">
        <v>161</v>
      </c>
      <c r="D64" s="22" t="str">
        <f>PROPER(TRIM(Raw_Data!D64))</f>
        <v>Australia</v>
      </c>
      <c r="E64" s="22" t="s">
        <v>36</v>
      </c>
      <c r="F64" s="22" t="s">
        <v>37</v>
      </c>
      <c r="G64" s="66">
        <v>42</v>
      </c>
      <c r="H64" s="2">
        <v>39.840000000000003</v>
      </c>
      <c r="I64" s="64">
        <f>PRODUCT(Table13[[#This Row],[Quantity]:[Unit_Price]])</f>
        <v>1673.2800000000002</v>
      </c>
      <c r="J64" s="2">
        <v>132.74</v>
      </c>
      <c r="K64" s="2">
        <v>196.54</v>
      </c>
      <c r="L64" s="22" t="s">
        <v>19</v>
      </c>
      <c r="M64" s="22" t="s">
        <v>32</v>
      </c>
      <c r="N64" s="22" t="s">
        <v>130</v>
      </c>
      <c r="O64" s="64">
        <f>VLOOKUP($E64,Products!$B$2:$F$11,5,0)</f>
        <v>32</v>
      </c>
      <c r="P64" s="64">
        <f>PRODUCT(Table13[[#This Row],[Quantity]],Table13[[#This Row],[Unit_Cost]])</f>
        <v>1344</v>
      </c>
      <c r="Q64" s="65">
        <f>Table13[[#This Row],[Profit]]/Table13[[#This Row],[Total_Sales]]</f>
        <v>0.11745792694587874</v>
      </c>
      <c r="R64" s="1"/>
      <c r="S64" s="1"/>
      <c r="T64" s="1"/>
    </row>
    <row r="65" spans="1:20" x14ac:dyDescent="0.25">
      <c r="A65" s="22" t="s">
        <v>162</v>
      </c>
      <c r="B65" s="63">
        <v>45756</v>
      </c>
      <c r="C65" s="22" t="s">
        <v>145</v>
      </c>
      <c r="D65" s="22" t="str">
        <f>PROPER(TRIM(Raw_Data!D65))</f>
        <v>Japan</v>
      </c>
      <c r="E65" s="22" t="s">
        <v>56</v>
      </c>
      <c r="F65" s="22" t="s">
        <v>57</v>
      </c>
      <c r="G65" s="66">
        <v>31</v>
      </c>
      <c r="H65" s="2">
        <v>38.26</v>
      </c>
      <c r="I65" s="64">
        <f>PRODUCT(Table13[[#This Row],[Quantity]:[Unit_Price]])</f>
        <v>1186.06</v>
      </c>
      <c r="J65" s="2">
        <v>69.33</v>
      </c>
      <c r="K65" s="2">
        <v>341.73</v>
      </c>
      <c r="L65" s="22" t="s">
        <v>26</v>
      </c>
      <c r="M65" s="22" t="s">
        <v>20</v>
      </c>
      <c r="N65" s="22" t="s">
        <v>58</v>
      </c>
      <c r="O65" s="64">
        <f>VLOOKUP($E65,Products!$B$2:$F$11,5,0)</f>
        <v>25</v>
      </c>
      <c r="P65" s="64">
        <f>PRODUCT(Table13[[#This Row],[Quantity]],Table13[[#This Row],[Unit_Cost]])</f>
        <v>775</v>
      </c>
      <c r="Q65" s="65">
        <f>Table13[[#This Row],[Profit]]/Table13[[#This Row],[Total_Sales]]</f>
        <v>0.28812201743588017</v>
      </c>
      <c r="R65" s="1"/>
      <c r="S65" s="1"/>
      <c r="T65" s="1"/>
    </row>
    <row r="66" spans="1:20" x14ac:dyDescent="0.25">
      <c r="A66" s="22" t="s">
        <v>163</v>
      </c>
      <c r="B66" s="63">
        <v>45579</v>
      </c>
      <c r="C66" s="22" t="s">
        <v>147</v>
      </c>
      <c r="D66" s="22" t="str">
        <f>PROPER(TRIM(Raw_Data!D66))</f>
        <v>France</v>
      </c>
      <c r="E66" s="22" t="s">
        <v>60</v>
      </c>
      <c r="F66" s="22" t="s">
        <v>52</v>
      </c>
      <c r="G66" s="66">
        <v>2</v>
      </c>
      <c r="H66" s="2">
        <v>23.09</v>
      </c>
      <c r="I66" s="64">
        <f>PRODUCT(Table13[[#This Row],[Quantity]:[Unit_Price]])</f>
        <v>46.18</v>
      </c>
      <c r="J66" s="2">
        <v>2.52</v>
      </c>
      <c r="K66" s="2">
        <v>12.66</v>
      </c>
      <c r="L66" s="22" t="s">
        <v>26</v>
      </c>
      <c r="M66" s="22" t="s">
        <v>27</v>
      </c>
      <c r="N66" s="22" t="s">
        <v>28</v>
      </c>
      <c r="O66" s="64">
        <f>VLOOKUP($E66,Products!$B$2:$F$11,5,0)</f>
        <v>15.5</v>
      </c>
      <c r="P66" s="64">
        <f>PRODUCT(Table13[[#This Row],[Quantity]],Table13[[#This Row],[Unit_Cost]])</f>
        <v>31</v>
      </c>
      <c r="Q66" s="65">
        <f>Table13[[#This Row],[Profit]]/Table13[[#This Row],[Total_Sales]]</f>
        <v>0.27414465136422694</v>
      </c>
      <c r="R66" s="1"/>
      <c r="S66" s="1"/>
      <c r="T66" s="1"/>
    </row>
    <row r="67" spans="1:20" x14ac:dyDescent="0.25">
      <c r="A67" s="22" t="s">
        <v>164</v>
      </c>
      <c r="B67" s="63">
        <v>45647</v>
      </c>
      <c r="C67" s="22" t="s">
        <v>50</v>
      </c>
      <c r="D67" s="22" t="str">
        <f>PROPER(TRIM(Raw_Data!D67))</f>
        <v>Uae</v>
      </c>
      <c r="E67" s="22" t="s">
        <v>36</v>
      </c>
      <c r="F67" s="22" t="s">
        <v>37</v>
      </c>
      <c r="G67" s="66">
        <v>40</v>
      </c>
      <c r="H67" s="2">
        <v>46.81</v>
      </c>
      <c r="I67" s="64">
        <f>PRODUCT(Table13[[#This Row],[Quantity]:[Unit_Price]])</f>
        <v>1872.4</v>
      </c>
      <c r="J67" s="2">
        <v>43.01</v>
      </c>
      <c r="K67" s="2">
        <v>549.39</v>
      </c>
      <c r="L67" s="22" t="s">
        <v>19</v>
      </c>
      <c r="M67" s="22" t="s">
        <v>32</v>
      </c>
      <c r="N67" s="22" t="s">
        <v>58</v>
      </c>
      <c r="O67" s="64">
        <f>VLOOKUP($E67,Products!$B$2:$F$11,5,0)</f>
        <v>32</v>
      </c>
      <c r="P67" s="64">
        <f>PRODUCT(Table13[[#This Row],[Quantity]],Table13[[#This Row],[Unit_Cost]])</f>
        <v>1280</v>
      </c>
      <c r="Q67" s="65">
        <f>Table13[[#This Row],[Profit]]/Table13[[#This Row],[Total_Sales]]</f>
        <v>0.29341486861781668</v>
      </c>
      <c r="R67" s="1"/>
      <c r="S67" s="1"/>
      <c r="T67" s="1"/>
    </row>
    <row r="68" spans="1:20" x14ac:dyDescent="0.25">
      <c r="A68" s="22" t="s">
        <v>165</v>
      </c>
      <c r="B68" s="63">
        <v>45719</v>
      </c>
      <c r="C68" s="22" t="s">
        <v>166</v>
      </c>
      <c r="D68" s="22" t="str">
        <f>PROPER(TRIM(Raw_Data!D68))</f>
        <v>China</v>
      </c>
      <c r="E68" s="22" t="s">
        <v>36</v>
      </c>
      <c r="F68" s="22" t="s">
        <v>37</v>
      </c>
      <c r="G68" s="66">
        <v>43</v>
      </c>
      <c r="H68" s="2">
        <v>57.01</v>
      </c>
      <c r="I68" s="64">
        <f>PRODUCT(Table13[[#This Row],[Quantity]:[Unit_Price]])</f>
        <v>2451.4299999999998</v>
      </c>
      <c r="J68" s="2">
        <v>115.04</v>
      </c>
      <c r="K68" s="2">
        <v>960.39</v>
      </c>
      <c r="L68" s="22" t="s">
        <v>26</v>
      </c>
      <c r="M68" s="22" t="s">
        <v>20</v>
      </c>
      <c r="N68" s="22" t="s">
        <v>58</v>
      </c>
      <c r="O68" s="64">
        <f>VLOOKUP($E68,Products!$B$2:$F$11,5,0)</f>
        <v>32</v>
      </c>
      <c r="P68" s="64">
        <f>PRODUCT(Table13[[#This Row],[Quantity]],Table13[[#This Row],[Unit_Cost]])</f>
        <v>1376</v>
      </c>
      <c r="Q68" s="65">
        <f>Table13[[#This Row],[Profit]]/Table13[[#This Row],[Total_Sales]]</f>
        <v>0.39176725421488684</v>
      </c>
      <c r="R68" s="1"/>
      <c r="S68" s="1"/>
      <c r="T68" s="1"/>
    </row>
    <row r="69" spans="1:20" x14ac:dyDescent="0.25">
      <c r="A69" s="22" t="s">
        <v>167</v>
      </c>
      <c r="B69" s="63">
        <v>45362</v>
      </c>
      <c r="C69" s="22" t="s">
        <v>168</v>
      </c>
      <c r="D69" s="22" t="str">
        <f>PROPER(TRIM(Raw_Data!D69))</f>
        <v>Mexico</v>
      </c>
      <c r="E69" s="22" t="s">
        <v>63</v>
      </c>
      <c r="F69" s="22" t="s">
        <v>37</v>
      </c>
      <c r="G69" s="66">
        <v>15</v>
      </c>
      <c r="H69" s="2">
        <v>22.23</v>
      </c>
      <c r="I69" s="64">
        <f>PRODUCT(Table13[[#This Row],[Quantity]:[Unit_Price]])</f>
        <v>333.45</v>
      </c>
      <c r="J69" s="2">
        <v>16.89</v>
      </c>
      <c r="K69" s="2">
        <v>125.31</v>
      </c>
      <c r="L69" s="22" t="s">
        <v>38</v>
      </c>
      <c r="M69" s="22" t="s">
        <v>27</v>
      </c>
      <c r="N69" s="22" t="s">
        <v>21</v>
      </c>
      <c r="O69" s="64">
        <f>VLOOKUP($E69,Products!$B$2:$F$11,5,0)</f>
        <v>12.75</v>
      </c>
      <c r="P69" s="64">
        <f>PRODUCT(Table13[[#This Row],[Quantity]],Table13[[#This Row],[Unit_Cost]])</f>
        <v>191.25</v>
      </c>
      <c r="Q69" s="65">
        <f>Table13[[#This Row],[Profit]]/Table13[[#This Row],[Total_Sales]]</f>
        <v>0.37579847053531268</v>
      </c>
      <c r="R69" s="1"/>
      <c r="S69" s="1"/>
      <c r="T69" s="1"/>
    </row>
    <row r="70" spans="1:20" x14ac:dyDescent="0.25">
      <c r="A70" s="22" t="s">
        <v>169</v>
      </c>
      <c r="B70" s="63">
        <v>45532</v>
      </c>
      <c r="C70" s="22" t="s">
        <v>170</v>
      </c>
      <c r="D70" s="22" t="str">
        <f>PROPER(TRIM(Raw_Data!D70))</f>
        <v>France</v>
      </c>
      <c r="E70" s="22" t="s">
        <v>60</v>
      </c>
      <c r="F70" s="22" t="s">
        <v>52</v>
      </c>
      <c r="G70" s="66">
        <v>15</v>
      </c>
      <c r="H70" s="2">
        <v>19.23</v>
      </c>
      <c r="I70" s="64">
        <f>PRODUCT(Table13[[#This Row],[Quantity]:[Unit_Price]])</f>
        <v>288.45</v>
      </c>
      <c r="J70" s="2">
        <v>20.22</v>
      </c>
      <c r="K70" s="2">
        <v>35.729999999999997</v>
      </c>
      <c r="L70" s="22" t="s">
        <v>19</v>
      </c>
      <c r="M70" s="22" t="s">
        <v>20</v>
      </c>
      <c r="N70" s="22" t="s">
        <v>28</v>
      </c>
      <c r="O70" s="64">
        <f>VLOOKUP($E70,Products!$B$2:$F$11,5,0)</f>
        <v>15.5</v>
      </c>
      <c r="P70" s="64">
        <f>PRODUCT(Table13[[#This Row],[Quantity]],Table13[[#This Row],[Unit_Cost]])</f>
        <v>232.5</v>
      </c>
      <c r="Q70" s="65">
        <f>Table13[[#This Row],[Profit]]/Table13[[#This Row],[Total_Sales]]</f>
        <v>0.12386895475819032</v>
      </c>
      <c r="R70" s="1"/>
      <c r="S70" s="1"/>
      <c r="T70" s="1"/>
    </row>
    <row r="71" spans="1:20" x14ac:dyDescent="0.25">
      <c r="A71" s="22" t="s">
        <v>171</v>
      </c>
      <c r="B71" s="63">
        <v>45458</v>
      </c>
      <c r="C71" s="22" t="s">
        <v>93</v>
      </c>
      <c r="D71" s="22" t="str">
        <f>PROPER(TRIM(Raw_Data!D71))</f>
        <v>Italy</v>
      </c>
      <c r="E71" s="22" t="s">
        <v>83</v>
      </c>
      <c r="F71" s="22" t="s">
        <v>52</v>
      </c>
      <c r="G71" s="66">
        <v>34</v>
      </c>
      <c r="H71" s="2">
        <v>45.54</v>
      </c>
      <c r="I71" s="64">
        <f>PRODUCT(Table13[[#This Row],[Quantity]:[Unit_Price]])</f>
        <v>1548.36</v>
      </c>
      <c r="J71" s="2">
        <v>36.76</v>
      </c>
      <c r="K71" s="2">
        <v>559.6</v>
      </c>
      <c r="L71" s="22" t="s">
        <v>19</v>
      </c>
      <c r="M71" s="22" t="s">
        <v>20</v>
      </c>
      <c r="N71" s="22" t="s">
        <v>28</v>
      </c>
      <c r="O71" s="64">
        <f>VLOOKUP($E71,Products!$B$2:$F$11,5,0)</f>
        <v>28</v>
      </c>
      <c r="P71" s="64">
        <f>PRODUCT(Table13[[#This Row],[Quantity]],Table13[[#This Row],[Unit_Cost]])</f>
        <v>952</v>
      </c>
      <c r="Q71" s="65">
        <f>Table13[[#This Row],[Profit]]/Table13[[#This Row],[Total_Sales]]</f>
        <v>0.36141465808984996</v>
      </c>
      <c r="R71" s="1"/>
      <c r="S71" s="1"/>
      <c r="T71" s="1"/>
    </row>
    <row r="72" spans="1:20" x14ac:dyDescent="0.25">
      <c r="A72" s="22" t="s">
        <v>172</v>
      </c>
      <c r="B72" s="63">
        <v>45518</v>
      </c>
      <c r="C72" s="22" t="s">
        <v>173</v>
      </c>
      <c r="D72" s="22" t="str">
        <f>PROPER(TRIM(Raw_Data!D72))</f>
        <v>France</v>
      </c>
      <c r="E72" s="22" t="s">
        <v>43</v>
      </c>
      <c r="F72" s="22" t="s">
        <v>44</v>
      </c>
      <c r="G72" s="66">
        <v>33</v>
      </c>
      <c r="H72" s="2">
        <v>63.88</v>
      </c>
      <c r="I72" s="64">
        <f>PRODUCT(Table13[[#This Row],[Quantity]:[Unit_Price]])</f>
        <v>2108.04</v>
      </c>
      <c r="J72" s="2">
        <v>111.7</v>
      </c>
      <c r="K72" s="2">
        <v>676.34</v>
      </c>
      <c r="L72" s="22" t="s">
        <v>19</v>
      </c>
      <c r="M72" s="22" t="s">
        <v>32</v>
      </c>
      <c r="N72" s="22" t="s">
        <v>28</v>
      </c>
      <c r="O72" s="64">
        <f>VLOOKUP($E72,Products!$B$2:$F$11,5,0)</f>
        <v>40</v>
      </c>
      <c r="P72" s="64">
        <f>PRODUCT(Table13[[#This Row],[Quantity]],Table13[[#This Row],[Unit_Cost]])</f>
        <v>1320</v>
      </c>
      <c r="Q72" s="65">
        <f>Table13[[#This Row],[Profit]]/Table13[[#This Row],[Total_Sales]]</f>
        <v>0.32083831426348647</v>
      </c>
      <c r="R72" s="1"/>
      <c r="S72" s="1"/>
      <c r="T72" s="1"/>
    </row>
    <row r="73" spans="1:20" x14ac:dyDescent="0.25">
      <c r="A73" s="22" t="s">
        <v>174</v>
      </c>
      <c r="B73" s="63">
        <v>45446</v>
      </c>
      <c r="C73" s="22" t="s">
        <v>91</v>
      </c>
      <c r="D73" s="22" t="str">
        <f>PROPER(TRIM(Raw_Data!D73))</f>
        <v>Germany</v>
      </c>
      <c r="E73" s="22" t="s">
        <v>25</v>
      </c>
      <c r="F73" s="22" t="s">
        <v>18</v>
      </c>
      <c r="G73" s="66">
        <v>39</v>
      </c>
      <c r="H73" s="2">
        <v>25.38</v>
      </c>
      <c r="I73" s="64">
        <f>PRODUCT(Table13[[#This Row],[Quantity]:[Unit_Price]])</f>
        <v>989.81999999999994</v>
      </c>
      <c r="J73" s="2">
        <v>50.82</v>
      </c>
      <c r="K73" s="2">
        <v>237</v>
      </c>
      <c r="L73" s="22" t="s">
        <v>26</v>
      </c>
      <c r="M73" s="22" t="s">
        <v>27</v>
      </c>
      <c r="N73" s="22" t="s">
        <v>28</v>
      </c>
      <c r="O73" s="64">
        <f>VLOOKUP($E73,Products!$B$2:$F$11,5,0)</f>
        <v>18</v>
      </c>
      <c r="P73" s="64">
        <f>PRODUCT(Table13[[#This Row],[Quantity]],Table13[[#This Row],[Unit_Cost]])</f>
        <v>702</v>
      </c>
      <c r="Q73" s="65">
        <f>Table13[[#This Row],[Profit]]/Table13[[#This Row],[Total_Sales]]</f>
        <v>0.2394374734800267</v>
      </c>
      <c r="R73" s="1"/>
      <c r="S73" s="1"/>
      <c r="T73" s="1"/>
    </row>
    <row r="74" spans="1:20" x14ac:dyDescent="0.25">
      <c r="A74" s="22" t="s">
        <v>175</v>
      </c>
      <c r="B74" s="63">
        <v>45450</v>
      </c>
      <c r="C74" s="22" t="s">
        <v>176</v>
      </c>
      <c r="D74" s="22" t="str">
        <f>PROPER(TRIM(Raw_Data!D74))</f>
        <v>India</v>
      </c>
      <c r="E74" s="22" t="s">
        <v>56</v>
      </c>
      <c r="F74" s="22" t="s">
        <v>57</v>
      </c>
      <c r="G74" s="66">
        <v>9</v>
      </c>
      <c r="H74" s="2">
        <v>38.979999999999997</v>
      </c>
      <c r="I74" s="64">
        <f>PRODUCT(Table13[[#This Row],[Quantity]:[Unit_Price]])</f>
        <v>350.82</v>
      </c>
      <c r="J74" s="2">
        <v>25.56</v>
      </c>
      <c r="K74" s="2">
        <v>100.26</v>
      </c>
      <c r="L74" s="22" t="s">
        <v>19</v>
      </c>
      <c r="M74" s="22" t="s">
        <v>20</v>
      </c>
      <c r="N74" s="22" t="s">
        <v>58</v>
      </c>
      <c r="O74" s="64">
        <f>VLOOKUP($E74,Products!$B$2:$F$11,5,0)</f>
        <v>25</v>
      </c>
      <c r="P74" s="64">
        <f>PRODUCT(Table13[[#This Row],[Quantity]],Table13[[#This Row],[Unit_Cost]])</f>
        <v>225</v>
      </c>
      <c r="Q74" s="65">
        <f>Table13[[#This Row],[Profit]]/Table13[[#This Row],[Total_Sales]]</f>
        <v>0.28578758337609034</v>
      </c>
      <c r="R74" s="1"/>
      <c r="S74" s="1"/>
      <c r="T74" s="1"/>
    </row>
    <row r="75" spans="1:20" x14ac:dyDescent="0.25">
      <c r="A75" s="22" t="s">
        <v>178</v>
      </c>
      <c r="B75" s="63">
        <v>45569</v>
      </c>
      <c r="C75" s="22" t="s">
        <v>179</v>
      </c>
      <c r="D75" s="22" t="str">
        <f>PROPER(TRIM(Raw_Data!D75))</f>
        <v>South Africa</v>
      </c>
      <c r="E75" s="22" t="s">
        <v>48</v>
      </c>
      <c r="F75" s="22" t="s">
        <v>37</v>
      </c>
      <c r="G75" s="66">
        <v>14</v>
      </c>
      <c r="H75" s="2">
        <v>35.86</v>
      </c>
      <c r="I75" s="64">
        <f>PRODUCT(Table13[[#This Row],[Quantity]:[Unit_Price]])</f>
        <v>502.03999999999996</v>
      </c>
      <c r="J75" s="2">
        <v>40.130000000000003</v>
      </c>
      <c r="K75" s="2">
        <v>181.91</v>
      </c>
      <c r="L75" s="22" t="s">
        <v>38</v>
      </c>
      <c r="M75" s="22" t="s">
        <v>32</v>
      </c>
      <c r="N75" s="22" t="s">
        <v>87</v>
      </c>
      <c r="O75" s="64">
        <f>VLOOKUP($E75,Products!$B$2:$F$11,5,0)</f>
        <v>20</v>
      </c>
      <c r="P75" s="64">
        <f>PRODUCT(Table13[[#This Row],[Quantity]],Table13[[#This Row],[Unit_Cost]])</f>
        <v>280</v>
      </c>
      <c r="Q75" s="65">
        <f>Table13[[#This Row],[Profit]]/Table13[[#This Row],[Total_Sales]]</f>
        <v>0.3623416460839774</v>
      </c>
      <c r="R75" s="1"/>
      <c r="S75" s="1"/>
      <c r="T75" s="1"/>
    </row>
    <row r="76" spans="1:20" x14ac:dyDescent="0.25">
      <c r="A76" s="22" t="s">
        <v>180</v>
      </c>
      <c r="B76" s="63">
        <v>45293</v>
      </c>
      <c r="C76" s="22" t="s">
        <v>181</v>
      </c>
      <c r="D76" s="22" t="str">
        <f>PROPER(TRIM(Raw_Data!D76))</f>
        <v>Japan</v>
      </c>
      <c r="E76" s="22" t="s">
        <v>60</v>
      </c>
      <c r="F76" s="22" t="s">
        <v>52</v>
      </c>
      <c r="G76" s="66">
        <v>49</v>
      </c>
      <c r="H76" s="2">
        <v>21.37</v>
      </c>
      <c r="I76" s="64">
        <f>PRODUCT(Table13[[#This Row],[Quantity]:[Unit_Price]])</f>
        <v>1047.1300000000001</v>
      </c>
      <c r="J76" s="2">
        <v>65.98</v>
      </c>
      <c r="K76" s="2">
        <v>221.65</v>
      </c>
      <c r="L76" s="22" t="s">
        <v>38</v>
      </c>
      <c r="M76" s="22" t="s">
        <v>32</v>
      </c>
      <c r="N76" s="22" t="s">
        <v>58</v>
      </c>
      <c r="O76" s="64">
        <f>VLOOKUP($E76,Products!$B$2:$F$11,5,0)</f>
        <v>15.5</v>
      </c>
      <c r="P76" s="64">
        <f>PRODUCT(Table13[[#This Row],[Quantity]],Table13[[#This Row],[Unit_Cost]])</f>
        <v>759.5</v>
      </c>
      <c r="Q76" s="65">
        <f>Table13[[#This Row],[Profit]]/Table13[[#This Row],[Total_Sales]]</f>
        <v>0.21167381318460934</v>
      </c>
      <c r="R76" s="1"/>
      <c r="S76" s="1"/>
      <c r="T76" s="1"/>
    </row>
    <row r="77" spans="1:20" x14ac:dyDescent="0.25">
      <c r="A77" s="22" t="s">
        <v>182</v>
      </c>
      <c r="B77" s="63">
        <v>45745</v>
      </c>
      <c r="C77" s="22" t="s">
        <v>183</v>
      </c>
      <c r="D77" s="22" t="str">
        <f>PROPER(TRIM(Raw_Data!D77))</f>
        <v>Mexico</v>
      </c>
      <c r="E77" s="22" t="s">
        <v>25</v>
      </c>
      <c r="F77" s="22" t="s">
        <v>18</v>
      </c>
      <c r="G77" s="66">
        <v>42</v>
      </c>
      <c r="H77" s="2">
        <v>24.57</v>
      </c>
      <c r="I77" s="64">
        <f>PRODUCT(Table13[[#This Row],[Quantity]:[Unit_Price]])</f>
        <v>1031.94</v>
      </c>
      <c r="J77" s="2">
        <v>56.45</v>
      </c>
      <c r="K77" s="2">
        <v>219.49</v>
      </c>
      <c r="L77" s="22" t="s">
        <v>26</v>
      </c>
      <c r="M77" s="22" t="s">
        <v>20</v>
      </c>
      <c r="N77" s="22" t="s">
        <v>21</v>
      </c>
      <c r="O77" s="64">
        <f>VLOOKUP($E77,Products!$B$2:$F$11,5,0)</f>
        <v>18</v>
      </c>
      <c r="P77" s="64">
        <f>PRODUCT(Table13[[#This Row],[Quantity]],Table13[[#This Row],[Unit_Cost]])</f>
        <v>756</v>
      </c>
      <c r="Q77" s="65">
        <f>Table13[[#This Row],[Profit]]/Table13[[#This Row],[Total_Sales]]</f>
        <v>0.2126964746012365</v>
      </c>
      <c r="R77" s="1"/>
      <c r="S77" s="1"/>
      <c r="T77" s="1"/>
    </row>
    <row r="78" spans="1:20" x14ac:dyDescent="0.25">
      <c r="A78" s="22" t="s">
        <v>184</v>
      </c>
      <c r="B78" s="63">
        <v>45620</v>
      </c>
      <c r="C78" s="22" t="s">
        <v>183</v>
      </c>
      <c r="D78" s="22" t="str">
        <f>PROPER(TRIM(Raw_Data!D78))</f>
        <v>Singapore</v>
      </c>
      <c r="E78" s="22" t="s">
        <v>25</v>
      </c>
      <c r="F78" s="22" t="s">
        <v>18</v>
      </c>
      <c r="G78" s="66">
        <v>42</v>
      </c>
      <c r="H78" s="2">
        <v>26.39</v>
      </c>
      <c r="I78" s="64">
        <f>PRODUCT(Table13[[#This Row],[Quantity]:[Unit_Price]])</f>
        <v>1108.3800000000001</v>
      </c>
      <c r="J78" s="2">
        <v>44.56</v>
      </c>
      <c r="K78" s="2">
        <v>307.82</v>
      </c>
      <c r="L78" s="22" t="s">
        <v>26</v>
      </c>
      <c r="M78" s="22" t="s">
        <v>20</v>
      </c>
      <c r="N78" s="22" t="s">
        <v>58</v>
      </c>
      <c r="O78" s="64">
        <f>VLOOKUP($E78,Products!$B$2:$F$11,5,0)</f>
        <v>18</v>
      </c>
      <c r="P78" s="64">
        <f>PRODUCT(Table13[[#This Row],[Quantity]],Table13[[#This Row],[Unit_Cost]])</f>
        <v>756</v>
      </c>
      <c r="Q78" s="65">
        <f>Table13[[#This Row],[Profit]]/Table13[[#This Row],[Total_Sales]]</f>
        <v>0.27772063732654861</v>
      </c>
      <c r="R78" s="1"/>
      <c r="S78" s="1"/>
      <c r="T78" s="1"/>
    </row>
    <row r="79" spans="1:20" x14ac:dyDescent="0.25">
      <c r="A79" s="22" t="s">
        <v>185</v>
      </c>
      <c r="B79" s="63">
        <v>45598</v>
      </c>
      <c r="C79" s="22" t="s">
        <v>181</v>
      </c>
      <c r="D79" s="22" t="str">
        <f>PROPER(TRIM(Raw_Data!D79))</f>
        <v>Canada</v>
      </c>
      <c r="E79" s="22" t="s">
        <v>48</v>
      </c>
      <c r="F79" s="22" t="s">
        <v>37</v>
      </c>
      <c r="G79" s="66">
        <v>50</v>
      </c>
      <c r="H79" s="2">
        <v>29.73</v>
      </c>
      <c r="I79" s="64">
        <f>PRODUCT(Table13[[#This Row],[Quantity]:[Unit_Price]])</f>
        <v>1486.5</v>
      </c>
      <c r="J79" s="2">
        <v>96.77</v>
      </c>
      <c r="K79" s="2">
        <v>389.73</v>
      </c>
      <c r="L79" s="22" t="s">
        <v>38</v>
      </c>
      <c r="M79" s="22" t="s">
        <v>20</v>
      </c>
      <c r="N79" s="22" t="s">
        <v>21</v>
      </c>
      <c r="O79" s="64">
        <f>VLOOKUP($E79,Products!$B$2:$F$11,5,0)</f>
        <v>20</v>
      </c>
      <c r="P79" s="64">
        <f>PRODUCT(Table13[[#This Row],[Quantity]],Table13[[#This Row],[Unit_Cost]])</f>
        <v>1000</v>
      </c>
      <c r="Q79" s="65">
        <f>Table13[[#This Row],[Profit]]/Table13[[#This Row],[Total_Sales]]</f>
        <v>0.26217961654894045</v>
      </c>
      <c r="R79" s="1"/>
      <c r="S79" s="1"/>
      <c r="T79" s="1"/>
    </row>
    <row r="80" spans="1:20" x14ac:dyDescent="0.25">
      <c r="A80" s="22" t="s">
        <v>186</v>
      </c>
      <c r="B80" s="63">
        <v>45737</v>
      </c>
      <c r="C80" s="22" t="s">
        <v>179</v>
      </c>
      <c r="D80" s="22" t="str">
        <f>PROPER(TRIM(Raw_Data!D80))</f>
        <v>China</v>
      </c>
      <c r="E80" s="22" t="s">
        <v>60</v>
      </c>
      <c r="F80" s="22" t="s">
        <v>52</v>
      </c>
      <c r="G80" s="66">
        <v>39</v>
      </c>
      <c r="H80" s="2">
        <v>20.56</v>
      </c>
      <c r="I80" s="64">
        <f>PRODUCT(Table13[[#This Row],[Quantity]:[Unit_Price]])</f>
        <v>801.83999999999992</v>
      </c>
      <c r="J80" s="2">
        <v>43.55</v>
      </c>
      <c r="K80" s="2">
        <v>153.79</v>
      </c>
      <c r="L80" s="22" t="s">
        <v>19</v>
      </c>
      <c r="M80" s="22" t="s">
        <v>20</v>
      </c>
      <c r="N80" s="22" t="s">
        <v>58</v>
      </c>
      <c r="O80" s="64">
        <f>VLOOKUP($E80,Products!$B$2:$F$11,5,0)</f>
        <v>15.5</v>
      </c>
      <c r="P80" s="64">
        <f>PRODUCT(Table13[[#This Row],[Quantity]],Table13[[#This Row],[Unit_Cost]])</f>
        <v>604.5</v>
      </c>
      <c r="Q80" s="65">
        <f>Table13[[#This Row],[Profit]]/Table13[[#This Row],[Total_Sales]]</f>
        <v>0.1917963683527886</v>
      </c>
      <c r="R80" s="1"/>
      <c r="S80" s="1"/>
      <c r="T80" s="1"/>
    </row>
    <row r="81" spans="1:20" x14ac:dyDescent="0.25">
      <c r="A81" s="22" t="s">
        <v>187</v>
      </c>
      <c r="B81" s="63">
        <v>45297</v>
      </c>
      <c r="C81" s="22" t="s">
        <v>23</v>
      </c>
      <c r="D81" s="22" t="str">
        <f>PROPER(TRIM(Raw_Data!D81))</f>
        <v>China</v>
      </c>
      <c r="E81" s="22" t="s">
        <v>60</v>
      </c>
      <c r="F81" s="22" t="s">
        <v>52</v>
      </c>
      <c r="G81" s="66">
        <v>48</v>
      </c>
      <c r="H81" s="2">
        <v>24.36</v>
      </c>
      <c r="I81" s="64">
        <f>PRODUCT(Table13[[#This Row],[Quantity]:[Unit_Price]])</f>
        <v>1169.28</v>
      </c>
      <c r="J81" s="2">
        <v>81.599999999999994</v>
      </c>
      <c r="K81" s="2">
        <v>343.68</v>
      </c>
      <c r="L81" s="22" t="s">
        <v>38</v>
      </c>
      <c r="M81" s="22" t="s">
        <v>32</v>
      </c>
      <c r="N81" s="22" t="s">
        <v>58</v>
      </c>
      <c r="O81" s="64">
        <f>VLOOKUP($E81,Products!$B$2:$F$11,5,0)</f>
        <v>15.5</v>
      </c>
      <c r="P81" s="64">
        <f>PRODUCT(Table13[[#This Row],[Quantity]],Table13[[#This Row],[Unit_Cost]])</f>
        <v>744</v>
      </c>
      <c r="Q81" s="65">
        <f>Table13[[#This Row],[Profit]]/Table13[[#This Row],[Total_Sales]]</f>
        <v>0.29392446633825947</v>
      </c>
      <c r="R81" s="1"/>
      <c r="S81" s="1"/>
      <c r="T81" s="1"/>
    </row>
    <row r="82" spans="1:20" x14ac:dyDescent="0.25">
      <c r="A82" s="22" t="s">
        <v>188</v>
      </c>
      <c r="B82" s="63">
        <v>45563</v>
      </c>
      <c r="C82" s="22" t="s">
        <v>189</v>
      </c>
      <c r="D82" s="22" t="str">
        <f>PROPER(TRIM(Raw_Data!D82))</f>
        <v>Germany</v>
      </c>
      <c r="E82" s="22" t="s">
        <v>51</v>
      </c>
      <c r="F82" s="22" t="s">
        <v>52</v>
      </c>
      <c r="G82" s="66">
        <v>40</v>
      </c>
      <c r="H82" s="2">
        <v>27.95</v>
      </c>
      <c r="I82" s="64">
        <f>PRODUCT(Table13[[#This Row],[Quantity]:[Unit_Price]])</f>
        <v>1118</v>
      </c>
      <c r="J82" s="2">
        <v>37.590000000000003</v>
      </c>
      <c r="K82" s="2">
        <v>180.41</v>
      </c>
      <c r="L82" s="22" t="s">
        <v>38</v>
      </c>
      <c r="M82" s="22" t="s">
        <v>32</v>
      </c>
      <c r="N82" s="22" t="s">
        <v>28</v>
      </c>
      <c r="O82" s="64">
        <f>VLOOKUP($E82,Products!$B$2:$F$11,5,0)</f>
        <v>22.5</v>
      </c>
      <c r="P82" s="64">
        <f>PRODUCT(Table13[[#This Row],[Quantity]],Table13[[#This Row],[Unit_Cost]])</f>
        <v>900</v>
      </c>
      <c r="Q82" s="65">
        <f>Table13[[#This Row],[Profit]]/Table13[[#This Row],[Total_Sales]]</f>
        <v>0.16136851520572451</v>
      </c>
      <c r="R82" s="1"/>
      <c r="S82" s="1"/>
      <c r="T82" s="1"/>
    </row>
    <row r="83" spans="1:20" x14ac:dyDescent="0.25">
      <c r="A83" s="22" t="s">
        <v>190</v>
      </c>
      <c r="B83" s="63">
        <v>45716</v>
      </c>
      <c r="C83" s="22" t="s">
        <v>119</v>
      </c>
      <c r="D83" s="22" t="str">
        <f>PROPER(TRIM(Raw_Data!D83))</f>
        <v>India</v>
      </c>
      <c r="E83" s="22" t="s">
        <v>83</v>
      </c>
      <c r="F83" s="22" t="s">
        <v>52</v>
      </c>
      <c r="G83" s="66">
        <v>21</v>
      </c>
      <c r="H83" s="2">
        <v>40.19</v>
      </c>
      <c r="I83" s="64">
        <f>PRODUCT(Table13[[#This Row],[Quantity]:[Unit_Price]])</f>
        <v>843.99</v>
      </c>
      <c r="J83" s="2">
        <v>32.4</v>
      </c>
      <c r="K83" s="2">
        <v>223.59</v>
      </c>
      <c r="L83" s="22" t="s">
        <v>26</v>
      </c>
      <c r="M83" s="22" t="s">
        <v>27</v>
      </c>
      <c r="N83" s="22" t="s">
        <v>58</v>
      </c>
      <c r="O83" s="64">
        <f>VLOOKUP($E83,Products!$B$2:$F$11,5,0)</f>
        <v>28</v>
      </c>
      <c r="P83" s="64">
        <f>PRODUCT(Table13[[#This Row],[Quantity]],Table13[[#This Row],[Unit_Cost]])</f>
        <v>588</v>
      </c>
      <c r="Q83" s="65">
        <f>Table13[[#This Row],[Profit]]/Table13[[#This Row],[Total_Sales]]</f>
        <v>0.26492020047630899</v>
      </c>
      <c r="R83" s="1"/>
      <c r="S83" s="1"/>
      <c r="T83" s="1"/>
    </row>
    <row r="84" spans="1:20" x14ac:dyDescent="0.25">
      <c r="A84" s="22" t="s">
        <v>191</v>
      </c>
      <c r="B84" s="63">
        <v>45445</v>
      </c>
      <c r="C84" s="22" t="s">
        <v>89</v>
      </c>
      <c r="D84" s="22" t="str">
        <f>PROPER(TRIM(Raw_Data!D84))</f>
        <v>Singapore</v>
      </c>
      <c r="E84" s="22" t="s">
        <v>63</v>
      </c>
      <c r="F84" s="22" t="s">
        <v>37</v>
      </c>
      <c r="G84" s="66">
        <v>26</v>
      </c>
      <c r="H84" s="2">
        <v>16.670000000000002</v>
      </c>
      <c r="I84" s="64">
        <f>PRODUCT(Table13[[#This Row],[Quantity]:[Unit_Price]])</f>
        <v>433.42000000000007</v>
      </c>
      <c r="J84" s="2">
        <v>32.79</v>
      </c>
      <c r="K84" s="2">
        <v>69.13</v>
      </c>
      <c r="L84" s="22" t="s">
        <v>38</v>
      </c>
      <c r="M84" s="22" t="s">
        <v>27</v>
      </c>
      <c r="N84" s="22" t="s">
        <v>58</v>
      </c>
      <c r="O84" s="64">
        <f>VLOOKUP($E84,Products!$B$2:$F$11,5,0)</f>
        <v>12.75</v>
      </c>
      <c r="P84" s="64">
        <f>PRODUCT(Table13[[#This Row],[Quantity]],Table13[[#This Row],[Unit_Cost]])</f>
        <v>331.5</v>
      </c>
      <c r="Q84" s="65">
        <f>Table13[[#This Row],[Profit]]/Table13[[#This Row],[Total_Sales]]</f>
        <v>0.15949886945687783</v>
      </c>
      <c r="R84" s="1"/>
      <c r="S84" s="1"/>
      <c r="T84" s="1"/>
    </row>
    <row r="85" spans="1:20" x14ac:dyDescent="0.25">
      <c r="A85" s="22" t="s">
        <v>192</v>
      </c>
      <c r="B85" s="63">
        <v>45614</v>
      </c>
      <c r="C85" s="22" t="s">
        <v>193</v>
      </c>
      <c r="D85" s="22" t="str">
        <f>PROPER(TRIM(Raw_Data!D85))</f>
        <v>Brazil</v>
      </c>
      <c r="E85" s="22" t="s">
        <v>36</v>
      </c>
      <c r="F85" s="22" t="s">
        <v>37</v>
      </c>
      <c r="G85" s="66">
        <v>28</v>
      </c>
      <c r="H85" s="2">
        <v>39.85</v>
      </c>
      <c r="I85" s="64">
        <f>PRODUCT(Table13[[#This Row],[Quantity]:[Unit_Price]])</f>
        <v>1115.8</v>
      </c>
      <c r="J85" s="2">
        <v>43.87</v>
      </c>
      <c r="K85" s="2">
        <v>175.93</v>
      </c>
      <c r="L85" s="22" t="s">
        <v>38</v>
      </c>
      <c r="M85" s="22" t="s">
        <v>20</v>
      </c>
      <c r="N85" s="22" t="s">
        <v>39</v>
      </c>
      <c r="O85" s="64">
        <f>VLOOKUP($E85,Products!$B$2:$F$11,5,0)</f>
        <v>32</v>
      </c>
      <c r="P85" s="64">
        <f>PRODUCT(Table13[[#This Row],[Quantity]],Table13[[#This Row],[Unit_Cost]])</f>
        <v>896</v>
      </c>
      <c r="Q85" s="65">
        <f>Table13[[#This Row],[Profit]]/Table13[[#This Row],[Total_Sales]]</f>
        <v>0.15767162573937982</v>
      </c>
      <c r="R85" s="1"/>
      <c r="S85" s="1"/>
      <c r="T85" s="1"/>
    </row>
    <row r="86" spans="1:20" x14ac:dyDescent="0.25">
      <c r="A86" s="22" t="s">
        <v>194</v>
      </c>
      <c r="B86" s="63">
        <v>45608</v>
      </c>
      <c r="C86" s="22" t="s">
        <v>193</v>
      </c>
      <c r="D86" s="22" t="str">
        <f>PROPER(TRIM(Raw_Data!D86))</f>
        <v>Mexico</v>
      </c>
      <c r="E86" s="22" t="s">
        <v>63</v>
      </c>
      <c r="F86" s="22" t="s">
        <v>37</v>
      </c>
      <c r="G86" s="66">
        <v>47</v>
      </c>
      <c r="H86" s="2">
        <v>15.97</v>
      </c>
      <c r="I86" s="64">
        <f>PRODUCT(Table13[[#This Row],[Quantity]:[Unit_Price]])</f>
        <v>750.59</v>
      </c>
      <c r="J86" s="2">
        <v>48.55</v>
      </c>
      <c r="K86" s="2">
        <v>102.79</v>
      </c>
      <c r="L86" s="22" t="s">
        <v>38</v>
      </c>
      <c r="M86" s="22" t="s">
        <v>32</v>
      </c>
      <c r="N86" s="22" t="s">
        <v>21</v>
      </c>
      <c r="O86" s="64">
        <f>VLOOKUP($E86,Products!$B$2:$F$11,5,0)</f>
        <v>12.75</v>
      </c>
      <c r="P86" s="64">
        <f>PRODUCT(Table13[[#This Row],[Quantity]],Table13[[#This Row],[Unit_Cost]])</f>
        <v>599.25</v>
      </c>
      <c r="Q86" s="65">
        <f>Table13[[#This Row],[Profit]]/Table13[[#This Row],[Total_Sales]]</f>
        <v>0.13694560279246992</v>
      </c>
      <c r="R86" s="1"/>
      <c r="S86" s="1"/>
      <c r="T86" s="1"/>
    </row>
    <row r="87" spans="1:20" x14ac:dyDescent="0.25">
      <c r="A87" s="22" t="s">
        <v>195</v>
      </c>
      <c r="B87" s="63">
        <v>45597</v>
      </c>
      <c r="C87" s="22" t="s">
        <v>135</v>
      </c>
      <c r="D87" s="22" t="str">
        <f>PROPER(TRIM(Raw_Data!D87))</f>
        <v>China</v>
      </c>
      <c r="E87" s="22" t="s">
        <v>43</v>
      </c>
      <c r="F87" s="22" t="s">
        <v>44</v>
      </c>
      <c r="G87" s="66">
        <v>28</v>
      </c>
      <c r="H87" s="2">
        <v>53.6</v>
      </c>
      <c r="I87" s="64">
        <f>PRODUCT(Table13[[#This Row],[Quantity]:[Unit_Price]])</f>
        <v>1500.8</v>
      </c>
      <c r="J87" s="2">
        <v>68.55</v>
      </c>
      <c r="K87" s="2">
        <v>312.25</v>
      </c>
      <c r="L87" s="22" t="s">
        <v>26</v>
      </c>
      <c r="M87" s="22" t="s">
        <v>27</v>
      </c>
      <c r="N87" s="22" t="s">
        <v>58</v>
      </c>
      <c r="O87" s="64">
        <f>VLOOKUP($E87,Products!$B$2:$F$11,5,0)</f>
        <v>40</v>
      </c>
      <c r="P87" s="64">
        <f>PRODUCT(Table13[[#This Row],[Quantity]],Table13[[#This Row],[Unit_Cost]])</f>
        <v>1120</v>
      </c>
      <c r="Q87" s="65">
        <f>Table13[[#This Row],[Profit]]/Table13[[#This Row],[Total_Sales]]</f>
        <v>0.2080557036247335</v>
      </c>
      <c r="R87" s="1"/>
      <c r="S87" s="1"/>
      <c r="T87" s="1"/>
    </row>
    <row r="88" spans="1:20" x14ac:dyDescent="0.25">
      <c r="A88" s="22" t="s">
        <v>196</v>
      </c>
      <c r="B88" s="63">
        <v>45647</v>
      </c>
      <c r="C88" s="22" t="s">
        <v>108</v>
      </c>
      <c r="D88" s="22" t="str">
        <f>PROPER(TRIM(Raw_Data!D88))</f>
        <v>India</v>
      </c>
      <c r="E88" s="22" t="s">
        <v>83</v>
      </c>
      <c r="F88" s="22" t="s">
        <v>52</v>
      </c>
      <c r="G88" s="66">
        <v>37</v>
      </c>
      <c r="H88" s="2">
        <v>40.049999999999997</v>
      </c>
      <c r="I88" s="64">
        <f>PRODUCT(Table13[[#This Row],[Quantity]:[Unit_Price]])</f>
        <v>1481.85</v>
      </c>
      <c r="J88" s="2">
        <v>45.6</v>
      </c>
      <c r="K88" s="2">
        <v>400.25</v>
      </c>
      <c r="L88" s="22" t="s">
        <v>19</v>
      </c>
      <c r="M88" s="22" t="s">
        <v>32</v>
      </c>
      <c r="N88" s="22" t="s">
        <v>58</v>
      </c>
      <c r="O88" s="64">
        <f>VLOOKUP($E88,Products!$B$2:$F$11,5,0)</f>
        <v>28</v>
      </c>
      <c r="P88" s="64">
        <f>PRODUCT(Table13[[#This Row],[Quantity]],Table13[[#This Row],[Unit_Cost]])</f>
        <v>1036</v>
      </c>
      <c r="Q88" s="65">
        <f>Table13[[#This Row],[Profit]]/Table13[[#This Row],[Total_Sales]]</f>
        <v>0.2701015622363937</v>
      </c>
      <c r="R88" s="1"/>
      <c r="S88" s="1"/>
      <c r="T88" s="1"/>
    </row>
    <row r="89" spans="1:20" x14ac:dyDescent="0.25">
      <c r="A89" s="22" t="s">
        <v>197</v>
      </c>
      <c r="B89" s="63">
        <v>45709</v>
      </c>
      <c r="C89" s="22" t="s">
        <v>139</v>
      </c>
      <c r="D89" s="22" t="str">
        <f>PROPER(TRIM(Raw_Data!D89))</f>
        <v>Italy</v>
      </c>
      <c r="E89" s="22" t="s">
        <v>17</v>
      </c>
      <c r="F89" s="22" t="s">
        <v>18</v>
      </c>
      <c r="G89" s="66">
        <v>45</v>
      </c>
      <c r="H89" s="2">
        <v>43.74</v>
      </c>
      <c r="I89" s="64">
        <f>PRODUCT(Table13[[#This Row],[Quantity]:[Unit_Price]])</f>
        <v>1968.3000000000002</v>
      </c>
      <c r="J89" s="2">
        <v>80.55</v>
      </c>
      <c r="K89" s="2">
        <v>312.75</v>
      </c>
      <c r="L89" s="22" t="s">
        <v>26</v>
      </c>
      <c r="M89" s="22" t="s">
        <v>32</v>
      </c>
      <c r="N89" s="22" t="s">
        <v>28</v>
      </c>
      <c r="O89" s="64">
        <f>VLOOKUP($E89,Products!$B$2:$F$11,5,0)</f>
        <v>35</v>
      </c>
      <c r="P89" s="64">
        <f>PRODUCT(Table13[[#This Row],[Quantity]],Table13[[#This Row],[Unit_Cost]])</f>
        <v>1575</v>
      </c>
      <c r="Q89" s="65">
        <f>Table13[[#This Row],[Profit]]/Table13[[#This Row],[Total_Sales]]</f>
        <v>0.15889346136259716</v>
      </c>
      <c r="R89" s="1"/>
      <c r="S89" s="1"/>
      <c r="T89" s="1"/>
    </row>
    <row r="90" spans="1:20" x14ac:dyDescent="0.25">
      <c r="A90" s="22" t="s">
        <v>198</v>
      </c>
      <c r="B90" s="63">
        <v>45724</v>
      </c>
      <c r="C90" s="22" t="s">
        <v>199</v>
      </c>
      <c r="D90" s="22" t="str">
        <f>PROPER(TRIM(Raw_Data!D90))</f>
        <v>Uk</v>
      </c>
      <c r="E90" s="22" t="s">
        <v>60</v>
      </c>
      <c r="F90" s="22" t="s">
        <v>52</v>
      </c>
      <c r="G90" s="66">
        <v>9</v>
      </c>
      <c r="H90" s="2">
        <v>24.63</v>
      </c>
      <c r="I90" s="64">
        <f>PRODUCT(Table13[[#This Row],[Quantity]:[Unit_Price]])</f>
        <v>221.67</v>
      </c>
      <c r="J90" s="2">
        <v>13.53</v>
      </c>
      <c r="K90" s="2">
        <v>68.64</v>
      </c>
      <c r="L90" s="22" t="s">
        <v>26</v>
      </c>
      <c r="M90" s="22" t="s">
        <v>32</v>
      </c>
      <c r="N90" s="22" t="s">
        <v>28</v>
      </c>
      <c r="O90" s="64">
        <f>VLOOKUP($E90,Products!$B$2:$F$11,5,0)</f>
        <v>15.5</v>
      </c>
      <c r="P90" s="64">
        <f>PRODUCT(Table13[[#This Row],[Quantity]],Table13[[#This Row],[Unit_Cost]])</f>
        <v>139.5</v>
      </c>
      <c r="Q90" s="65">
        <f>Table13[[#This Row],[Profit]]/Table13[[#This Row],[Total_Sales]]</f>
        <v>0.30964947895520373</v>
      </c>
      <c r="R90" s="1"/>
      <c r="S90" s="1"/>
      <c r="T90" s="1"/>
    </row>
    <row r="91" spans="1:20" x14ac:dyDescent="0.25">
      <c r="A91" s="22" t="s">
        <v>200</v>
      </c>
      <c r="B91" s="63">
        <v>45731</v>
      </c>
      <c r="C91" s="22" t="s">
        <v>41</v>
      </c>
      <c r="D91" s="22" t="str">
        <f>PROPER(TRIM(Raw_Data!D91))</f>
        <v>South Africa</v>
      </c>
      <c r="E91" s="22" t="s">
        <v>60</v>
      </c>
      <c r="F91" s="22" t="s">
        <v>52</v>
      </c>
      <c r="G91" s="66">
        <v>6</v>
      </c>
      <c r="H91" s="2">
        <v>21.79</v>
      </c>
      <c r="I91" s="64">
        <f>PRODUCT(Table13[[#This Row],[Quantity]:[Unit_Price]])</f>
        <v>130.74</v>
      </c>
      <c r="J91" s="2">
        <v>7.75</v>
      </c>
      <c r="K91" s="2">
        <v>29.99</v>
      </c>
      <c r="L91" s="22" t="s">
        <v>26</v>
      </c>
      <c r="M91" s="22" t="s">
        <v>32</v>
      </c>
      <c r="N91" s="22" t="s">
        <v>87</v>
      </c>
      <c r="O91" s="64">
        <f>VLOOKUP($E91,Products!$B$2:$F$11,5,0)</f>
        <v>15.5</v>
      </c>
      <c r="P91" s="64">
        <f>PRODUCT(Table13[[#This Row],[Quantity]],Table13[[#This Row],[Unit_Cost]])</f>
        <v>93</v>
      </c>
      <c r="Q91" s="65">
        <f>Table13[[#This Row],[Profit]]/Table13[[#This Row],[Total_Sales]]</f>
        <v>0.22938656876242922</v>
      </c>
      <c r="R91" s="1"/>
      <c r="S91" s="1"/>
      <c r="T91" s="1"/>
    </row>
    <row r="92" spans="1:20" x14ac:dyDescent="0.25">
      <c r="A92" s="22" t="s">
        <v>201</v>
      </c>
      <c r="B92" s="63">
        <v>45480</v>
      </c>
      <c r="C92" s="22" t="s">
        <v>202</v>
      </c>
      <c r="D92" s="22" t="str">
        <f>PROPER(TRIM(Raw_Data!D92))</f>
        <v>France</v>
      </c>
      <c r="E92" s="22" t="s">
        <v>17</v>
      </c>
      <c r="F92" s="22" t="s">
        <v>18</v>
      </c>
      <c r="G92" s="66">
        <v>23</v>
      </c>
      <c r="H92" s="2">
        <v>58.43</v>
      </c>
      <c r="I92" s="64">
        <f>PRODUCT(Table13[[#This Row],[Quantity]:[Unit_Price]])</f>
        <v>1343.89</v>
      </c>
      <c r="J92" s="2">
        <v>38.729999999999997</v>
      </c>
      <c r="K92" s="2">
        <v>500.16</v>
      </c>
      <c r="L92" s="22" t="s">
        <v>26</v>
      </c>
      <c r="M92" s="22" t="s">
        <v>20</v>
      </c>
      <c r="N92" s="22" t="s">
        <v>28</v>
      </c>
      <c r="O92" s="64">
        <f>VLOOKUP($E92,Products!$B$2:$F$11,5,0)</f>
        <v>35</v>
      </c>
      <c r="P92" s="64">
        <f>PRODUCT(Table13[[#This Row],[Quantity]],Table13[[#This Row],[Unit_Cost]])</f>
        <v>805</v>
      </c>
      <c r="Q92" s="65">
        <f>Table13[[#This Row],[Profit]]/Table13[[#This Row],[Total_Sales]]</f>
        <v>0.37217331775666163</v>
      </c>
      <c r="R92" s="1"/>
      <c r="S92" s="1"/>
      <c r="T92" s="1"/>
    </row>
    <row r="93" spans="1:20" x14ac:dyDescent="0.25">
      <c r="A93" s="22" t="s">
        <v>203</v>
      </c>
      <c r="B93" s="63">
        <v>45547</v>
      </c>
      <c r="C93" s="22" t="s">
        <v>204</v>
      </c>
      <c r="D93" s="22" t="str">
        <f>PROPER(TRIM(Raw_Data!D93))</f>
        <v>Singapore</v>
      </c>
      <c r="E93" s="22" t="s">
        <v>43</v>
      </c>
      <c r="F93" s="22" t="s">
        <v>44</v>
      </c>
      <c r="G93" s="66">
        <v>19</v>
      </c>
      <c r="H93" s="2">
        <v>67.06</v>
      </c>
      <c r="I93" s="64">
        <f>PRODUCT(Table13[[#This Row],[Quantity]:[Unit_Price]])</f>
        <v>1274.1400000000001</v>
      </c>
      <c r="J93" s="2">
        <v>85.73</v>
      </c>
      <c r="K93" s="2">
        <v>428.41</v>
      </c>
      <c r="L93" s="22" t="s">
        <v>19</v>
      </c>
      <c r="M93" s="22" t="s">
        <v>27</v>
      </c>
      <c r="N93" s="22" t="s">
        <v>58</v>
      </c>
      <c r="O93" s="64">
        <f>VLOOKUP($E93,Products!$B$2:$F$11,5,0)</f>
        <v>40</v>
      </c>
      <c r="P93" s="64">
        <f>PRODUCT(Table13[[#This Row],[Quantity]],Table13[[#This Row],[Unit_Cost]])</f>
        <v>760</v>
      </c>
      <c r="Q93" s="65">
        <f>Table13[[#This Row],[Profit]]/Table13[[#This Row],[Total_Sales]]</f>
        <v>0.33623463669612441</v>
      </c>
      <c r="R93" s="1"/>
      <c r="S93" s="1"/>
      <c r="T93" s="1"/>
    </row>
    <row r="94" spans="1:20" x14ac:dyDescent="0.25">
      <c r="A94" s="22" t="s">
        <v>205</v>
      </c>
      <c r="B94" s="63">
        <v>45502</v>
      </c>
      <c r="C94" s="22" t="s">
        <v>199</v>
      </c>
      <c r="D94" s="22" t="str">
        <f>PROPER(TRIM(Raw_Data!D94))</f>
        <v>Italy</v>
      </c>
      <c r="E94" s="22" t="s">
        <v>25</v>
      </c>
      <c r="F94" s="22" t="s">
        <v>18</v>
      </c>
      <c r="G94" s="66">
        <v>4</v>
      </c>
      <c r="H94" s="2">
        <v>25.13</v>
      </c>
      <c r="I94" s="64">
        <f>PRODUCT(Table13[[#This Row],[Quantity]:[Unit_Price]])</f>
        <v>100.52</v>
      </c>
      <c r="J94" s="2">
        <v>5.6</v>
      </c>
      <c r="K94" s="2">
        <v>22.92</v>
      </c>
      <c r="L94" s="22" t="s">
        <v>26</v>
      </c>
      <c r="M94" s="22" t="s">
        <v>32</v>
      </c>
      <c r="N94" s="22" t="s">
        <v>28</v>
      </c>
      <c r="O94" s="64">
        <f>VLOOKUP($E94,Products!$B$2:$F$11,5,0)</f>
        <v>18</v>
      </c>
      <c r="P94" s="64">
        <f>PRODUCT(Table13[[#This Row],[Quantity]],Table13[[#This Row],[Unit_Cost]])</f>
        <v>72</v>
      </c>
      <c r="Q94" s="65">
        <f>Table13[[#This Row],[Profit]]/Table13[[#This Row],[Total_Sales]]</f>
        <v>0.22801432550736175</v>
      </c>
      <c r="R94" s="1"/>
      <c r="S94" s="1"/>
      <c r="T94" s="1"/>
    </row>
    <row r="95" spans="1:20" x14ac:dyDescent="0.25">
      <c r="A95" s="22" t="s">
        <v>206</v>
      </c>
      <c r="B95" s="63">
        <v>45755</v>
      </c>
      <c r="C95" s="22" t="s">
        <v>207</v>
      </c>
      <c r="D95" s="22" t="str">
        <f>PROPER(TRIM(Raw_Data!D95))</f>
        <v>Italy</v>
      </c>
      <c r="E95" s="22" t="s">
        <v>60</v>
      </c>
      <c r="F95" s="22" t="s">
        <v>52</v>
      </c>
      <c r="G95" s="66">
        <v>26</v>
      </c>
      <c r="H95" s="2">
        <v>19.34</v>
      </c>
      <c r="I95" s="64">
        <f>PRODUCT(Table13[[#This Row],[Quantity]:[Unit_Price]])</f>
        <v>502.84</v>
      </c>
      <c r="J95" s="2">
        <v>26.51</v>
      </c>
      <c r="K95" s="2">
        <v>73.33</v>
      </c>
      <c r="L95" s="22" t="s">
        <v>26</v>
      </c>
      <c r="M95" s="22" t="s">
        <v>20</v>
      </c>
      <c r="N95" s="22" t="s">
        <v>28</v>
      </c>
      <c r="O95" s="64">
        <f>VLOOKUP($E95,Products!$B$2:$F$11,5,0)</f>
        <v>15.5</v>
      </c>
      <c r="P95" s="64">
        <f>PRODUCT(Table13[[#This Row],[Quantity]],Table13[[#This Row],[Unit_Cost]])</f>
        <v>403</v>
      </c>
      <c r="Q95" s="65">
        <f>Table13[[#This Row],[Profit]]/Table13[[#This Row],[Total_Sales]]</f>
        <v>0.14583167607986636</v>
      </c>
      <c r="R95" s="1"/>
      <c r="S95" s="1"/>
      <c r="T95" s="1"/>
    </row>
    <row r="96" spans="1:20" x14ac:dyDescent="0.25">
      <c r="A96" s="22" t="s">
        <v>208</v>
      </c>
      <c r="B96" s="63">
        <v>45549</v>
      </c>
      <c r="C96" s="22" t="s">
        <v>209</v>
      </c>
      <c r="D96" s="22" t="str">
        <f>PROPER(TRIM(Raw_Data!D96))</f>
        <v>South Africa</v>
      </c>
      <c r="E96" s="22" t="s">
        <v>48</v>
      </c>
      <c r="F96" s="22" t="s">
        <v>37</v>
      </c>
      <c r="G96" s="66">
        <v>26</v>
      </c>
      <c r="H96" s="2">
        <v>35.81</v>
      </c>
      <c r="I96" s="64">
        <f>PRODUCT(Table13[[#This Row],[Quantity]:[Unit_Price]])</f>
        <v>931.06000000000006</v>
      </c>
      <c r="J96" s="2">
        <v>61.06</v>
      </c>
      <c r="K96" s="2">
        <v>350</v>
      </c>
      <c r="L96" s="22" t="s">
        <v>19</v>
      </c>
      <c r="M96" s="22" t="s">
        <v>20</v>
      </c>
      <c r="N96" s="22" t="s">
        <v>87</v>
      </c>
      <c r="O96" s="64">
        <f>VLOOKUP($E96,Products!$B$2:$F$11,5,0)</f>
        <v>20</v>
      </c>
      <c r="P96" s="64">
        <f>PRODUCT(Table13[[#This Row],[Quantity]],Table13[[#This Row],[Unit_Cost]])</f>
        <v>520</v>
      </c>
      <c r="Q96" s="65">
        <f>Table13[[#This Row],[Profit]]/Table13[[#This Row],[Total_Sales]]</f>
        <v>0.37591562305329407</v>
      </c>
      <c r="R96" s="1"/>
      <c r="S96" s="1"/>
      <c r="T96" s="1"/>
    </row>
    <row r="97" spans="1:20" x14ac:dyDescent="0.25">
      <c r="A97" s="22" t="s">
        <v>210</v>
      </c>
      <c r="B97" s="63">
        <v>45717</v>
      </c>
      <c r="C97" s="22" t="s">
        <v>211</v>
      </c>
      <c r="D97" s="22" t="str">
        <f>PROPER(TRIM(Raw_Data!D97))</f>
        <v>Singapore</v>
      </c>
      <c r="E97" s="22" t="s">
        <v>51</v>
      </c>
      <c r="F97" s="22" t="s">
        <v>52</v>
      </c>
      <c r="G97" s="66">
        <v>42</v>
      </c>
      <c r="H97" s="2">
        <v>39.950000000000003</v>
      </c>
      <c r="I97" s="64">
        <f>PRODUCT(Table13[[#This Row],[Quantity]:[Unit_Price]])</f>
        <v>1677.9</v>
      </c>
      <c r="J97" s="2">
        <v>93.95</v>
      </c>
      <c r="K97" s="2">
        <v>638.95000000000005</v>
      </c>
      <c r="L97" s="22" t="s">
        <v>26</v>
      </c>
      <c r="M97" s="22" t="s">
        <v>27</v>
      </c>
      <c r="N97" s="22" t="s">
        <v>58</v>
      </c>
      <c r="O97" s="64">
        <f>VLOOKUP($E97,Products!$B$2:$F$11,5,0)</f>
        <v>22.5</v>
      </c>
      <c r="P97" s="64">
        <f>PRODUCT(Table13[[#This Row],[Quantity]],Table13[[#This Row],[Unit_Cost]])</f>
        <v>945</v>
      </c>
      <c r="Q97" s="65">
        <f>Table13[[#This Row],[Profit]]/Table13[[#This Row],[Total_Sales]]</f>
        <v>0.38080338518386081</v>
      </c>
      <c r="R97" s="1"/>
      <c r="S97" s="1"/>
      <c r="T97" s="1"/>
    </row>
    <row r="98" spans="1:20" x14ac:dyDescent="0.25">
      <c r="A98" s="22" t="s">
        <v>212</v>
      </c>
      <c r="B98" s="63">
        <v>45501</v>
      </c>
      <c r="C98" s="22" t="s">
        <v>89</v>
      </c>
      <c r="D98" s="22" t="str">
        <f>PROPER(TRIM(Raw_Data!D98))</f>
        <v>Uae</v>
      </c>
      <c r="E98" s="22" t="s">
        <v>17</v>
      </c>
      <c r="F98" s="22" t="s">
        <v>18</v>
      </c>
      <c r="G98" s="66">
        <v>38</v>
      </c>
      <c r="H98" s="2">
        <v>49.98</v>
      </c>
      <c r="I98" s="64">
        <f>PRODUCT(Table13[[#This Row],[Quantity]:[Unit_Price]])</f>
        <v>1899.2399999999998</v>
      </c>
      <c r="J98" s="2">
        <v>112.91</v>
      </c>
      <c r="K98" s="2">
        <v>456.33</v>
      </c>
      <c r="L98" s="22" t="s">
        <v>38</v>
      </c>
      <c r="M98" s="22" t="s">
        <v>32</v>
      </c>
      <c r="N98" s="22" t="s">
        <v>58</v>
      </c>
      <c r="O98" s="64">
        <f>VLOOKUP($E98,Products!$B$2:$F$11,5,0)</f>
        <v>35</v>
      </c>
      <c r="P98" s="64">
        <f>PRODUCT(Table13[[#This Row],[Quantity]],Table13[[#This Row],[Unit_Cost]])</f>
        <v>1330</v>
      </c>
      <c r="Q98" s="65">
        <f>Table13[[#This Row],[Profit]]/Table13[[#This Row],[Total_Sales]]</f>
        <v>0.24026979212737729</v>
      </c>
      <c r="R98" s="1"/>
      <c r="S98" s="1"/>
      <c r="T98" s="1"/>
    </row>
    <row r="99" spans="1:20" x14ac:dyDescent="0.25">
      <c r="A99" s="22" t="s">
        <v>213</v>
      </c>
      <c r="B99" s="63">
        <v>45505</v>
      </c>
      <c r="C99" s="22" t="s">
        <v>119</v>
      </c>
      <c r="D99" s="22" t="str">
        <f>PROPER(TRIM(Raw_Data!D99))</f>
        <v>Japan</v>
      </c>
      <c r="E99" s="22" t="s">
        <v>83</v>
      </c>
      <c r="F99" s="22" t="s">
        <v>52</v>
      </c>
      <c r="G99" s="66">
        <v>1</v>
      </c>
      <c r="H99" s="2">
        <v>45.84</v>
      </c>
      <c r="I99" s="64">
        <f>PRODUCT(Table13[[#This Row],[Quantity]:[Unit_Price]])</f>
        <v>45.84</v>
      </c>
      <c r="J99" s="2">
        <v>1.26</v>
      </c>
      <c r="K99" s="2">
        <v>16.579999999999998</v>
      </c>
      <c r="L99" s="22" t="s">
        <v>38</v>
      </c>
      <c r="M99" s="22" t="s">
        <v>20</v>
      </c>
      <c r="N99" s="22" t="s">
        <v>58</v>
      </c>
      <c r="O99" s="64">
        <f>VLOOKUP($E99,Products!$B$2:$F$11,5,0)</f>
        <v>28</v>
      </c>
      <c r="P99" s="64">
        <f>PRODUCT(Table13[[#This Row],[Quantity]],Table13[[#This Row],[Unit_Cost]])</f>
        <v>28</v>
      </c>
      <c r="Q99" s="65">
        <f>Table13[[#This Row],[Profit]]/Table13[[#This Row],[Total_Sales]]</f>
        <v>0.3616928446771378</v>
      </c>
      <c r="R99" s="1"/>
      <c r="S99" s="1"/>
      <c r="T99" s="1"/>
    </row>
    <row r="100" spans="1:20" x14ac:dyDescent="0.25">
      <c r="A100" s="22" t="s">
        <v>214</v>
      </c>
      <c r="B100" s="63">
        <v>45749</v>
      </c>
      <c r="C100" s="22" t="s">
        <v>189</v>
      </c>
      <c r="D100" s="22" t="str">
        <f>PROPER(TRIM(Raw_Data!D100))</f>
        <v>Australia</v>
      </c>
      <c r="E100" s="22" t="s">
        <v>25</v>
      </c>
      <c r="F100" s="22" t="s">
        <v>18</v>
      </c>
      <c r="G100" s="66">
        <v>38</v>
      </c>
      <c r="H100" s="2">
        <v>26.34</v>
      </c>
      <c r="I100" s="64">
        <f>PRODUCT(Table13[[#This Row],[Quantity]:[Unit_Price]])</f>
        <v>1000.92</v>
      </c>
      <c r="J100" s="2">
        <v>47.88</v>
      </c>
      <c r="K100" s="2">
        <v>269.04000000000002</v>
      </c>
      <c r="L100" s="22" t="s">
        <v>19</v>
      </c>
      <c r="M100" s="22" t="s">
        <v>27</v>
      </c>
      <c r="N100" s="22" t="s">
        <v>130</v>
      </c>
      <c r="O100" s="64">
        <f>VLOOKUP($E100,Products!$B$2:$F$11,5,0)</f>
        <v>18</v>
      </c>
      <c r="P100" s="64">
        <f>PRODUCT(Table13[[#This Row],[Quantity]],Table13[[#This Row],[Unit_Cost]])</f>
        <v>684</v>
      </c>
      <c r="Q100" s="65">
        <f>Table13[[#This Row],[Profit]]/Table13[[#This Row],[Total_Sales]]</f>
        <v>0.26879271070615035</v>
      </c>
      <c r="R100" s="1"/>
      <c r="S100" s="1"/>
      <c r="T100" s="1"/>
    </row>
    <row r="101" spans="1:20" x14ac:dyDescent="0.25">
      <c r="A101" s="22" t="s">
        <v>215</v>
      </c>
      <c r="B101" s="63">
        <v>45590</v>
      </c>
      <c r="C101" s="22" t="s">
        <v>168</v>
      </c>
      <c r="D101" s="22" t="str">
        <f>PROPER(TRIM(Raw_Data!D101))</f>
        <v>France</v>
      </c>
      <c r="E101" s="22" t="s">
        <v>56</v>
      </c>
      <c r="F101" s="22" t="s">
        <v>57</v>
      </c>
      <c r="G101" s="66">
        <v>30</v>
      </c>
      <c r="H101" s="2">
        <v>36.43</v>
      </c>
      <c r="I101" s="64">
        <f>PRODUCT(Table13[[#This Row],[Quantity]:[Unit_Price]])</f>
        <v>1092.9000000000001</v>
      </c>
      <c r="J101" s="2">
        <v>61.97</v>
      </c>
      <c r="K101" s="2">
        <v>280.93</v>
      </c>
      <c r="L101" s="22" t="s">
        <v>38</v>
      </c>
      <c r="M101" s="22" t="s">
        <v>27</v>
      </c>
      <c r="N101" s="22" t="s">
        <v>28</v>
      </c>
      <c r="O101" s="64">
        <f>VLOOKUP($E101,Products!$B$2:$F$11,5,0)</f>
        <v>25</v>
      </c>
      <c r="P101" s="64">
        <f>PRODUCT(Table13[[#This Row],[Quantity]],Table13[[#This Row],[Unit_Cost]])</f>
        <v>750</v>
      </c>
      <c r="Q101" s="65">
        <f>Table13[[#This Row],[Profit]]/Table13[[#This Row],[Total_Sales]]</f>
        <v>0.25705005032482386</v>
      </c>
      <c r="R101" s="1"/>
      <c r="S101" s="1"/>
      <c r="T101" s="1"/>
    </row>
    <row r="102" spans="1:20" x14ac:dyDescent="0.25">
      <c r="A102" s="22" t="s">
        <v>216</v>
      </c>
      <c r="B102" s="63">
        <v>45468</v>
      </c>
      <c r="C102" s="22" t="s">
        <v>193</v>
      </c>
      <c r="D102" s="22" t="str">
        <f>PROPER(TRIM(Raw_Data!D102))</f>
        <v>Italy</v>
      </c>
      <c r="E102" s="22" t="s">
        <v>63</v>
      </c>
      <c r="F102" s="22" t="s">
        <v>37</v>
      </c>
      <c r="G102" s="66">
        <v>9</v>
      </c>
      <c r="H102" s="2">
        <v>22.27</v>
      </c>
      <c r="I102" s="64">
        <f>PRODUCT(Table13[[#This Row],[Quantity]:[Unit_Price]])</f>
        <v>200.43</v>
      </c>
      <c r="J102" s="2">
        <v>13.21</v>
      </c>
      <c r="K102" s="2">
        <v>72.47</v>
      </c>
      <c r="L102" s="22" t="s">
        <v>26</v>
      </c>
      <c r="M102" s="22" t="s">
        <v>27</v>
      </c>
      <c r="N102" s="22" t="s">
        <v>28</v>
      </c>
      <c r="O102" s="64">
        <f>VLOOKUP($E102,Products!$B$2:$F$11,5,0)</f>
        <v>12.75</v>
      </c>
      <c r="P102" s="64">
        <f>PRODUCT(Table13[[#This Row],[Quantity]],Table13[[#This Row],[Unit_Cost]])</f>
        <v>114.75</v>
      </c>
      <c r="Q102" s="65">
        <f>Table13[[#This Row],[Profit]]/Table13[[#This Row],[Total_Sales]]</f>
        <v>0.36157261886943071</v>
      </c>
      <c r="R102" s="1"/>
      <c r="S102" s="1"/>
      <c r="T102" s="1"/>
    </row>
    <row r="103" spans="1:20" x14ac:dyDescent="0.25">
      <c r="A103" s="22" t="s">
        <v>217</v>
      </c>
      <c r="B103" s="63">
        <v>45547</v>
      </c>
      <c r="C103" s="22" t="s">
        <v>100</v>
      </c>
      <c r="D103" s="22" t="str">
        <f>PROPER(TRIM(Raw_Data!D103))</f>
        <v>Australia</v>
      </c>
      <c r="E103" s="22" t="s">
        <v>60</v>
      </c>
      <c r="F103" s="22" t="s">
        <v>52</v>
      </c>
      <c r="G103" s="66">
        <v>26</v>
      </c>
      <c r="H103" s="2">
        <v>27.65</v>
      </c>
      <c r="I103" s="64">
        <f>PRODUCT(Table13[[#This Row],[Quantity]:[Unit_Price]])</f>
        <v>718.9</v>
      </c>
      <c r="J103" s="2">
        <v>46.25</v>
      </c>
      <c r="K103" s="2">
        <v>269.64999999999998</v>
      </c>
      <c r="L103" s="22" t="s">
        <v>26</v>
      </c>
      <c r="M103" s="22" t="s">
        <v>32</v>
      </c>
      <c r="N103" s="22" t="s">
        <v>130</v>
      </c>
      <c r="O103" s="64">
        <f>VLOOKUP($E103,Products!$B$2:$F$11,5,0)</f>
        <v>15.5</v>
      </c>
      <c r="P103" s="64">
        <f>PRODUCT(Table13[[#This Row],[Quantity]],Table13[[#This Row],[Unit_Cost]])</f>
        <v>403</v>
      </c>
      <c r="Q103" s="65">
        <f>Table13[[#This Row],[Profit]]/Table13[[#This Row],[Total_Sales]]</f>
        <v>0.37508693837807761</v>
      </c>
      <c r="R103" s="1"/>
      <c r="S103" s="1"/>
      <c r="T103" s="1"/>
    </row>
    <row r="104" spans="1:20" x14ac:dyDescent="0.25">
      <c r="A104" s="22" t="s">
        <v>218</v>
      </c>
      <c r="B104" s="63">
        <v>45503</v>
      </c>
      <c r="C104" s="22" t="s">
        <v>189</v>
      </c>
      <c r="D104" s="22" t="str">
        <f>PROPER(TRIM(Raw_Data!D104))</f>
        <v>Uk</v>
      </c>
      <c r="E104" s="22" t="s">
        <v>60</v>
      </c>
      <c r="F104" s="22" t="s">
        <v>52</v>
      </c>
      <c r="G104" s="66">
        <v>23</v>
      </c>
      <c r="H104" s="2">
        <v>22.45</v>
      </c>
      <c r="I104" s="64">
        <f>PRODUCT(Table13[[#This Row],[Quantity]:[Unit_Price]])</f>
        <v>516.35</v>
      </c>
      <c r="J104" s="2">
        <v>15.68</v>
      </c>
      <c r="K104" s="2">
        <v>144.16999999999999</v>
      </c>
      <c r="L104" s="22" t="s">
        <v>38</v>
      </c>
      <c r="M104" s="22" t="s">
        <v>32</v>
      </c>
      <c r="N104" s="22" t="s">
        <v>28</v>
      </c>
      <c r="O104" s="64">
        <f>VLOOKUP($E104,Products!$B$2:$F$11,5,0)</f>
        <v>15.5</v>
      </c>
      <c r="P104" s="64">
        <f>PRODUCT(Table13[[#This Row],[Quantity]],Table13[[#This Row],[Unit_Cost]])</f>
        <v>356.5</v>
      </c>
      <c r="Q104" s="65">
        <f>Table13[[#This Row],[Profit]]/Table13[[#This Row],[Total_Sales]]</f>
        <v>0.2792098382879829</v>
      </c>
      <c r="R104" s="1"/>
      <c r="S104" s="1"/>
      <c r="T104" s="1"/>
    </row>
    <row r="105" spans="1:20" x14ac:dyDescent="0.25">
      <c r="A105" s="22" t="s">
        <v>219</v>
      </c>
      <c r="B105" s="63">
        <v>45528</v>
      </c>
      <c r="C105" s="22" t="s">
        <v>123</v>
      </c>
      <c r="D105" s="22" t="str">
        <f>PROPER(TRIM(Raw_Data!D105))</f>
        <v>Uk</v>
      </c>
      <c r="E105" s="22" t="s">
        <v>60</v>
      </c>
      <c r="F105" s="22" t="s">
        <v>52</v>
      </c>
      <c r="G105" s="66">
        <v>30</v>
      </c>
      <c r="H105" s="2">
        <v>21.93</v>
      </c>
      <c r="I105" s="64">
        <f>PRODUCT(Table13[[#This Row],[Quantity]:[Unit_Price]])</f>
        <v>657.9</v>
      </c>
      <c r="J105" s="2">
        <v>24.66</v>
      </c>
      <c r="K105" s="2">
        <v>168.24</v>
      </c>
      <c r="L105" s="22" t="s">
        <v>26</v>
      </c>
      <c r="M105" s="22" t="s">
        <v>20</v>
      </c>
      <c r="N105" s="22" t="s">
        <v>28</v>
      </c>
      <c r="O105" s="64">
        <f>VLOOKUP($E105,Products!$B$2:$F$11,5,0)</f>
        <v>15.5</v>
      </c>
      <c r="P105" s="64">
        <f>PRODUCT(Table13[[#This Row],[Quantity]],Table13[[#This Row],[Unit_Cost]])</f>
        <v>465</v>
      </c>
      <c r="Q105" s="65">
        <f>Table13[[#This Row],[Profit]]/Table13[[#This Row],[Total_Sales]]</f>
        <v>0.25572275421796625</v>
      </c>
      <c r="R105" s="1"/>
      <c r="S105" s="1"/>
      <c r="T105" s="1"/>
    </row>
    <row r="106" spans="1:20" x14ac:dyDescent="0.25">
      <c r="A106" s="22" t="s">
        <v>220</v>
      </c>
      <c r="B106" s="63">
        <v>45546</v>
      </c>
      <c r="C106" s="22" t="s">
        <v>221</v>
      </c>
      <c r="D106" s="22" t="str">
        <f>PROPER(TRIM(Raw_Data!D106))</f>
        <v>Singapore</v>
      </c>
      <c r="E106" s="22" t="s">
        <v>63</v>
      </c>
      <c r="F106" s="22" t="s">
        <v>37</v>
      </c>
      <c r="G106" s="66">
        <v>43</v>
      </c>
      <c r="H106" s="2">
        <v>21.92</v>
      </c>
      <c r="I106" s="64">
        <f>PRODUCT(Table13[[#This Row],[Quantity]:[Unit_Price]])</f>
        <v>942.56000000000006</v>
      </c>
      <c r="J106" s="2">
        <v>51.15</v>
      </c>
      <c r="K106" s="2">
        <v>343.16</v>
      </c>
      <c r="L106" s="22" t="s">
        <v>19</v>
      </c>
      <c r="M106" s="22" t="s">
        <v>32</v>
      </c>
      <c r="N106" s="22" t="s">
        <v>58</v>
      </c>
      <c r="O106" s="64">
        <f>VLOOKUP($E106,Products!$B$2:$F$11,5,0)</f>
        <v>12.75</v>
      </c>
      <c r="P106" s="64">
        <f>PRODUCT(Table13[[#This Row],[Quantity]],Table13[[#This Row],[Unit_Cost]])</f>
        <v>548.25</v>
      </c>
      <c r="Q106" s="65">
        <f>Table13[[#This Row],[Profit]]/Table13[[#This Row],[Total_Sales]]</f>
        <v>0.36407231369886267</v>
      </c>
      <c r="R106" s="1"/>
      <c r="S106" s="1"/>
      <c r="T106" s="1"/>
    </row>
    <row r="107" spans="1:20" x14ac:dyDescent="0.25">
      <c r="A107" s="22" t="s">
        <v>222</v>
      </c>
      <c r="B107" s="63">
        <v>45692</v>
      </c>
      <c r="C107" s="22" t="s">
        <v>62</v>
      </c>
      <c r="D107" s="22" t="str">
        <f>PROPER(TRIM(Raw_Data!D107))</f>
        <v>Brazil</v>
      </c>
      <c r="E107" s="22" t="s">
        <v>43</v>
      </c>
      <c r="F107" s="22" t="s">
        <v>44</v>
      </c>
      <c r="G107" s="66">
        <v>3</v>
      </c>
      <c r="H107" s="2">
        <v>56.21</v>
      </c>
      <c r="I107" s="64">
        <f>PRODUCT(Table13[[#This Row],[Quantity]:[Unit_Price]])</f>
        <v>168.63</v>
      </c>
      <c r="J107" s="2">
        <v>7.56</v>
      </c>
      <c r="K107" s="2">
        <v>41.07</v>
      </c>
      <c r="L107" s="22" t="s">
        <v>38</v>
      </c>
      <c r="M107" s="22" t="s">
        <v>20</v>
      </c>
      <c r="N107" s="22" t="s">
        <v>39</v>
      </c>
      <c r="O107" s="64">
        <f>VLOOKUP($E107,Products!$B$2:$F$11,5,0)</f>
        <v>40</v>
      </c>
      <c r="P107" s="64">
        <f>PRODUCT(Table13[[#This Row],[Quantity]],Table13[[#This Row],[Unit_Cost]])</f>
        <v>120</v>
      </c>
      <c r="Q107" s="65">
        <f>Table13[[#This Row],[Profit]]/Table13[[#This Row],[Total_Sales]]</f>
        <v>0.24355096957836686</v>
      </c>
      <c r="R107" s="1"/>
      <c r="S107" s="1"/>
      <c r="T107" s="1"/>
    </row>
    <row r="108" spans="1:20" x14ac:dyDescent="0.25">
      <c r="A108" s="22" t="s">
        <v>223</v>
      </c>
      <c r="B108" s="63">
        <v>45384</v>
      </c>
      <c r="C108" s="22" t="s">
        <v>15</v>
      </c>
      <c r="D108" s="22" t="str">
        <f>PROPER(TRIM(Raw_Data!D108))</f>
        <v>Italy</v>
      </c>
      <c r="E108" s="22" t="s">
        <v>63</v>
      </c>
      <c r="F108" s="22" t="s">
        <v>37</v>
      </c>
      <c r="G108" s="66">
        <v>33</v>
      </c>
      <c r="H108" s="2">
        <v>15.44</v>
      </c>
      <c r="I108" s="64">
        <f>PRODUCT(Table13[[#This Row],[Quantity]:[Unit_Price]])</f>
        <v>509.52</v>
      </c>
      <c r="J108" s="2">
        <v>19.7</v>
      </c>
      <c r="K108" s="2">
        <v>69.069999999999993</v>
      </c>
      <c r="L108" s="22" t="s">
        <v>19</v>
      </c>
      <c r="M108" s="22" t="s">
        <v>32</v>
      </c>
      <c r="N108" s="22" t="s">
        <v>28</v>
      </c>
      <c r="O108" s="64">
        <f>VLOOKUP($E108,Products!$B$2:$F$11,5,0)</f>
        <v>12.75</v>
      </c>
      <c r="P108" s="64">
        <f>PRODUCT(Table13[[#This Row],[Quantity]],Table13[[#This Row],[Unit_Cost]])</f>
        <v>420.75</v>
      </c>
      <c r="Q108" s="65">
        <f>Table13[[#This Row],[Profit]]/Table13[[#This Row],[Total_Sales]]</f>
        <v>0.13555895745014915</v>
      </c>
      <c r="R108" s="1"/>
      <c r="S108" s="1"/>
      <c r="T108" s="1"/>
    </row>
    <row r="109" spans="1:20" x14ac:dyDescent="0.25">
      <c r="A109" s="22" t="s">
        <v>224</v>
      </c>
      <c r="B109" s="63">
        <v>45557</v>
      </c>
      <c r="C109" s="22" t="s">
        <v>93</v>
      </c>
      <c r="D109" s="22" t="str">
        <f>PROPER(TRIM(Raw_Data!D109))</f>
        <v>South Africa</v>
      </c>
      <c r="E109" s="22" t="s">
        <v>60</v>
      </c>
      <c r="F109" s="22" t="s">
        <v>52</v>
      </c>
      <c r="G109" s="66">
        <v>50</v>
      </c>
      <c r="H109" s="2">
        <v>23.02</v>
      </c>
      <c r="I109" s="64">
        <f>PRODUCT(Table13[[#This Row],[Quantity]:[Unit_Price]])</f>
        <v>1151</v>
      </c>
      <c r="J109" s="2">
        <v>69.3</v>
      </c>
      <c r="K109" s="2">
        <v>306.7</v>
      </c>
      <c r="L109" s="22" t="s">
        <v>26</v>
      </c>
      <c r="M109" s="22" t="s">
        <v>27</v>
      </c>
      <c r="N109" s="22" t="s">
        <v>87</v>
      </c>
      <c r="O109" s="64">
        <f>VLOOKUP($E109,Products!$B$2:$F$11,5,0)</f>
        <v>15.5</v>
      </c>
      <c r="P109" s="64">
        <f>PRODUCT(Table13[[#This Row],[Quantity]],Table13[[#This Row],[Unit_Cost]])</f>
        <v>775</v>
      </c>
      <c r="Q109" s="65">
        <f>Table13[[#This Row],[Profit]]/Table13[[#This Row],[Total_Sales]]</f>
        <v>0.26646394439617721</v>
      </c>
      <c r="R109" s="1"/>
      <c r="S109" s="1"/>
      <c r="T109" s="1"/>
    </row>
    <row r="110" spans="1:20" x14ac:dyDescent="0.25">
      <c r="A110" s="22" t="s">
        <v>225</v>
      </c>
      <c r="B110" s="63">
        <v>45362</v>
      </c>
      <c r="C110" s="22" t="s">
        <v>226</v>
      </c>
      <c r="D110" s="22" t="str">
        <f>PROPER(TRIM(Raw_Data!D110))</f>
        <v>Brazil</v>
      </c>
      <c r="E110" s="22" t="s">
        <v>63</v>
      </c>
      <c r="F110" s="22" t="s">
        <v>37</v>
      </c>
      <c r="G110" s="66">
        <v>8</v>
      </c>
      <c r="H110" s="2">
        <v>17.010000000000002</v>
      </c>
      <c r="I110" s="64">
        <f>PRODUCT(Table13[[#This Row],[Quantity]:[Unit_Price]])</f>
        <v>136.08000000000001</v>
      </c>
      <c r="J110" s="2">
        <v>8.84</v>
      </c>
      <c r="K110" s="2">
        <v>25.24</v>
      </c>
      <c r="L110" s="22" t="s">
        <v>19</v>
      </c>
      <c r="M110" s="22" t="s">
        <v>32</v>
      </c>
      <c r="N110" s="22" t="s">
        <v>39</v>
      </c>
      <c r="O110" s="64">
        <f>VLOOKUP($E110,Products!$B$2:$F$11,5,0)</f>
        <v>12.75</v>
      </c>
      <c r="P110" s="64">
        <f>PRODUCT(Table13[[#This Row],[Quantity]],Table13[[#This Row],[Unit_Cost]])</f>
        <v>102</v>
      </c>
      <c r="Q110" s="65">
        <f>Table13[[#This Row],[Profit]]/Table13[[#This Row],[Total_Sales]]</f>
        <v>0.18547912992357435</v>
      </c>
      <c r="R110" s="1"/>
      <c r="S110" s="1"/>
      <c r="T110" s="1"/>
    </row>
    <row r="111" spans="1:20" x14ac:dyDescent="0.25">
      <c r="A111" s="22" t="s">
        <v>227</v>
      </c>
      <c r="B111" s="63">
        <v>45591</v>
      </c>
      <c r="C111" s="22" t="s">
        <v>189</v>
      </c>
      <c r="D111" s="22" t="str">
        <f>PROPER(TRIM(Raw_Data!D111))</f>
        <v>France</v>
      </c>
      <c r="E111" s="22" t="s">
        <v>25</v>
      </c>
      <c r="F111" s="22" t="s">
        <v>18</v>
      </c>
      <c r="G111" s="66">
        <v>16</v>
      </c>
      <c r="H111" s="2">
        <v>26.47</v>
      </c>
      <c r="I111" s="64">
        <f>PRODUCT(Table13[[#This Row],[Quantity]:[Unit_Price]])</f>
        <v>423.52</v>
      </c>
      <c r="J111" s="2">
        <v>15.87</v>
      </c>
      <c r="K111" s="2">
        <v>119.65</v>
      </c>
      <c r="L111" s="22" t="s">
        <v>26</v>
      </c>
      <c r="M111" s="22" t="s">
        <v>20</v>
      </c>
      <c r="N111" s="22" t="s">
        <v>28</v>
      </c>
      <c r="O111" s="64">
        <f>VLOOKUP($E111,Products!$B$2:$F$11,5,0)</f>
        <v>18</v>
      </c>
      <c r="P111" s="64">
        <f>PRODUCT(Table13[[#This Row],[Quantity]],Table13[[#This Row],[Unit_Cost]])</f>
        <v>288</v>
      </c>
      <c r="Q111" s="65">
        <f>Table13[[#This Row],[Profit]]/Table13[[#This Row],[Total_Sales]]</f>
        <v>0.28251322251605593</v>
      </c>
      <c r="R111" s="1"/>
      <c r="S111" s="1"/>
      <c r="T111" s="1"/>
    </row>
    <row r="112" spans="1:20" x14ac:dyDescent="0.25">
      <c r="A112" s="22" t="s">
        <v>228</v>
      </c>
      <c r="B112" s="63">
        <v>45565</v>
      </c>
      <c r="C112" s="22" t="s">
        <v>170</v>
      </c>
      <c r="D112" s="22" t="str">
        <f>PROPER(TRIM(Raw_Data!D112))</f>
        <v>Brazil</v>
      </c>
      <c r="E112" s="22" t="s">
        <v>36</v>
      </c>
      <c r="F112" s="22" t="s">
        <v>37</v>
      </c>
      <c r="G112" s="66">
        <v>32</v>
      </c>
      <c r="H112" s="2">
        <v>43.18</v>
      </c>
      <c r="I112" s="64">
        <f>PRODUCT(Table13[[#This Row],[Quantity]:[Unit_Price]])</f>
        <v>1381.76</v>
      </c>
      <c r="J112" s="2">
        <v>88.54</v>
      </c>
      <c r="K112" s="2">
        <v>269.22000000000003</v>
      </c>
      <c r="L112" s="22" t="s">
        <v>26</v>
      </c>
      <c r="M112" s="22" t="s">
        <v>32</v>
      </c>
      <c r="N112" s="22" t="s">
        <v>39</v>
      </c>
      <c r="O112" s="64">
        <f>VLOOKUP($E112,Products!$B$2:$F$11,5,0)</f>
        <v>32</v>
      </c>
      <c r="P112" s="64">
        <f>PRODUCT(Table13[[#This Row],[Quantity]],Table13[[#This Row],[Unit_Cost]])</f>
        <v>1024</v>
      </c>
      <c r="Q112" s="65">
        <f>Table13[[#This Row],[Profit]]/Table13[[#This Row],[Total_Sales]]</f>
        <v>0.19483846688281614</v>
      </c>
      <c r="R112" s="1"/>
      <c r="S112" s="1"/>
      <c r="T112" s="1"/>
    </row>
    <row r="113" spans="1:20" x14ac:dyDescent="0.25">
      <c r="A113" s="22" t="s">
        <v>229</v>
      </c>
      <c r="B113" s="63">
        <v>45472</v>
      </c>
      <c r="C113" s="22" t="s">
        <v>110</v>
      </c>
      <c r="D113" s="22" t="str">
        <f>PROPER(TRIM(Raw_Data!D113))</f>
        <v>Australia</v>
      </c>
      <c r="E113" s="22" t="s">
        <v>60</v>
      </c>
      <c r="F113" s="22" t="s">
        <v>52</v>
      </c>
      <c r="G113" s="66">
        <v>29</v>
      </c>
      <c r="H113" s="2">
        <v>18.850000000000001</v>
      </c>
      <c r="I113" s="64">
        <f>PRODUCT(Table13[[#This Row],[Quantity]:[Unit_Price]])</f>
        <v>546.65000000000009</v>
      </c>
      <c r="J113" s="2">
        <v>13.22</v>
      </c>
      <c r="K113" s="2">
        <v>83.93</v>
      </c>
      <c r="L113" s="22" t="s">
        <v>19</v>
      </c>
      <c r="M113" s="22" t="s">
        <v>32</v>
      </c>
      <c r="N113" s="22" t="s">
        <v>130</v>
      </c>
      <c r="O113" s="64">
        <f>VLOOKUP($E113,Products!$B$2:$F$11,5,0)</f>
        <v>15.5</v>
      </c>
      <c r="P113" s="64">
        <f>PRODUCT(Table13[[#This Row],[Quantity]],Table13[[#This Row],[Unit_Cost]])</f>
        <v>449.5</v>
      </c>
      <c r="Q113" s="65">
        <f>Table13[[#This Row],[Profit]]/Table13[[#This Row],[Total_Sales]]</f>
        <v>0.15353516875514497</v>
      </c>
      <c r="R113" s="1"/>
      <c r="S113" s="1"/>
      <c r="T113" s="1"/>
    </row>
    <row r="114" spans="1:20" x14ac:dyDescent="0.25">
      <c r="A114" s="22" t="s">
        <v>230</v>
      </c>
      <c r="B114" s="63">
        <v>45664</v>
      </c>
      <c r="C114" s="22" t="s">
        <v>231</v>
      </c>
      <c r="D114" s="22" t="str">
        <f>PROPER(TRIM(Raw_Data!D114))</f>
        <v>France</v>
      </c>
      <c r="E114" s="22" t="s">
        <v>43</v>
      </c>
      <c r="F114" s="22" t="s">
        <v>44</v>
      </c>
      <c r="G114" s="66">
        <v>16</v>
      </c>
      <c r="H114" s="2">
        <v>64.400000000000006</v>
      </c>
      <c r="I114" s="64">
        <f>PRODUCT(Table13[[#This Row],[Quantity]:[Unit_Price]])</f>
        <v>1030.4000000000001</v>
      </c>
      <c r="J114" s="2">
        <v>61.72</v>
      </c>
      <c r="K114" s="2">
        <v>328.68</v>
      </c>
      <c r="L114" s="22" t="s">
        <v>26</v>
      </c>
      <c r="M114" s="22" t="s">
        <v>27</v>
      </c>
      <c r="N114" s="22" t="s">
        <v>28</v>
      </c>
      <c r="O114" s="64">
        <f>VLOOKUP($E114,Products!$B$2:$F$11,5,0)</f>
        <v>40</v>
      </c>
      <c r="P114" s="64">
        <f>PRODUCT(Table13[[#This Row],[Quantity]],Table13[[#This Row],[Unit_Cost]])</f>
        <v>640</v>
      </c>
      <c r="Q114" s="65">
        <f>Table13[[#This Row],[Profit]]/Table13[[#This Row],[Total_Sales]]</f>
        <v>0.31898291925465838</v>
      </c>
      <c r="R114" s="1"/>
      <c r="S114" s="1"/>
      <c r="T114" s="1"/>
    </row>
    <row r="115" spans="1:20" x14ac:dyDescent="0.25">
      <c r="A115" s="22" t="s">
        <v>232</v>
      </c>
      <c r="B115" s="63">
        <v>45611</v>
      </c>
      <c r="C115" s="22" t="s">
        <v>233</v>
      </c>
      <c r="D115" s="22" t="str">
        <f>PROPER(TRIM(Raw_Data!D115))</f>
        <v>Singapore</v>
      </c>
      <c r="E115" s="22" t="s">
        <v>60</v>
      </c>
      <c r="F115" s="22" t="s">
        <v>52</v>
      </c>
      <c r="G115" s="66">
        <v>15</v>
      </c>
      <c r="H115" s="2">
        <v>19.53</v>
      </c>
      <c r="I115" s="64">
        <f>PRODUCT(Table13[[#This Row],[Quantity]:[Unit_Price]])</f>
        <v>292.95000000000005</v>
      </c>
      <c r="J115" s="2">
        <v>7.15</v>
      </c>
      <c r="K115" s="2">
        <v>53.3</v>
      </c>
      <c r="L115" s="22" t="s">
        <v>38</v>
      </c>
      <c r="M115" s="22" t="s">
        <v>27</v>
      </c>
      <c r="N115" s="22" t="s">
        <v>58</v>
      </c>
      <c r="O115" s="64">
        <f>VLOOKUP($E115,Products!$B$2:$F$11,5,0)</f>
        <v>15.5</v>
      </c>
      <c r="P115" s="64">
        <f>PRODUCT(Table13[[#This Row],[Quantity]],Table13[[#This Row],[Unit_Cost]])</f>
        <v>232.5</v>
      </c>
      <c r="Q115" s="65">
        <f>Table13[[#This Row],[Profit]]/Table13[[#This Row],[Total_Sales]]</f>
        <v>0.181942310974569</v>
      </c>
      <c r="R115" s="1"/>
      <c r="S115" s="1"/>
      <c r="T115" s="1"/>
    </row>
    <row r="116" spans="1:20" x14ac:dyDescent="0.25">
      <c r="A116" s="22" t="s">
        <v>234</v>
      </c>
      <c r="B116" s="63">
        <v>45502</v>
      </c>
      <c r="C116" s="22" t="s">
        <v>113</v>
      </c>
      <c r="D116" s="22" t="str">
        <f>PROPER(TRIM(Raw_Data!D116))</f>
        <v>Germany</v>
      </c>
      <c r="E116" s="22" t="s">
        <v>48</v>
      </c>
      <c r="F116" s="22" t="s">
        <v>37</v>
      </c>
      <c r="G116" s="66">
        <v>36</v>
      </c>
      <c r="H116" s="2">
        <v>26.05</v>
      </c>
      <c r="I116" s="64">
        <f>PRODUCT(Table13[[#This Row],[Quantity]:[Unit_Price]])</f>
        <v>937.80000000000007</v>
      </c>
      <c r="J116" s="2">
        <v>32.799999999999997</v>
      </c>
      <c r="K116" s="2">
        <v>185</v>
      </c>
      <c r="L116" s="22" t="s">
        <v>19</v>
      </c>
      <c r="M116" s="22" t="s">
        <v>32</v>
      </c>
      <c r="N116" s="22" t="s">
        <v>28</v>
      </c>
      <c r="O116" s="64">
        <f>VLOOKUP($E116,Products!$B$2:$F$11,5,0)</f>
        <v>20</v>
      </c>
      <c r="P116" s="64">
        <f>PRODUCT(Table13[[#This Row],[Quantity]],Table13[[#This Row],[Unit_Cost]])</f>
        <v>720</v>
      </c>
      <c r="Q116" s="65">
        <f>Table13[[#This Row],[Profit]]/Table13[[#This Row],[Total_Sales]]</f>
        <v>0.19727020686713584</v>
      </c>
      <c r="R116" s="1"/>
      <c r="S116" s="1"/>
      <c r="T116" s="1"/>
    </row>
    <row r="117" spans="1:20" x14ac:dyDescent="0.25">
      <c r="A117" s="22" t="s">
        <v>235</v>
      </c>
      <c r="B117" s="63">
        <v>45329</v>
      </c>
      <c r="C117" s="22" t="s">
        <v>54</v>
      </c>
      <c r="D117" s="22" t="str">
        <f>PROPER(TRIM(Raw_Data!D117))</f>
        <v>South Africa</v>
      </c>
      <c r="E117" s="22" t="s">
        <v>36</v>
      </c>
      <c r="F117" s="22" t="s">
        <v>37</v>
      </c>
      <c r="G117" s="66">
        <v>26</v>
      </c>
      <c r="H117" s="2">
        <v>47.52</v>
      </c>
      <c r="I117" s="64">
        <f>PRODUCT(Table13[[#This Row],[Quantity]:[Unit_Price]])</f>
        <v>1235.52</v>
      </c>
      <c r="J117" s="2">
        <v>31.41</v>
      </c>
      <c r="K117" s="2">
        <v>372.11</v>
      </c>
      <c r="L117" s="22" t="s">
        <v>26</v>
      </c>
      <c r="M117" s="22" t="s">
        <v>20</v>
      </c>
      <c r="N117" s="22" t="s">
        <v>87</v>
      </c>
      <c r="O117" s="64">
        <f>VLOOKUP($E117,Products!$B$2:$F$11,5,0)</f>
        <v>32</v>
      </c>
      <c r="P117" s="64">
        <f>PRODUCT(Table13[[#This Row],[Quantity]],Table13[[#This Row],[Unit_Cost]])</f>
        <v>832</v>
      </c>
      <c r="Q117" s="65">
        <f>Table13[[#This Row],[Profit]]/Table13[[#This Row],[Total_Sales]]</f>
        <v>0.30117683242683246</v>
      </c>
      <c r="R117" s="1"/>
      <c r="S117" s="1"/>
      <c r="T117" s="1"/>
    </row>
    <row r="118" spans="1:20" x14ac:dyDescent="0.25">
      <c r="A118" s="22" t="s">
        <v>236</v>
      </c>
      <c r="B118" s="63">
        <v>45564</v>
      </c>
      <c r="C118" s="22" t="s">
        <v>211</v>
      </c>
      <c r="D118" s="22" t="str">
        <f>PROPER(TRIM(Raw_Data!D118))</f>
        <v>France</v>
      </c>
      <c r="E118" s="22" t="s">
        <v>25</v>
      </c>
      <c r="F118" s="22" t="s">
        <v>18</v>
      </c>
      <c r="G118" s="66">
        <v>38</v>
      </c>
      <c r="H118" s="2">
        <v>26.38</v>
      </c>
      <c r="I118" s="64">
        <f>PRODUCT(Table13[[#This Row],[Quantity]:[Unit_Price]])</f>
        <v>1002.4399999999999</v>
      </c>
      <c r="J118" s="2">
        <v>33.049999999999997</v>
      </c>
      <c r="K118" s="2">
        <v>285.39</v>
      </c>
      <c r="L118" s="22" t="s">
        <v>26</v>
      </c>
      <c r="M118" s="22" t="s">
        <v>20</v>
      </c>
      <c r="N118" s="22" t="s">
        <v>28</v>
      </c>
      <c r="O118" s="64">
        <f>VLOOKUP($E118,Products!$B$2:$F$11,5,0)</f>
        <v>18</v>
      </c>
      <c r="P118" s="64">
        <f>PRODUCT(Table13[[#This Row],[Quantity]],Table13[[#This Row],[Unit_Cost]])</f>
        <v>684</v>
      </c>
      <c r="Q118" s="65">
        <f>Table13[[#This Row],[Profit]]/Table13[[#This Row],[Total_Sales]]</f>
        <v>0.28469534336219626</v>
      </c>
      <c r="R118" s="1"/>
      <c r="S118" s="1"/>
      <c r="T118" s="1"/>
    </row>
    <row r="119" spans="1:20" x14ac:dyDescent="0.25">
      <c r="A119" s="22" t="s">
        <v>237</v>
      </c>
      <c r="B119" s="63">
        <v>45755</v>
      </c>
      <c r="C119" s="22" t="s">
        <v>139</v>
      </c>
      <c r="D119" s="22" t="str">
        <f>PROPER(TRIM(Raw_Data!D119))</f>
        <v>Japan</v>
      </c>
      <c r="E119" s="22" t="s">
        <v>63</v>
      </c>
      <c r="F119" s="22" t="s">
        <v>37</v>
      </c>
      <c r="G119" s="66">
        <v>7</v>
      </c>
      <c r="H119" s="2">
        <v>17.66</v>
      </c>
      <c r="I119" s="64">
        <f>PRODUCT(Table13[[#This Row],[Quantity]:[Unit_Price]])</f>
        <v>123.62</v>
      </c>
      <c r="J119" s="2">
        <v>6.95</v>
      </c>
      <c r="K119" s="2">
        <v>27.42</v>
      </c>
      <c r="L119" s="22" t="s">
        <v>19</v>
      </c>
      <c r="M119" s="22" t="s">
        <v>20</v>
      </c>
      <c r="N119" s="22" t="s">
        <v>58</v>
      </c>
      <c r="O119" s="64">
        <f>VLOOKUP($E119,Products!$B$2:$F$11,5,0)</f>
        <v>12.75</v>
      </c>
      <c r="P119" s="64">
        <f>PRODUCT(Table13[[#This Row],[Quantity]],Table13[[#This Row],[Unit_Cost]])</f>
        <v>89.25</v>
      </c>
      <c r="Q119" s="65">
        <f>Table13[[#This Row],[Profit]]/Table13[[#This Row],[Total_Sales]]</f>
        <v>0.22180876880763631</v>
      </c>
      <c r="R119" s="1"/>
      <c r="S119" s="1"/>
      <c r="T119" s="1"/>
    </row>
    <row r="120" spans="1:20" x14ac:dyDescent="0.25">
      <c r="A120" s="22" t="s">
        <v>238</v>
      </c>
      <c r="B120" s="63">
        <v>45608</v>
      </c>
      <c r="C120" s="22" t="s">
        <v>142</v>
      </c>
      <c r="D120" s="22" t="str">
        <f>PROPER(TRIM(Raw_Data!D120))</f>
        <v>Australia</v>
      </c>
      <c r="E120" s="22" t="s">
        <v>17</v>
      </c>
      <c r="F120" s="22" t="s">
        <v>18</v>
      </c>
      <c r="G120" s="66">
        <v>26</v>
      </c>
      <c r="H120" s="2">
        <v>51.5</v>
      </c>
      <c r="I120" s="64">
        <f>PRODUCT(Table13[[#This Row],[Quantity]:[Unit_Price]])</f>
        <v>1339</v>
      </c>
      <c r="J120" s="2">
        <v>92.09</v>
      </c>
      <c r="K120" s="2">
        <v>336.91</v>
      </c>
      <c r="L120" s="22" t="s">
        <v>26</v>
      </c>
      <c r="M120" s="22" t="s">
        <v>27</v>
      </c>
      <c r="N120" s="22" t="s">
        <v>130</v>
      </c>
      <c r="O120" s="64">
        <f>VLOOKUP($E120,Products!$B$2:$F$11,5,0)</f>
        <v>35</v>
      </c>
      <c r="P120" s="64">
        <f>PRODUCT(Table13[[#This Row],[Quantity]],Table13[[#This Row],[Unit_Cost]])</f>
        <v>910</v>
      </c>
      <c r="Q120" s="65">
        <f>Table13[[#This Row],[Profit]]/Table13[[#This Row],[Total_Sales]]</f>
        <v>0.25161314413741598</v>
      </c>
      <c r="R120" s="1"/>
      <c r="S120" s="1"/>
      <c r="T120" s="1"/>
    </row>
    <row r="121" spans="1:20" x14ac:dyDescent="0.25">
      <c r="A121" s="22" t="s">
        <v>239</v>
      </c>
      <c r="B121" s="63">
        <v>45759</v>
      </c>
      <c r="C121" s="22" t="s">
        <v>240</v>
      </c>
      <c r="D121" s="22" t="str">
        <f>PROPER(TRIM(Raw_Data!D121))</f>
        <v>Usa</v>
      </c>
      <c r="E121" s="22" t="s">
        <v>60</v>
      </c>
      <c r="F121" s="22" t="s">
        <v>52</v>
      </c>
      <c r="G121" s="66">
        <v>27</v>
      </c>
      <c r="H121" s="2">
        <v>25</v>
      </c>
      <c r="I121" s="64">
        <f>PRODUCT(Table13[[#This Row],[Quantity]:[Unit_Price]])</f>
        <v>675</v>
      </c>
      <c r="J121" s="2">
        <v>15.49</v>
      </c>
      <c r="K121" s="2">
        <v>241.01</v>
      </c>
      <c r="L121" s="22" t="s">
        <v>26</v>
      </c>
      <c r="M121" s="22" t="s">
        <v>27</v>
      </c>
      <c r="N121" s="22" t="s">
        <v>21</v>
      </c>
      <c r="O121" s="64">
        <f>VLOOKUP($E121,Products!$B$2:$F$11,5,0)</f>
        <v>15.5</v>
      </c>
      <c r="P121" s="64">
        <f>PRODUCT(Table13[[#This Row],[Quantity]],Table13[[#This Row],[Unit_Cost]])</f>
        <v>418.5</v>
      </c>
      <c r="Q121" s="65">
        <f>Table13[[#This Row],[Profit]]/Table13[[#This Row],[Total_Sales]]</f>
        <v>0.35705185185185184</v>
      </c>
      <c r="R121" s="1"/>
      <c r="S121" s="1"/>
      <c r="T121" s="1"/>
    </row>
    <row r="122" spans="1:20" x14ac:dyDescent="0.25">
      <c r="A122" s="22" t="s">
        <v>241</v>
      </c>
      <c r="B122" s="63">
        <v>45497</v>
      </c>
      <c r="C122" s="22" t="s">
        <v>46</v>
      </c>
      <c r="D122" s="22" t="str">
        <f>PROPER(TRIM(Raw_Data!D122))</f>
        <v>South Africa</v>
      </c>
      <c r="E122" s="22" t="s">
        <v>63</v>
      </c>
      <c r="F122" s="22" t="s">
        <v>37</v>
      </c>
      <c r="G122" s="66">
        <v>4</v>
      </c>
      <c r="H122" s="2">
        <v>19</v>
      </c>
      <c r="I122" s="64">
        <f>PRODUCT(Table13[[#This Row],[Quantity]:[Unit_Price]])</f>
        <v>76</v>
      </c>
      <c r="J122" s="2">
        <v>3.78</v>
      </c>
      <c r="K122" s="2">
        <v>21.22</v>
      </c>
      <c r="L122" s="22" t="s">
        <v>26</v>
      </c>
      <c r="M122" s="22" t="s">
        <v>32</v>
      </c>
      <c r="N122" s="22" t="s">
        <v>87</v>
      </c>
      <c r="O122" s="64">
        <f>VLOOKUP($E122,Products!$B$2:$F$11,5,0)</f>
        <v>12.75</v>
      </c>
      <c r="P122" s="64">
        <f>PRODUCT(Table13[[#This Row],[Quantity]],Table13[[#This Row],[Unit_Cost]])</f>
        <v>51</v>
      </c>
      <c r="Q122" s="65">
        <f>Table13[[#This Row],[Profit]]/Table13[[#This Row],[Total_Sales]]</f>
        <v>0.27921052631578946</v>
      </c>
      <c r="R122" s="1"/>
      <c r="S122" s="1"/>
      <c r="T122" s="1"/>
    </row>
    <row r="123" spans="1:20" x14ac:dyDescent="0.25">
      <c r="A123" s="22" t="s">
        <v>242</v>
      </c>
      <c r="B123" s="63">
        <v>45426</v>
      </c>
      <c r="C123" s="22" t="s">
        <v>193</v>
      </c>
      <c r="D123" s="22" t="str">
        <f>PROPER(TRIM(Raw_Data!D123))</f>
        <v>Canada</v>
      </c>
      <c r="E123" s="22" t="s">
        <v>60</v>
      </c>
      <c r="F123" s="22" t="s">
        <v>52</v>
      </c>
      <c r="G123" s="66">
        <v>24</v>
      </c>
      <c r="H123" s="2">
        <v>26.63</v>
      </c>
      <c r="I123" s="64">
        <f>PRODUCT(Table13[[#This Row],[Quantity]:[Unit_Price]])</f>
        <v>639.12</v>
      </c>
      <c r="J123" s="2">
        <v>31.92</v>
      </c>
      <c r="K123" s="2">
        <v>235.2</v>
      </c>
      <c r="L123" s="22" t="s">
        <v>38</v>
      </c>
      <c r="M123" s="22" t="s">
        <v>32</v>
      </c>
      <c r="N123" s="22" t="s">
        <v>21</v>
      </c>
      <c r="O123" s="64">
        <f>VLOOKUP($E123,Products!$B$2:$F$11,5,0)</f>
        <v>15.5</v>
      </c>
      <c r="P123" s="64">
        <f>PRODUCT(Table13[[#This Row],[Quantity]],Table13[[#This Row],[Unit_Cost]])</f>
        <v>372</v>
      </c>
      <c r="Q123" s="65">
        <f>Table13[[#This Row],[Profit]]/Table13[[#This Row],[Total_Sales]]</f>
        <v>0.36800600826135937</v>
      </c>
      <c r="R123" s="1"/>
      <c r="S123" s="1"/>
      <c r="T123" s="1"/>
    </row>
    <row r="124" spans="1:20" x14ac:dyDescent="0.25">
      <c r="A124" s="22" t="s">
        <v>243</v>
      </c>
      <c r="B124" s="63">
        <v>45661</v>
      </c>
      <c r="C124" s="22" t="s">
        <v>81</v>
      </c>
      <c r="D124" s="22" t="str">
        <f>PROPER(TRIM(Raw_Data!D124))</f>
        <v>Singapore</v>
      </c>
      <c r="E124" s="22" t="s">
        <v>56</v>
      </c>
      <c r="F124" s="22" t="s">
        <v>57</v>
      </c>
      <c r="G124" s="66">
        <v>26</v>
      </c>
      <c r="H124" s="2">
        <v>43.14</v>
      </c>
      <c r="I124" s="64">
        <f>PRODUCT(Table13[[#This Row],[Quantity]:[Unit_Price]])</f>
        <v>1121.6400000000001</v>
      </c>
      <c r="J124" s="2">
        <v>48.08</v>
      </c>
      <c r="K124" s="2">
        <v>423.56</v>
      </c>
      <c r="L124" s="22" t="s">
        <v>19</v>
      </c>
      <c r="M124" s="22" t="s">
        <v>27</v>
      </c>
      <c r="N124" s="22" t="s">
        <v>58</v>
      </c>
      <c r="O124" s="64">
        <f>VLOOKUP($E124,Products!$B$2:$F$11,5,0)</f>
        <v>25</v>
      </c>
      <c r="P124" s="64">
        <f>PRODUCT(Table13[[#This Row],[Quantity]],Table13[[#This Row],[Unit_Cost]])</f>
        <v>650</v>
      </c>
      <c r="Q124" s="65">
        <f>Table13[[#This Row],[Profit]]/Table13[[#This Row],[Total_Sales]]</f>
        <v>0.37762561962840124</v>
      </c>
      <c r="R124" s="1"/>
      <c r="S124" s="1"/>
      <c r="T124" s="1"/>
    </row>
    <row r="125" spans="1:20" x14ac:dyDescent="0.25">
      <c r="A125" s="22" t="s">
        <v>244</v>
      </c>
      <c r="B125" s="63">
        <v>45643</v>
      </c>
      <c r="C125" s="22" t="s">
        <v>199</v>
      </c>
      <c r="D125" s="22" t="str">
        <f>PROPER(TRIM(Raw_Data!D125))</f>
        <v>Canada</v>
      </c>
      <c r="E125" s="22" t="s">
        <v>56</v>
      </c>
      <c r="F125" s="22" t="s">
        <v>57</v>
      </c>
      <c r="G125" s="66">
        <v>39</v>
      </c>
      <c r="H125" s="2">
        <v>30.01</v>
      </c>
      <c r="I125" s="64">
        <f>PRODUCT(Table13[[#This Row],[Quantity]:[Unit_Price]])</f>
        <v>1170.3900000000001</v>
      </c>
      <c r="J125" s="2">
        <v>60.43</v>
      </c>
      <c r="K125" s="2">
        <v>134.96</v>
      </c>
      <c r="L125" s="22" t="s">
        <v>26</v>
      </c>
      <c r="M125" s="22" t="s">
        <v>20</v>
      </c>
      <c r="N125" s="22" t="s">
        <v>21</v>
      </c>
      <c r="O125" s="64">
        <f>VLOOKUP($E125,Products!$B$2:$F$11,5,0)</f>
        <v>25</v>
      </c>
      <c r="P125" s="64">
        <f>PRODUCT(Table13[[#This Row],[Quantity]],Table13[[#This Row],[Unit_Cost]])</f>
        <v>975</v>
      </c>
      <c r="Q125" s="65">
        <f>Table13[[#This Row],[Profit]]/Table13[[#This Row],[Total_Sales]]</f>
        <v>0.11531199002042054</v>
      </c>
      <c r="R125" s="1"/>
      <c r="S125" s="1"/>
      <c r="T125" s="1"/>
    </row>
    <row r="126" spans="1:20" x14ac:dyDescent="0.25">
      <c r="A126" s="22" t="s">
        <v>245</v>
      </c>
      <c r="B126" s="63">
        <v>45655</v>
      </c>
      <c r="C126" s="22" t="s">
        <v>246</v>
      </c>
      <c r="D126" s="22" t="str">
        <f>PROPER(TRIM(Raw_Data!D126))</f>
        <v>Germany</v>
      </c>
      <c r="E126" s="22" t="s">
        <v>51</v>
      </c>
      <c r="F126" s="22" t="s">
        <v>52</v>
      </c>
      <c r="G126" s="66">
        <v>5</v>
      </c>
      <c r="H126" s="2">
        <v>31.31</v>
      </c>
      <c r="I126" s="64">
        <f>PRODUCT(Table13[[#This Row],[Quantity]:[Unit_Price]])</f>
        <v>156.54999999999998</v>
      </c>
      <c r="J126" s="2">
        <v>4.04</v>
      </c>
      <c r="K126" s="2">
        <v>40.01</v>
      </c>
      <c r="L126" s="22" t="s">
        <v>38</v>
      </c>
      <c r="M126" s="22" t="s">
        <v>32</v>
      </c>
      <c r="N126" s="22" t="s">
        <v>28</v>
      </c>
      <c r="O126" s="64">
        <f>VLOOKUP($E126,Products!$B$2:$F$11,5,0)</f>
        <v>22.5</v>
      </c>
      <c r="P126" s="64">
        <f>PRODUCT(Table13[[#This Row],[Quantity]],Table13[[#This Row],[Unit_Cost]])</f>
        <v>112.5</v>
      </c>
      <c r="Q126" s="65">
        <f>Table13[[#This Row],[Profit]]/Table13[[#This Row],[Total_Sales]]</f>
        <v>0.25557329926541045</v>
      </c>
      <c r="R126" s="1"/>
      <c r="S126" s="1"/>
      <c r="T126" s="1"/>
    </row>
    <row r="127" spans="1:20" x14ac:dyDescent="0.25">
      <c r="A127" s="22" t="s">
        <v>247</v>
      </c>
      <c r="B127" s="63">
        <v>45535</v>
      </c>
      <c r="C127" s="22" t="s">
        <v>183</v>
      </c>
      <c r="D127" s="22" t="str">
        <f>PROPER(TRIM(Raw_Data!D127))</f>
        <v>Usa</v>
      </c>
      <c r="E127" s="22" t="s">
        <v>83</v>
      </c>
      <c r="F127" s="22" t="s">
        <v>52</v>
      </c>
      <c r="G127" s="66">
        <v>42</v>
      </c>
      <c r="H127" s="2">
        <v>36.950000000000003</v>
      </c>
      <c r="I127" s="64">
        <f>PRODUCT(Table13[[#This Row],[Quantity]:[Unit_Price]])</f>
        <v>1551.9</v>
      </c>
      <c r="J127" s="2">
        <v>74.260000000000005</v>
      </c>
      <c r="K127" s="2">
        <v>301.64</v>
      </c>
      <c r="L127" s="22" t="s">
        <v>26</v>
      </c>
      <c r="M127" s="22" t="s">
        <v>27</v>
      </c>
      <c r="N127" s="22" t="s">
        <v>21</v>
      </c>
      <c r="O127" s="64">
        <f>VLOOKUP($E127,Products!$B$2:$F$11,5,0)</f>
        <v>28</v>
      </c>
      <c r="P127" s="64">
        <f>PRODUCT(Table13[[#This Row],[Quantity]],Table13[[#This Row],[Unit_Cost]])</f>
        <v>1176</v>
      </c>
      <c r="Q127" s="65">
        <f>Table13[[#This Row],[Profit]]/Table13[[#This Row],[Total_Sales]]</f>
        <v>0.19436819382692183</v>
      </c>
      <c r="R127" s="1"/>
      <c r="S127" s="1"/>
      <c r="T127" s="1"/>
    </row>
    <row r="128" spans="1:20" x14ac:dyDescent="0.25">
      <c r="A128" s="22" t="s">
        <v>248</v>
      </c>
      <c r="B128" s="63">
        <v>45682</v>
      </c>
      <c r="C128" s="22" t="s">
        <v>249</v>
      </c>
      <c r="D128" s="22" t="str">
        <f>PROPER(TRIM(Raw_Data!D128))</f>
        <v>Singapore</v>
      </c>
      <c r="E128" s="22" t="s">
        <v>43</v>
      </c>
      <c r="F128" s="22" t="s">
        <v>44</v>
      </c>
      <c r="G128" s="66">
        <v>36</v>
      </c>
      <c r="H128" s="2">
        <v>57.37</v>
      </c>
      <c r="I128" s="64">
        <f>PRODUCT(Table13[[#This Row],[Quantity]:[Unit_Price]])</f>
        <v>2065.3199999999997</v>
      </c>
      <c r="J128" s="2">
        <v>94.34</v>
      </c>
      <c r="K128" s="2">
        <v>530.98</v>
      </c>
      <c r="L128" s="22" t="s">
        <v>38</v>
      </c>
      <c r="M128" s="22" t="s">
        <v>20</v>
      </c>
      <c r="N128" s="22" t="s">
        <v>58</v>
      </c>
      <c r="O128" s="64">
        <f>VLOOKUP($E128,Products!$B$2:$F$11,5,0)</f>
        <v>40</v>
      </c>
      <c r="P128" s="64">
        <f>PRODUCT(Table13[[#This Row],[Quantity]],Table13[[#This Row],[Unit_Cost]])</f>
        <v>1440</v>
      </c>
      <c r="Q128" s="65">
        <f>Table13[[#This Row],[Profit]]/Table13[[#This Row],[Total_Sales]]</f>
        <v>0.25709333178393667</v>
      </c>
      <c r="R128" s="1"/>
      <c r="S128" s="1"/>
      <c r="T128" s="1"/>
    </row>
    <row r="129" spans="1:20" x14ac:dyDescent="0.25">
      <c r="A129" s="22" t="s">
        <v>250</v>
      </c>
      <c r="B129" s="63">
        <v>45625</v>
      </c>
      <c r="C129" s="22" t="s">
        <v>34</v>
      </c>
      <c r="D129" s="22" t="str">
        <f>PROPER(TRIM(Raw_Data!D129))</f>
        <v>Uae</v>
      </c>
      <c r="E129" s="22" t="s">
        <v>83</v>
      </c>
      <c r="F129" s="22" t="s">
        <v>52</v>
      </c>
      <c r="G129" s="66">
        <v>13</v>
      </c>
      <c r="H129" s="2">
        <v>40.18</v>
      </c>
      <c r="I129" s="64">
        <f>PRODUCT(Table13[[#This Row],[Quantity]:[Unit_Price]])</f>
        <v>522.34</v>
      </c>
      <c r="J129" s="2">
        <v>37.369999999999997</v>
      </c>
      <c r="K129" s="2">
        <v>120.97</v>
      </c>
      <c r="L129" s="22" t="s">
        <v>26</v>
      </c>
      <c r="M129" s="22" t="s">
        <v>32</v>
      </c>
      <c r="N129" s="22" t="s">
        <v>58</v>
      </c>
      <c r="O129" s="64">
        <f>VLOOKUP($E129,Products!$B$2:$F$11,5,0)</f>
        <v>28</v>
      </c>
      <c r="P129" s="64">
        <f>PRODUCT(Table13[[#This Row],[Quantity]],Table13[[#This Row],[Unit_Cost]])</f>
        <v>364</v>
      </c>
      <c r="Q129" s="65">
        <f>Table13[[#This Row],[Profit]]/Table13[[#This Row],[Total_Sales]]</f>
        <v>0.23159244936248419</v>
      </c>
      <c r="R129" s="1"/>
      <c r="S129" s="1"/>
      <c r="T129" s="1"/>
    </row>
    <row r="130" spans="1:20" x14ac:dyDescent="0.25">
      <c r="A130" s="22" t="s">
        <v>251</v>
      </c>
      <c r="B130" s="63">
        <v>45758</v>
      </c>
      <c r="C130" s="22" t="s">
        <v>207</v>
      </c>
      <c r="D130" s="22" t="str">
        <f>PROPER(TRIM(Raw_Data!D130))</f>
        <v>Japan</v>
      </c>
      <c r="E130" s="22" t="s">
        <v>36</v>
      </c>
      <c r="F130" s="22" t="s">
        <v>37</v>
      </c>
      <c r="G130" s="66">
        <v>37</v>
      </c>
      <c r="H130" s="2">
        <v>39.299999999999997</v>
      </c>
      <c r="I130" s="64">
        <f>PRODUCT(Table13[[#This Row],[Quantity]:[Unit_Price]])</f>
        <v>1454.1</v>
      </c>
      <c r="J130" s="2">
        <v>67.08</v>
      </c>
      <c r="K130" s="2">
        <v>203.02</v>
      </c>
      <c r="L130" s="22" t="s">
        <v>38</v>
      </c>
      <c r="M130" s="22" t="s">
        <v>20</v>
      </c>
      <c r="N130" s="22" t="s">
        <v>58</v>
      </c>
      <c r="O130" s="64">
        <f>VLOOKUP($E130,Products!$B$2:$F$11,5,0)</f>
        <v>32</v>
      </c>
      <c r="P130" s="64">
        <f>PRODUCT(Table13[[#This Row],[Quantity]],Table13[[#This Row],[Unit_Cost]])</f>
        <v>1184</v>
      </c>
      <c r="Q130" s="65">
        <f>Table13[[#This Row],[Profit]]/Table13[[#This Row],[Total_Sales]]</f>
        <v>0.13961900832129842</v>
      </c>
      <c r="R130" s="1"/>
      <c r="S130" s="1"/>
      <c r="T130" s="1"/>
    </row>
    <row r="131" spans="1:20" x14ac:dyDescent="0.25">
      <c r="A131" s="22" t="s">
        <v>252</v>
      </c>
      <c r="B131" s="63">
        <v>45760</v>
      </c>
      <c r="C131" s="22" t="s">
        <v>193</v>
      </c>
      <c r="D131" s="22" t="str">
        <f>PROPER(TRIM(Raw_Data!D131))</f>
        <v>Canada</v>
      </c>
      <c r="E131" s="22" t="s">
        <v>36</v>
      </c>
      <c r="F131" s="22" t="s">
        <v>37</v>
      </c>
      <c r="G131" s="66">
        <v>17</v>
      </c>
      <c r="H131" s="2">
        <v>43.28</v>
      </c>
      <c r="I131" s="64">
        <f>PRODUCT(Table13[[#This Row],[Quantity]:[Unit_Price]])</f>
        <v>735.76</v>
      </c>
      <c r="J131" s="2">
        <v>50.96</v>
      </c>
      <c r="K131" s="2">
        <v>140.80000000000001</v>
      </c>
      <c r="L131" s="22" t="s">
        <v>26</v>
      </c>
      <c r="M131" s="22" t="s">
        <v>27</v>
      </c>
      <c r="N131" s="22" t="s">
        <v>21</v>
      </c>
      <c r="O131" s="64">
        <f>VLOOKUP($E131,Products!$B$2:$F$11,5,0)</f>
        <v>32</v>
      </c>
      <c r="P131" s="64">
        <f>PRODUCT(Table13[[#This Row],[Quantity]],Table13[[#This Row],[Unit_Cost]])</f>
        <v>544</v>
      </c>
      <c r="Q131" s="65">
        <f>Table13[[#This Row],[Profit]]/Table13[[#This Row],[Total_Sales]]</f>
        <v>0.19136675002718279</v>
      </c>
      <c r="R131" s="1"/>
      <c r="S131" s="1"/>
      <c r="T131" s="1"/>
    </row>
    <row r="132" spans="1:20" x14ac:dyDescent="0.25">
      <c r="A132" s="22" t="s">
        <v>253</v>
      </c>
      <c r="B132" s="63">
        <v>45570</v>
      </c>
      <c r="C132" s="22" t="s">
        <v>15</v>
      </c>
      <c r="D132" s="22" t="str">
        <f>PROPER(TRIM(Raw_Data!D132))</f>
        <v>Uae</v>
      </c>
      <c r="E132" s="22" t="s">
        <v>17</v>
      </c>
      <c r="F132" s="22" t="s">
        <v>18</v>
      </c>
      <c r="G132" s="66">
        <v>22</v>
      </c>
      <c r="H132" s="2">
        <v>62.79</v>
      </c>
      <c r="I132" s="64">
        <f>PRODUCT(Table13[[#This Row],[Quantity]:[Unit_Price]])</f>
        <v>1381.3799999999999</v>
      </c>
      <c r="J132" s="2">
        <v>75.84</v>
      </c>
      <c r="K132" s="2">
        <v>535.54</v>
      </c>
      <c r="L132" s="22" t="s">
        <v>38</v>
      </c>
      <c r="M132" s="22" t="s">
        <v>32</v>
      </c>
      <c r="N132" s="22" t="s">
        <v>58</v>
      </c>
      <c r="O132" s="64">
        <f>VLOOKUP($E132,Products!$B$2:$F$11,5,0)</f>
        <v>35</v>
      </c>
      <c r="P132" s="64">
        <f>PRODUCT(Table13[[#This Row],[Quantity]],Table13[[#This Row],[Unit_Cost]])</f>
        <v>770</v>
      </c>
      <c r="Q132" s="65">
        <f>Table13[[#This Row],[Profit]]/Table13[[#This Row],[Total_Sales]]</f>
        <v>0.38768477898912684</v>
      </c>
      <c r="R132" s="1"/>
      <c r="S132" s="1"/>
      <c r="T132" s="1"/>
    </row>
    <row r="133" spans="1:20" x14ac:dyDescent="0.25">
      <c r="A133" s="22" t="s">
        <v>254</v>
      </c>
      <c r="B133" s="63">
        <v>45763</v>
      </c>
      <c r="C133" s="22" t="s">
        <v>156</v>
      </c>
      <c r="D133" s="22" t="str">
        <f>PROPER(TRIM(Raw_Data!D133))</f>
        <v>Germany</v>
      </c>
      <c r="E133" s="22" t="s">
        <v>43</v>
      </c>
      <c r="F133" s="22" t="s">
        <v>44</v>
      </c>
      <c r="G133" s="66">
        <v>23</v>
      </c>
      <c r="H133" s="2">
        <v>56.76</v>
      </c>
      <c r="I133" s="64">
        <f>PRODUCT(Table13[[#This Row],[Quantity]:[Unit_Price]])</f>
        <v>1305.48</v>
      </c>
      <c r="J133" s="2">
        <v>62.93</v>
      </c>
      <c r="K133" s="2">
        <v>322.55</v>
      </c>
      <c r="L133" s="22" t="s">
        <v>38</v>
      </c>
      <c r="M133" s="22" t="s">
        <v>32</v>
      </c>
      <c r="N133" s="22" t="s">
        <v>28</v>
      </c>
      <c r="O133" s="64">
        <f>VLOOKUP($E133,Products!$B$2:$F$11,5,0)</f>
        <v>40</v>
      </c>
      <c r="P133" s="64">
        <f>PRODUCT(Table13[[#This Row],[Quantity]],Table13[[#This Row],[Unit_Cost]])</f>
        <v>920</v>
      </c>
      <c r="Q133" s="65">
        <f>Table13[[#This Row],[Profit]]/Table13[[#This Row],[Total_Sales]]</f>
        <v>0.24707387321138585</v>
      </c>
      <c r="R133" s="1"/>
      <c r="S133" s="1"/>
      <c r="T133" s="1"/>
    </row>
    <row r="134" spans="1:20" x14ac:dyDescent="0.25">
      <c r="A134" s="22" t="s">
        <v>255</v>
      </c>
      <c r="B134" s="63">
        <v>45484</v>
      </c>
      <c r="C134" s="22" t="s">
        <v>30</v>
      </c>
      <c r="D134" s="22" t="str">
        <f>PROPER(TRIM(Raw_Data!D134))</f>
        <v>Uk</v>
      </c>
      <c r="E134" s="22" t="s">
        <v>43</v>
      </c>
      <c r="F134" s="22" t="s">
        <v>44</v>
      </c>
      <c r="G134" s="66">
        <v>22</v>
      </c>
      <c r="H134" s="2">
        <v>60.13</v>
      </c>
      <c r="I134" s="64">
        <f>PRODUCT(Table13[[#This Row],[Quantity]:[Unit_Price]])</f>
        <v>1322.8600000000001</v>
      </c>
      <c r="J134" s="2">
        <v>54.06</v>
      </c>
      <c r="K134" s="2">
        <v>388.8</v>
      </c>
      <c r="L134" s="22" t="s">
        <v>38</v>
      </c>
      <c r="M134" s="22" t="s">
        <v>27</v>
      </c>
      <c r="N134" s="22" t="s">
        <v>28</v>
      </c>
      <c r="O134" s="64">
        <f>VLOOKUP($E134,Products!$B$2:$F$11,5,0)</f>
        <v>40</v>
      </c>
      <c r="P134" s="64">
        <f>PRODUCT(Table13[[#This Row],[Quantity]],Table13[[#This Row],[Unit_Cost]])</f>
        <v>880</v>
      </c>
      <c r="Q134" s="65">
        <f>Table13[[#This Row],[Profit]]/Table13[[#This Row],[Total_Sales]]</f>
        <v>0.29390865246511344</v>
      </c>
      <c r="R134" s="1"/>
      <c r="S134" s="1"/>
      <c r="T134" s="1"/>
    </row>
    <row r="135" spans="1:20" x14ac:dyDescent="0.25">
      <c r="A135" s="22" t="s">
        <v>256</v>
      </c>
      <c r="B135" s="63">
        <v>45661</v>
      </c>
      <c r="C135" s="22" t="s">
        <v>257</v>
      </c>
      <c r="D135" s="22" t="str">
        <f>PROPER(TRIM(Raw_Data!D135))</f>
        <v>Singapore</v>
      </c>
      <c r="E135" s="22" t="s">
        <v>56</v>
      </c>
      <c r="F135" s="22" t="s">
        <v>57</v>
      </c>
      <c r="G135" s="66">
        <v>21</v>
      </c>
      <c r="H135" s="2">
        <v>40.98</v>
      </c>
      <c r="I135" s="64">
        <f>PRODUCT(Table13[[#This Row],[Quantity]:[Unit_Price]])</f>
        <v>860.57999999999993</v>
      </c>
      <c r="J135" s="2">
        <v>37.01</v>
      </c>
      <c r="K135" s="2">
        <v>298.57</v>
      </c>
      <c r="L135" s="22" t="s">
        <v>19</v>
      </c>
      <c r="M135" s="22" t="s">
        <v>32</v>
      </c>
      <c r="N135" s="22" t="s">
        <v>58</v>
      </c>
      <c r="O135" s="64">
        <f>VLOOKUP($E135,Products!$B$2:$F$11,5,0)</f>
        <v>25</v>
      </c>
      <c r="P135" s="64">
        <f>PRODUCT(Table13[[#This Row],[Quantity]],Table13[[#This Row],[Unit_Cost]])</f>
        <v>525</v>
      </c>
      <c r="Q135" s="65">
        <f>Table13[[#This Row],[Profit]]/Table13[[#This Row],[Total_Sales]]</f>
        <v>0.34694043552023057</v>
      </c>
      <c r="R135" s="1"/>
      <c r="S135" s="1"/>
      <c r="T135" s="1"/>
    </row>
    <row r="136" spans="1:20" x14ac:dyDescent="0.25">
      <c r="A136" s="22" t="s">
        <v>258</v>
      </c>
      <c r="B136" s="63">
        <v>45651</v>
      </c>
      <c r="C136" s="22" t="s">
        <v>117</v>
      </c>
      <c r="D136" s="22" t="str">
        <f>PROPER(TRIM(Raw_Data!D136))</f>
        <v>Brazil</v>
      </c>
      <c r="E136" s="22" t="s">
        <v>43</v>
      </c>
      <c r="F136" s="22" t="s">
        <v>44</v>
      </c>
      <c r="G136" s="66">
        <v>36</v>
      </c>
      <c r="H136" s="2">
        <v>54.6</v>
      </c>
      <c r="I136" s="64">
        <f>PRODUCT(Table13[[#This Row],[Quantity]:[Unit_Price]])</f>
        <v>1965.6000000000001</v>
      </c>
      <c r="J136" s="2">
        <v>150.34</v>
      </c>
      <c r="K136" s="2">
        <v>375.26</v>
      </c>
      <c r="L136" s="22" t="s">
        <v>26</v>
      </c>
      <c r="M136" s="22" t="s">
        <v>20</v>
      </c>
      <c r="N136" s="22" t="s">
        <v>39</v>
      </c>
      <c r="O136" s="64">
        <f>VLOOKUP($E136,Products!$B$2:$F$11,5,0)</f>
        <v>40</v>
      </c>
      <c r="P136" s="64">
        <f>PRODUCT(Table13[[#This Row],[Quantity]],Table13[[#This Row],[Unit_Cost]])</f>
        <v>1440</v>
      </c>
      <c r="Q136" s="65">
        <f>Table13[[#This Row],[Profit]]/Table13[[#This Row],[Total_Sales]]</f>
        <v>0.19091371591371589</v>
      </c>
      <c r="R136" s="1"/>
      <c r="S136" s="1"/>
      <c r="T136" s="1"/>
    </row>
    <row r="137" spans="1:20" x14ac:dyDescent="0.25">
      <c r="A137" s="22" t="s">
        <v>259</v>
      </c>
      <c r="B137" s="63">
        <v>45500</v>
      </c>
      <c r="C137" s="22" t="s">
        <v>226</v>
      </c>
      <c r="D137" s="22" t="str">
        <f>PROPER(TRIM(Raw_Data!D137))</f>
        <v>Italy</v>
      </c>
      <c r="E137" s="22" t="s">
        <v>60</v>
      </c>
      <c r="F137" s="22" t="s">
        <v>52</v>
      </c>
      <c r="G137" s="66">
        <v>1</v>
      </c>
      <c r="H137" s="2">
        <v>27.49</v>
      </c>
      <c r="I137" s="64">
        <f>PRODUCT(Table13[[#This Row],[Quantity]:[Unit_Price]])</f>
        <v>27.49</v>
      </c>
      <c r="J137" s="2">
        <v>0.63</v>
      </c>
      <c r="K137" s="2">
        <v>11.36</v>
      </c>
      <c r="L137" s="22" t="s">
        <v>26</v>
      </c>
      <c r="M137" s="22" t="s">
        <v>32</v>
      </c>
      <c r="N137" s="22" t="s">
        <v>28</v>
      </c>
      <c r="O137" s="64">
        <f>VLOOKUP($E137,Products!$B$2:$F$11,5,0)</f>
        <v>15.5</v>
      </c>
      <c r="P137" s="64">
        <f>PRODUCT(Table13[[#This Row],[Quantity]],Table13[[#This Row],[Unit_Cost]])</f>
        <v>15.5</v>
      </c>
      <c r="Q137" s="65">
        <f>Table13[[#This Row],[Profit]]/Table13[[#This Row],[Total_Sales]]</f>
        <v>0.41324117861040377</v>
      </c>
      <c r="R137" s="1"/>
      <c r="S137" s="1"/>
      <c r="T137" s="1"/>
    </row>
    <row r="138" spans="1:20" x14ac:dyDescent="0.25">
      <c r="A138" s="22" t="s">
        <v>260</v>
      </c>
      <c r="B138" s="63">
        <v>45301</v>
      </c>
      <c r="C138" s="22" t="s">
        <v>261</v>
      </c>
      <c r="D138" s="22" t="str">
        <f>PROPER(TRIM(Raw_Data!D138))</f>
        <v>Singapore</v>
      </c>
      <c r="E138" s="22" t="s">
        <v>36</v>
      </c>
      <c r="F138" s="22" t="s">
        <v>37</v>
      </c>
      <c r="G138" s="66">
        <v>50</v>
      </c>
      <c r="H138" s="2">
        <v>41.11</v>
      </c>
      <c r="I138" s="64">
        <f>PRODUCT(Table13[[#This Row],[Quantity]:[Unit_Price]])</f>
        <v>2055.5</v>
      </c>
      <c r="J138" s="2">
        <v>95.61</v>
      </c>
      <c r="K138" s="2">
        <v>359.89</v>
      </c>
      <c r="L138" s="22" t="s">
        <v>38</v>
      </c>
      <c r="M138" s="22" t="s">
        <v>27</v>
      </c>
      <c r="N138" s="22" t="s">
        <v>58</v>
      </c>
      <c r="O138" s="64">
        <f>VLOOKUP($E138,Products!$B$2:$F$11,5,0)</f>
        <v>32</v>
      </c>
      <c r="P138" s="64">
        <f>PRODUCT(Table13[[#This Row],[Quantity]],Table13[[#This Row],[Unit_Cost]])</f>
        <v>1600</v>
      </c>
      <c r="Q138" s="65">
        <f>Table13[[#This Row],[Profit]]/Table13[[#This Row],[Total_Sales]]</f>
        <v>0.17508635368523473</v>
      </c>
      <c r="R138" s="1"/>
      <c r="S138" s="1"/>
      <c r="T138" s="1"/>
    </row>
    <row r="139" spans="1:20" x14ac:dyDescent="0.25">
      <c r="A139" s="22" t="s">
        <v>262</v>
      </c>
      <c r="B139" s="63">
        <v>45653</v>
      </c>
      <c r="C139" s="22" t="s">
        <v>119</v>
      </c>
      <c r="D139" s="22" t="str">
        <f>PROPER(TRIM(Raw_Data!D139))</f>
        <v>China</v>
      </c>
      <c r="E139" s="22" t="s">
        <v>60</v>
      </c>
      <c r="F139" s="22" t="s">
        <v>52</v>
      </c>
      <c r="G139" s="66">
        <v>18</v>
      </c>
      <c r="H139" s="2">
        <v>25.54</v>
      </c>
      <c r="I139" s="64">
        <f>PRODUCT(Table13[[#This Row],[Quantity]:[Unit_Price]])</f>
        <v>459.71999999999997</v>
      </c>
      <c r="J139" s="2">
        <v>27.02</v>
      </c>
      <c r="K139" s="2">
        <v>153.69999999999999</v>
      </c>
      <c r="L139" s="22" t="s">
        <v>26</v>
      </c>
      <c r="M139" s="22" t="s">
        <v>20</v>
      </c>
      <c r="N139" s="22" t="s">
        <v>58</v>
      </c>
      <c r="O139" s="64">
        <f>VLOOKUP($E139,Products!$B$2:$F$11,5,0)</f>
        <v>15.5</v>
      </c>
      <c r="P139" s="64">
        <f>PRODUCT(Table13[[#This Row],[Quantity]],Table13[[#This Row],[Unit_Cost]])</f>
        <v>279</v>
      </c>
      <c r="Q139" s="65">
        <f>Table13[[#This Row],[Profit]]/Table13[[#This Row],[Total_Sales]]</f>
        <v>0.33433394239972158</v>
      </c>
      <c r="R139" s="1"/>
      <c r="S139" s="1"/>
      <c r="T139" s="1"/>
    </row>
    <row r="140" spans="1:20" x14ac:dyDescent="0.25">
      <c r="A140" s="22" t="s">
        <v>263</v>
      </c>
      <c r="B140" s="63">
        <v>45671</v>
      </c>
      <c r="C140" s="22" t="s">
        <v>231</v>
      </c>
      <c r="D140" s="22" t="str">
        <f>PROPER(TRIM(Raw_Data!D140))</f>
        <v>Japan</v>
      </c>
      <c r="E140" s="22" t="s">
        <v>83</v>
      </c>
      <c r="F140" s="22" t="s">
        <v>52</v>
      </c>
      <c r="G140" s="66">
        <v>4</v>
      </c>
      <c r="H140" s="2">
        <v>47.52</v>
      </c>
      <c r="I140" s="64">
        <f>PRODUCT(Table13[[#This Row],[Quantity]:[Unit_Price]])</f>
        <v>190.08</v>
      </c>
      <c r="J140" s="2">
        <v>10.23</v>
      </c>
      <c r="K140" s="2">
        <v>67.849999999999994</v>
      </c>
      <c r="L140" s="22" t="s">
        <v>19</v>
      </c>
      <c r="M140" s="22" t="s">
        <v>20</v>
      </c>
      <c r="N140" s="22" t="s">
        <v>58</v>
      </c>
      <c r="O140" s="64">
        <f>VLOOKUP($E140,Products!$B$2:$F$11,5,0)</f>
        <v>28</v>
      </c>
      <c r="P140" s="64">
        <f>PRODUCT(Table13[[#This Row],[Quantity]],Table13[[#This Row],[Unit_Cost]])</f>
        <v>112</v>
      </c>
      <c r="Q140" s="65">
        <f>Table13[[#This Row],[Profit]]/Table13[[#This Row],[Total_Sales]]</f>
        <v>0.35695496632996626</v>
      </c>
      <c r="R140" s="1"/>
      <c r="S140" s="1"/>
      <c r="T140" s="1"/>
    </row>
    <row r="141" spans="1:20" x14ac:dyDescent="0.25">
      <c r="A141" s="22" t="s">
        <v>264</v>
      </c>
      <c r="B141" s="63">
        <v>45526</v>
      </c>
      <c r="C141" s="22" t="s">
        <v>170</v>
      </c>
      <c r="D141" s="22" t="str">
        <f>PROPER(TRIM(Raw_Data!D141))</f>
        <v>Italy</v>
      </c>
      <c r="E141" s="22" t="s">
        <v>56</v>
      </c>
      <c r="F141" s="22" t="s">
        <v>57</v>
      </c>
      <c r="G141" s="66">
        <v>29</v>
      </c>
      <c r="H141" s="2">
        <v>30.48</v>
      </c>
      <c r="I141" s="64">
        <f>PRODUCT(Table13[[#This Row],[Quantity]:[Unit_Price]])</f>
        <v>883.92</v>
      </c>
      <c r="J141" s="2">
        <v>33.15</v>
      </c>
      <c r="K141" s="2">
        <v>125.77</v>
      </c>
      <c r="L141" s="22" t="s">
        <v>38</v>
      </c>
      <c r="M141" s="22" t="s">
        <v>20</v>
      </c>
      <c r="N141" s="22" t="s">
        <v>28</v>
      </c>
      <c r="O141" s="64">
        <f>VLOOKUP($E141,Products!$B$2:$F$11,5,0)</f>
        <v>25</v>
      </c>
      <c r="P141" s="64">
        <f>PRODUCT(Table13[[#This Row],[Quantity]],Table13[[#This Row],[Unit_Cost]])</f>
        <v>725</v>
      </c>
      <c r="Q141" s="65">
        <f>Table13[[#This Row],[Profit]]/Table13[[#This Row],[Total_Sales]]</f>
        <v>0.14228663227441399</v>
      </c>
      <c r="R141" s="1"/>
      <c r="S141" s="1"/>
      <c r="T141" s="1"/>
    </row>
    <row r="142" spans="1:20" x14ac:dyDescent="0.25">
      <c r="A142" s="22" t="s">
        <v>265</v>
      </c>
      <c r="B142" s="63">
        <v>45369</v>
      </c>
      <c r="C142" s="22" t="s">
        <v>168</v>
      </c>
      <c r="D142" s="22" t="str">
        <f>PROPER(TRIM(Raw_Data!D142))</f>
        <v>South Africa</v>
      </c>
      <c r="E142" s="22" t="s">
        <v>43</v>
      </c>
      <c r="F142" s="22" t="s">
        <v>44</v>
      </c>
      <c r="G142" s="66">
        <v>27</v>
      </c>
      <c r="H142" s="2">
        <v>50.39</v>
      </c>
      <c r="I142" s="64">
        <f>PRODUCT(Table13[[#This Row],[Quantity]:[Unit_Price]])</f>
        <v>1360.53</v>
      </c>
      <c r="J142" s="2">
        <v>106.4</v>
      </c>
      <c r="K142" s="2">
        <v>174.13</v>
      </c>
      <c r="L142" s="22" t="s">
        <v>26</v>
      </c>
      <c r="M142" s="22" t="s">
        <v>27</v>
      </c>
      <c r="N142" s="22" t="s">
        <v>87</v>
      </c>
      <c r="O142" s="64">
        <f>VLOOKUP($E142,Products!$B$2:$F$11,5,0)</f>
        <v>40</v>
      </c>
      <c r="P142" s="64">
        <f>PRODUCT(Table13[[#This Row],[Quantity]],Table13[[#This Row],[Unit_Cost]])</f>
        <v>1080</v>
      </c>
      <c r="Q142" s="65">
        <f>Table13[[#This Row],[Profit]]/Table13[[#This Row],[Total_Sales]]</f>
        <v>0.12798688746297399</v>
      </c>
      <c r="R142" s="1"/>
      <c r="S142" s="1"/>
      <c r="T142" s="1"/>
    </row>
    <row r="143" spans="1:20" x14ac:dyDescent="0.25">
      <c r="A143" s="22" t="s">
        <v>266</v>
      </c>
      <c r="B143" s="63">
        <v>45670</v>
      </c>
      <c r="C143" s="22" t="s">
        <v>145</v>
      </c>
      <c r="D143" s="22" t="str">
        <f>PROPER(TRIM(Raw_Data!D143))</f>
        <v>Germany</v>
      </c>
      <c r="E143" s="22" t="s">
        <v>56</v>
      </c>
      <c r="F143" s="22" t="s">
        <v>57</v>
      </c>
      <c r="G143" s="66">
        <v>34</v>
      </c>
      <c r="H143" s="2">
        <v>37.68</v>
      </c>
      <c r="I143" s="64">
        <f>PRODUCT(Table13[[#This Row],[Quantity]:[Unit_Price]])</f>
        <v>1281.1199999999999</v>
      </c>
      <c r="J143" s="2">
        <v>54.86</v>
      </c>
      <c r="K143" s="2">
        <v>376.26</v>
      </c>
      <c r="L143" s="22" t="s">
        <v>38</v>
      </c>
      <c r="M143" s="22" t="s">
        <v>20</v>
      </c>
      <c r="N143" s="22" t="s">
        <v>28</v>
      </c>
      <c r="O143" s="64">
        <f>VLOOKUP($E143,Products!$B$2:$F$11,5,0)</f>
        <v>25</v>
      </c>
      <c r="P143" s="64">
        <f>PRODUCT(Table13[[#This Row],[Quantity]],Table13[[#This Row],[Unit_Cost]])</f>
        <v>850</v>
      </c>
      <c r="Q143" s="65">
        <f>Table13[[#This Row],[Profit]]/Table13[[#This Row],[Total_Sales]]</f>
        <v>0.2936961408767329</v>
      </c>
      <c r="R143" s="1"/>
      <c r="S143" s="1"/>
      <c r="T143" s="1"/>
    </row>
    <row r="144" spans="1:20" x14ac:dyDescent="0.25">
      <c r="A144" s="22" t="s">
        <v>267</v>
      </c>
      <c r="B144" s="63">
        <v>45754</v>
      </c>
      <c r="C144" s="22" t="s">
        <v>268</v>
      </c>
      <c r="D144" s="22" t="str">
        <f>PROPER(TRIM(Raw_Data!D144))</f>
        <v>Japan</v>
      </c>
      <c r="E144" s="22" t="s">
        <v>56</v>
      </c>
      <c r="F144" s="22" t="s">
        <v>57</v>
      </c>
      <c r="G144" s="66">
        <v>3</v>
      </c>
      <c r="H144" s="2">
        <v>39.32</v>
      </c>
      <c r="I144" s="64">
        <f>PRODUCT(Table13[[#This Row],[Quantity]:[Unit_Price]])</f>
        <v>117.96000000000001</v>
      </c>
      <c r="J144" s="2">
        <v>6.97</v>
      </c>
      <c r="K144" s="2">
        <v>35.99</v>
      </c>
      <c r="L144" s="22" t="s">
        <v>26</v>
      </c>
      <c r="M144" s="22" t="s">
        <v>27</v>
      </c>
      <c r="N144" s="22" t="s">
        <v>58</v>
      </c>
      <c r="O144" s="64">
        <f>VLOOKUP($E144,Products!$B$2:$F$11,5,0)</f>
        <v>25</v>
      </c>
      <c r="P144" s="64">
        <f>PRODUCT(Table13[[#This Row],[Quantity]],Table13[[#This Row],[Unit_Cost]])</f>
        <v>75</v>
      </c>
      <c r="Q144" s="65">
        <f>Table13[[#This Row],[Profit]]/Table13[[#This Row],[Total_Sales]]</f>
        <v>0.30510342488979314</v>
      </c>
      <c r="R144" s="1"/>
      <c r="S144" s="1"/>
      <c r="T144" s="1"/>
    </row>
    <row r="145" spans="1:20" x14ac:dyDescent="0.25">
      <c r="A145" s="22" t="s">
        <v>269</v>
      </c>
      <c r="B145" s="63">
        <v>45655</v>
      </c>
      <c r="C145" s="22" t="s">
        <v>233</v>
      </c>
      <c r="D145" s="22" t="str">
        <f>PROPER(TRIM(Raw_Data!D145))</f>
        <v>Canada</v>
      </c>
      <c r="E145" s="22" t="s">
        <v>63</v>
      </c>
      <c r="F145" s="22" t="s">
        <v>37</v>
      </c>
      <c r="G145" s="66">
        <v>24</v>
      </c>
      <c r="H145" s="2">
        <v>18</v>
      </c>
      <c r="I145" s="64">
        <f>PRODUCT(Table13[[#This Row],[Quantity]:[Unit_Price]])</f>
        <v>432</v>
      </c>
      <c r="J145" s="2">
        <v>22.68</v>
      </c>
      <c r="K145" s="2">
        <v>103.32</v>
      </c>
      <c r="L145" s="22" t="s">
        <v>19</v>
      </c>
      <c r="M145" s="22" t="s">
        <v>32</v>
      </c>
      <c r="N145" s="22" t="s">
        <v>21</v>
      </c>
      <c r="O145" s="64">
        <f>VLOOKUP($E145,Products!$B$2:$F$11,5,0)</f>
        <v>12.75</v>
      </c>
      <c r="P145" s="64">
        <f>PRODUCT(Table13[[#This Row],[Quantity]],Table13[[#This Row],[Unit_Cost]])</f>
        <v>306</v>
      </c>
      <c r="Q145" s="65">
        <f>Table13[[#This Row],[Profit]]/Table13[[#This Row],[Total_Sales]]</f>
        <v>0.23916666666666664</v>
      </c>
      <c r="R145" s="1"/>
      <c r="S145" s="1"/>
      <c r="T145" s="1"/>
    </row>
    <row r="146" spans="1:20" x14ac:dyDescent="0.25">
      <c r="A146" s="22" t="s">
        <v>270</v>
      </c>
      <c r="B146" s="63">
        <v>45636</v>
      </c>
      <c r="C146" s="22" t="s">
        <v>100</v>
      </c>
      <c r="D146" s="22" t="str">
        <f>PROPER(TRIM(Raw_Data!D146))</f>
        <v>Uk</v>
      </c>
      <c r="E146" s="22" t="s">
        <v>51</v>
      </c>
      <c r="F146" s="22" t="s">
        <v>52</v>
      </c>
      <c r="G146" s="66">
        <v>5</v>
      </c>
      <c r="H146" s="2">
        <v>36.43</v>
      </c>
      <c r="I146" s="64">
        <f>PRODUCT(Table13[[#This Row],[Quantity]:[Unit_Price]])</f>
        <v>182.15</v>
      </c>
      <c r="J146" s="2">
        <v>7.82</v>
      </c>
      <c r="K146" s="2">
        <v>61.83</v>
      </c>
      <c r="L146" s="22" t="s">
        <v>19</v>
      </c>
      <c r="M146" s="22" t="s">
        <v>32</v>
      </c>
      <c r="N146" s="22" t="s">
        <v>28</v>
      </c>
      <c r="O146" s="64">
        <f>VLOOKUP($E146,Products!$B$2:$F$11,5,0)</f>
        <v>22.5</v>
      </c>
      <c r="P146" s="64">
        <f>PRODUCT(Table13[[#This Row],[Quantity]],Table13[[#This Row],[Unit_Cost]])</f>
        <v>112.5</v>
      </c>
      <c r="Q146" s="65">
        <f>Table13[[#This Row],[Profit]]/Table13[[#This Row],[Total_Sales]]</f>
        <v>0.33944551194070821</v>
      </c>
      <c r="R146" s="1"/>
      <c r="S146" s="1"/>
      <c r="T146" s="1"/>
    </row>
    <row r="147" spans="1:20" x14ac:dyDescent="0.25">
      <c r="A147" s="22" t="s">
        <v>271</v>
      </c>
      <c r="B147" s="63">
        <v>45492</v>
      </c>
      <c r="C147" s="22" t="s">
        <v>105</v>
      </c>
      <c r="D147" s="22" t="str">
        <f>PROPER(TRIM(Raw_Data!D147))</f>
        <v>China</v>
      </c>
      <c r="E147" s="22" t="s">
        <v>51</v>
      </c>
      <c r="F147" s="22" t="s">
        <v>52</v>
      </c>
      <c r="G147" s="66">
        <v>27</v>
      </c>
      <c r="H147" s="2">
        <v>38.39</v>
      </c>
      <c r="I147" s="64">
        <f>PRODUCT(Table13[[#This Row],[Quantity]:[Unit_Price]])</f>
        <v>1036.53</v>
      </c>
      <c r="J147" s="2">
        <v>28.6</v>
      </c>
      <c r="K147" s="2">
        <v>400.43</v>
      </c>
      <c r="L147" s="22" t="s">
        <v>26</v>
      </c>
      <c r="M147" s="22" t="s">
        <v>20</v>
      </c>
      <c r="N147" s="22" t="s">
        <v>58</v>
      </c>
      <c r="O147" s="64">
        <f>VLOOKUP($E147,Products!$B$2:$F$11,5,0)</f>
        <v>22.5</v>
      </c>
      <c r="P147" s="64">
        <f>PRODUCT(Table13[[#This Row],[Quantity]],Table13[[#This Row],[Unit_Cost]])</f>
        <v>607.5</v>
      </c>
      <c r="Q147" s="65">
        <f>Table13[[#This Row],[Profit]]/Table13[[#This Row],[Total_Sales]]</f>
        <v>0.38631781038657831</v>
      </c>
      <c r="R147" s="1"/>
      <c r="S147" s="1"/>
      <c r="T147" s="1"/>
    </row>
    <row r="148" spans="1:20" x14ac:dyDescent="0.25">
      <c r="A148" s="22" t="s">
        <v>272</v>
      </c>
      <c r="B148" s="63">
        <v>45435</v>
      </c>
      <c r="C148" s="22" t="s">
        <v>137</v>
      </c>
      <c r="D148" s="22" t="str">
        <f>PROPER(TRIM(Raw_Data!D148))</f>
        <v>Brazil</v>
      </c>
      <c r="E148" s="22" t="s">
        <v>83</v>
      </c>
      <c r="F148" s="22" t="s">
        <v>52</v>
      </c>
      <c r="G148" s="66">
        <v>10</v>
      </c>
      <c r="H148" s="2">
        <v>47.5</v>
      </c>
      <c r="I148" s="64">
        <f>PRODUCT(Table13[[#This Row],[Quantity]:[Unit_Price]])</f>
        <v>475</v>
      </c>
      <c r="J148" s="2">
        <v>15.95</v>
      </c>
      <c r="K148" s="2">
        <v>179.05</v>
      </c>
      <c r="L148" s="22" t="s">
        <v>19</v>
      </c>
      <c r="M148" s="22" t="s">
        <v>20</v>
      </c>
      <c r="N148" s="22" t="s">
        <v>39</v>
      </c>
      <c r="O148" s="64">
        <f>VLOOKUP($E148,Products!$B$2:$F$11,5,0)</f>
        <v>28</v>
      </c>
      <c r="P148" s="64">
        <f>PRODUCT(Table13[[#This Row],[Quantity]],Table13[[#This Row],[Unit_Cost]])</f>
        <v>280</v>
      </c>
      <c r="Q148" s="65">
        <f>Table13[[#This Row],[Profit]]/Table13[[#This Row],[Total_Sales]]</f>
        <v>0.37694736842105264</v>
      </c>
      <c r="R148" s="1"/>
      <c r="S148" s="1"/>
      <c r="T148" s="1"/>
    </row>
    <row r="149" spans="1:20" x14ac:dyDescent="0.25">
      <c r="A149" s="22" t="s">
        <v>273</v>
      </c>
      <c r="B149" s="63">
        <v>45458</v>
      </c>
      <c r="C149" s="22" t="s">
        <v>274</v>
      </c>
      <c r="D149" s="22" t="str">
        <f>PROPER(TRIM(Raw_Data!D149))</f>
        <v>Uae</v>
      </c>
      <c r="E149" s="22" t="s">
        <v>36</v>
      </c>
      <c r="F149" s="22" t="s">
        <v>37</v>
      </c>
      <c r="G149" s="66">
        <v>47</v>
      </c>
      <c r="H149" s="2">
        <v>50.13</v>
      </c>
      <c r="I149" s="64">
        <f>PRODUCT(Table13[[#This Row],[Quantity]:[Unit_Price]])</f>
        <v>2356.11</v>
      </c>
      <c r="J149" s="2">
        <v>166.22</v>
      </c>
      <c r="K149" s="2">
        <v>685.89</v>
      </c>
      <c r="L149" s="22" t="s">
        <v>19</v>
      </c>
      <c r="M149" s="22" t="s">
        <v>20</v>
      </c>
      <c r="N149" s="22" t="s">
        <v>58</v>
      </c>
      <c r="O149" s="64">
        <f>VLOOKUP($E149,Products!$B$2:$F$11,5,0)</f>
        <v>32</v>
      </c>
      <c r="P149" s="64">
        <f>PRODUCT(Table13[[#This Row],[Quantity]],Table13[[#This Row],[Unit_Cost]])</f>
        <v>1504</v>
      </c>
      <c r="Q149" s="65">
        <f>Table13[[#This Row],[Profit]]/Table13[[#This Row],[Total_Sales]]</f>
        <v>0.29111119599679131</v>
      </c>
      <c r="R149" s="1"/>
      <c r="S149" s="1"/>
      <c r="T149" s="1"/>
    </row>
    <row r="150" spans="1:20" x14ac:dyDescent="0.25">
      <c r="A150" s="22" t="s">
        <v>275</v>
      </c>
      <c r="B150" s="63">
        <v>45573</v>
      </c>
      <c r="C150" s="22" t="s">
        <v>276</v>
      </c>
      <c r="D150" s="22" t="str">
        <f>PROPER(TRIM(Raw_Data!D150))</f>
        <v>Mexico</v>
      </c>
      <c r="E150" s="22" t="s">
        <v>83</v>
      </c>
      <c r="F150" s="22" t="s">
        <v>52</v>
      </c>
      <c r="G150" s="66">
        <v>47</v>
      </c>
      <c r="H150" s="2">
        <v>42.25</v>
      </c>
      <c r="I150" s="64">
        <f>PRODUCT(Table13[[#This Row],[Quantity]:[Unit_Price]])</f>
        <v>1985.75</v>
      </c>
      <c r="J150" s="2">
        <v>116.75</v>
      </c>
      <c r="K150" s="2">
        <v>553</v>
      </c>
      <c r="L150" s="22" t="s">
        <v>26</v>
      </c>
      <c r="M150" s="22" t="s">
        <v>20</v>
      </c>
      <c r="N150" s="22" t="s">
        <v>21</v>
      </c>
      <c r="O150" s="64">
        <f>VLOOKUP($E150,Products!$B$2:$F$11,5,0)</f>
        <v>28</v>
      </c>
      <c r="P150" s="64">
        <f>PRODUCT(Table13[[#This Row],[Quantity]],Table13[[#This Row],[Unit_Cost]])</f>
        <v>1316</v>
      </c>
      <c r="Q150" s="65">
        <f>Table13[[#This Row],[Profit]]/Table13[[#This Row],[Total_Sales]]</f>
        <v>0.27848419992446177</v>
      </c>
      <c r="R150" s="1"/>
      <c r="S150" s="1"/>
      <c r="T150" s="1"/>
    </row>
    <row r="151" spans="1:20" x14ac:dyDescent="0.25">
      <c r="A151" s="22" t="s">
        <v>277</v>
      </c>
      <c r="B151" s="63">
        <v>45378</v>
      </c>
      <c r="C151" s="22" t="s">
        <v>278</v>
      </c>
      <c r="D151" s="22" t="str">
        <f>PROPER(TRIM(Raw_Data!D151))</f>
        <v>China</v>
      </c>
      <c r="E151" s="22" t="s">
        <v>56</v>
      </c>
      <c r="F151" s="22" t="s">
        <v>57</v>
      </c>
      <c r="G151" s="66">
        <v>18</v>
      </c>
      <c r="H151" s="2">
        <v>38.26</v>
      </c>
      <c r="I151" s="64">
        <f>PRODUCT(Table13[[#This Row],[Quantity]:[Unit_Price]])</f>
        <v>688.68</v>
      </c>
      <c r="J151" s="2">
        <v>18.78</v>
      </c>
      <c r="K151" s="2">
        <v>219.9</v>
      </c>
      <c r="L151" s="22" t="s">
        <v>26</v>
      </c>
      <c r="M151" s="22" t="s">
        <v>20</v>
      </c>
      <c r="N151" s="22" t="s">
        <v>58</v>
      </c>
      <c r="O151" s="64">
        <f>VLOOKUP($E151,Products!$B$2:$F$11,5,0)</f>
        <v>25</v>
      </c>
      <c r="P151" s="64">
        <f>PRODUCT(Table13[[#This Row],[Quantity]],Table13[[#This Row],[Unit_Cost]])</f>
        <v>450</v>
      </c>
      <c r="Q151" s="65">
        <f>Table13[[#This Row],[Profit]]/Table13[[#This Row],[Total_Sales]]</f>
        <v>0.31930649939013767</v>
      </c>
      <c r="R151" s="1"/>
      <c r="S151" s="1"/>
      <c r="T151" s="1"/>
    </row>
    <row r="152" spans="1:20" x14ac:dyDescent="0.25">
      <c r="A152" s="22" t="s">
        <v>279</v>
      </c>
      <c r="B152" s="63">
        <v>45351</v>
      </c>
      <c r="C152" s="22" t="s">
        <v>85</v>
      </c>
      <c r="D152" s="22" t="str">
        <f>PROPER(TRIM(Raw_Data!D152))</f>
        <v>Singapore</v>
      </c>
      <c r="E152" s="22" t="s">
        <v>83</v>
      </c>
      <c r="F152" s="22" t="s">
        <v>52</v>
      </c>
      <c r="G152" s="66">
        <v>31</v>
      </c>
      <c r="H152" s="2">
        <v>46.66</v>
      </c>
      <c r="I152" s="64">
        <f>PRODUCT(Table13[[#This Row],[Quantity]:[Unit_Price]])</f>
        <v>1446.4599999999998</v>
      </c>
      <c r="J152" s="2">
        <v>109.24</v>
      </c>
      <c r="K152" s="2">
        <v>469.22</v>
      </c>
      <c r="L152" s="22" t="s">
        <v>19</v>
      </c>
      <c r="M152" s="22" t="s">
        <v>32</v>
      </c>
      <c r="N152" s="22" t="s">
        <v>58</v>
      </c>
      <c r="O152" s="64">
        <f>VLOOKUP($E152,Products!$B$2:$F$11,5,0)</f>
        <v>28</v>
      </c>
      <c r="P152" s="64">
        <f>PRODUCT(Table13[[#This Row],[Quantity]],Table13[[#This Row],[Unit_Cost]])</f>
        <v>868</v>
      </c>
      <c r="Q152" s="65">
        <f>Table13[[#This Row],[Profit]]/Table13[[#This Row],[Total_Sales]]</f>
        <v>0.32439196382893415</v>
      </c>
      <c r="R152" s="1"/>
      <c r="S152" s="1"/>
      <c r="T152" s="1"/>
    </row>
    <row r="153" spans="1:20" x14ac:dyDescent="0.25">
      <c r="A153" s="22" t="s">
        <v>280</v>
      </c>
      <c r="B153" s="63">
        <v>45354</v>
      </c>
      <c r="C153" s="22" t="s">
        <v>281</v>
      </c>
      <c r="D153" s="22" t="str">
        <f>PROPER(TRIM(Raw_Data!D153))</f>
        <v>South Africa</v>
      </c>
      <c r="E153" s="22" t="s">
        <v>36</v>
      </c>
      <c r="F153" s="22" t="s">
        <v>37</v>
      </c>
      <c r="G153" s="66">
        <v>41</v>
      </c>
      <c r="H153" s="2">
        <v>52.65</v>
      </c>
      <c r="I153" s="64">
        <f>PRODUCT(Table13[[#This Row],[Quantity]:[Unit_Price]])</f>
        <v>2158.65</v>
      </c>
      <c r="J153" s="2">
        <v>110.1</v>
      </c>
      <c r="K153" s="2">
        <v>736.55</v>
      </c>
      <c r="L153" s="22" t="s">
        <v>26</v>
      </c>
      <c r="M153" s="22" t="s">
        <v>32</v>
      </c>
      <c r="N153" s="22" t="s">
        <v>87</v>
      </c>
      <c r="O153" s="64">
        <f>VLOOKUP($E153,Products!$B$2:$F$11,5,0)</f>
        <v>32</v>
      </c>
      <c r="P153" s="64">
        <f>PRODUCT(Table13[[#This Row],[Quantity]],Table13[[#This Row],[Unit_Cost]])</f>
        <v>1312</v>
      </c>
      <c r="Q153" s="65">
        <f>Table13[[#This Row],[Profit]]/Table13[[#This Row],[Total_Sales]]</f>
        <v>0.34120862576147126</v>
      </c>
      <c r="R153" s="1"/>
      <c r="S153" s="1"/>
      <c r="T153" s="1"/>
    </row>
    <row r="154" spans="1:20" x14ac:dyDescent="0.25">
      <c r="A154" s="22" t="s">
        <v>282</v>
      </c>
      <c r="B154" s="63">
        <v>45377</v>
      </c>
      <c r="C154" s="22" t="s">
        <v>115</v>
      </c>
      <c r="D154" s="22" t="str">
        <f>PROPER(TRIM(Raw_Data!D154))</f>
        <v>Japan</v>
      </c>
      <c r="E154" s="22" t="s">
        <v>25</v>
      </c>
      <c r="F154" s="22" t="s">
        <v>18</v>
      </c>
      <c r="G154" s="66">
        <v>28</v>
      </c>
      <c r="H154" s="2">
        <v>22.66</v>
      </c>
      <c r="I154" s="64">
        <f>PRODUCT(Table13[[#This Row],[Quantity]:[Unit_Price]])</f>
        <v>634.48</v>
      </c>
      <c r="J154" s="2">
        <v>15.55</v>
      </c>
      <c r="K154" s="2">
        <v>114.93</v>
      </c>
      <c r="L154" s="22" t="s">
        <v>38</v>
      </c>
      <c r="M154" s="22" t="s">
        <v>20</v>
      </c>
      <c r="N154" s="22" t="s">
        <v>58</v>
      </c>
      <c r="O154" s="64">
        <f>VLOOKUP($E154,Products!$B$2:$F$11,5,0)</f>
        <v>18</v>
      </c>
      <c r="P154" s="64">
        <f>PRODUCT(Table13[[#This Row],[Quantity]],Table13[[#This Row],[Unit_Cost]])</f>
        <v>504</v>
      </c>
      <c r="Q154" s="65">
        <f>Table13[[#This Row],[Profit]]/Table13[[#This Row],[Total_Sales]]</f>
        <v>0.1811404614802673</v>
      </c>
      <c r="R154" s="1"/>
      <c r="S154" s="1"/>
      <c r="T154" s="1"/>
    </row>
    <row r="155" spans="1:20" x14ac:dyDescent="0.25">
      <c r="A155" s="22" t="s">
        <v>283</v>
      </c>
      <c r="B155" s="63">
        <v>45697</v>
      </c>
      <c r="C155" s="22" t="s">
        <v>268</v>
      </c>
      <c r="D155" s="22" t="str">
        <f>PROPER(TRIM(Raw_Data!D155))</f>
        <v>Mexico</v>
      </c>
      <c r="E155" s="22" t="s">
        <v>60</v>
      </c>
      <c r="F155" s="22" t="s">
        <v>52</v>
      </c>
      <c r="G155" s="66">
        <v>48</v>
      </c>
      <c r="H155" s="2">
        <v>25.07</v>
      </c>
      <c r="I155" s="64">
        <f>PRODUCT(Table13[[#This Row],[Quantity]:[Unit_Price]])</f>
        <v>1203.3600000000001</v>
      </c>
      <c r="J155" s="2">
        <v>29.93</v>
      </c>
      <c r="K155" s="2">
        <v>429.43</v>
      </c>
      <c r="L155" s="22" t="s">
        <v>26</v>
      </c>
      <c r="M155" s="22" t="s">
        <v>27</v>
      </c>
      <c r="N155" s="22" t="s">
        <v>21</v>
      </c>
      <c r="O155" s="64">
        <f>VLOOKUP($E155,Products!$B$2:$F$11,5,0)</f>
        <v>15.5</v>
      </c>
      <c r="P155" s="64">
        <f>PRODUCT(Table13[[#This Row],[Quantity]],Table13[[#This Row],[Unit_Cost]])</f>
        <v>744</v>
      </c>
      <c r="Q155" s="65">
        <f>Table13[[#This Row],[Profit]]/Table13[[#This Row],[Total_Sales]]</f>
        <v>0.35685912777556172</v>
      </c>
      <c r="R155" s="1"/>
      <c r="S155" s="1"/>
      <c r="T155" s="1"/>
    </row>
    <row r="156" spans="1:20" x14ac:dyDescent="0.25">
      <c r="A156" s="22" t="s">
        <v>284</v>
      </c>
      <c r="B156" s="63">
        <v>45418</v>
      </c>
      <c r="C156" s="22" t="s">
        <v>34</v>
      </c>
      <c r="D156" s="22" t="str">
        <f>PROPER(TRIM(Raw_Data!D156))</f>
        <v>Brazil</v>
      </c>
      <c r="E156" s="22" t="s">
        <v>25</v>
      </c>
      <c r="F156" s="22" t="s">
        <v>18</v>
      </c>
      <c r="G156" s="66">
        <v>31</v>
      </c>
      <c r="H156" s="2">
        <v>30.53</v>
      </c>
      <c r="I156" s="64">
        <f>PRODUCT(Table13[[#This Row],[Quantity]:[Unit_Price]])</f>
        <v>946.43000000000006</v>
      </c>
      <c r="J156" s="2">
        <v>72.150000000000006</v>
      </c>
      <c r="K156" s="2">
        <v>316.27999999999997</v>
      </c>
      <c r="L156" s="22" t="s">
        <v>38</v>
      </c>
      <c r="M156" s="22" t="s">
        <v>27</v>
      </c>
      <c r="N156" s="22" t="s">
        <v>39</v>
      </c>
      <c r="O156" s="64">
        <f>VLOOKUP($E156,Products!$B$2:$F$11,5,0)</f>
        <v>18</v>
      </c>
      <c r="P156" s="64">
        <f>PRODUCT(Table13[[#This Row],[Quantity]],Table13[[#This Row],[Unit_Cost]])</f>
        <v>558</v>
      </c>
      <c r="Q156" s="65">
        <f>Table13[[#This Row],[Profit]]/Table13[[#This Row],[Total_Sales]]</f>
        <v>0.33418213708356659</v>
      </c>
      <c r="R156" s="1"/>
      <c r="S156" s="1"/>
      <c r="T156" s="1"/>
    </row>
    <row r="157" spans="1:20" x14ac:dyDescent="0.25">
      <c r="A157" s="22" t="s">
        <v>285</v>
      </c>
      <c r="B157" s="63">
        <v>45629</v>
      </c>
      <c r="C157" s="22" t="s">
        <v>286</v>
      </c>
      <c r="D157" s="22" t="str">
        <f>PROPER(TRIM(Raw_Data!D157))</f>
        <v>South Africa</v>
      </c>
      <c r="E157" s="22" t="s">
        <v>51</v>
      </c>
      <c r="F157" s="22" t="s">
        <v>52</v>
      </c>
      <c r="G157" s="66">
        <v>33</v>
      </c>
      <c r="H157" s="2">
        <v>31</v>
      </c>
      <c r="I157" s="64">
        <f>PRODUCT(Table13[[#This Row],[Quantity]:[Unit_Price]])</f>
        <v>1023</v>
      </c>
      <c r="J157" s="2">
        <v>63.94</v>
      </c>
      <c r="K157" s="2">
        <v>216.56</v>
      </c>
      <c r="L157" s="22" t="s">
        <v>26</v>
      </c>
      <c r="M157" s="22" t="s">
        <v>20</v>
      </c>
      <c r="N157" s="22" t="s">
        <v>87</v>
      </c>
      <c r="O157" s="64">
        <f>VLOOKUP($E157,Products!$B$2:$F$11,5,0)</f>
        <v>22.5</v>
      </c>
      <c r="P157" s="64">
        <f>PRODUCT(Table13[[#This Row],[Quantity]],Table13[[#This Row],[Unit_Cost]])</f>
        <v>742.5</v>
      </c>
      <c r="Q157" s="65">
        <f>Table13[[#This Row],[Profit]]/Table13[[#This Row],[Total_Sales]]</f>
        <v>0.21169110459433041</v>
      </c>
      <c r="R157" s="1"/>
      <c r="S157" s="1"/>
      <c r="T157" s="1"/>
    </row>
    <row r="158" spans="1:20" x14ac:dyDescent="0.25">
      <c r="A158" s="22" t="s">
        <v>287</v>
      </c>
      <c r="B158" s="63">
        <v>45582</v>
      </c>
      <c r="C158" s="22" t="s">
        <v>119</v>
      </c>
      <c r="D158" s="22" t="str">
        <f>PROPER(TRIM(Raw_Data!D158))</f>
        <v>Uk</v>
      </c>
      <c r="E158" s="22" t="s">
        <v>60</v>
      </c>
      <c r="F158" s="22" t="s">
        <v>52</v>
      </c>
      <c r="G158" s="66">
        <v>32</v>
      </c>
      <c r="H158" s="2">
        <v>20.86</v>
      </c>
      <c r="I158" s="64">
        <f>PRODUCT(Table13[[#This Row],[Quantity]:[Unit_Price]])</f>
        <v>667.52</v>
      </c>
      <c r="J158" s="2">
        <v>21.62</v>
      </c>
      <c r="K158" s="2">
        <v>149.9</v>
      </c>
      <c r="L158" s="22" t="s">
        <v>38</v>
      </c>
      <c r="M158" s="22" t="s">
        <v>32</v>
      </c>
      <c r="N158" s="22" t="s">
        <v>28</v>
      </c>
      <c r="O158" s="64">
        <f>VLOOKUP($E158,Products!$B$2:$F$11,5,0)</f>
        <v>15.5</v>
      </c>
      <c r="P158" s="64">
        <f>PRODUCT(Table13[[#This Row],[Quantity]],Table13[[#This Row],[Unit_Cost]])</f>
        <v>496</v>
      </c>
      <c r="Q158" s="65">
        <f>Table13[[#This Row],[Profit]]/Table13[[#This Row],[Total_Sales]]</f>
        <v>0.22456255992329818</v>
      </c>
      <c r="R158" s="1"/>
      <c r="S158" s="1"/>
      <c r="T158" s="1"/>
    </row>
    <row r="159" spans="1:20" x14ac:dyDescent="0.25">
      <c r="A159" s="22" t="s">
        <v>288</v>
      </c>
      <c r="B159" s="63">
        <v>45549</v>
      </c>
      <c r="C159" s="22" t="s">
        <v>139</v>
      </c>
      <c r="D159" s="22" t="str">
        <f>PROPER(TRIM(Raw_Data!D159))</f>
        <v>Germany</v>
      </c>
      <c r="E159" s="22" t="s">
        <v>48</v>
      </c>
      <c r="F159" s="22" t="s">
        <v>37</v>
      </c>
      <c r="G159" s="66">
        <v>18</v>
      </c>
      <c r="H159" s="2">
        <v>24.61</v>
      </c>
      <c r="I159" s="64">
        <f>PRODUCT(Table13[[#This Row],[Quantity]:[Unit_Price]])</f>
        <v>442.98</v>
      </c>
      <c r="J159" s="2">
        <v>26.99</v>
      </c>
      <c r="K159" s="2">
        <v>55.99</v>
      </c>
      <c r="L159" s="22" t="s">
        <v>38</v>
      </c>
      <c r="M159" s="22" t="s">
        <v>20</v>
      </c>
      <c r="N159" s="22" t="s">
        <v>28</v>
      </c>
      <c r="O159" s="64">
        <f>VLOOKUP($E159,Products!$B$2:$F$11,5,0)</f>
        <v>20</v>
      </c>
      <c r="P159" s="64">
        <f>PRODUCT(Table13[[#This Row],[Quantity]],Table13[[#This Row],[Unit_Cost]])</f>
        <v>360</v>
      </c>
      <c r="Q159" s="65">
        <f>Table13[[#This Row],[Profit]]/Table13[[#This Row],[Total_Sales]]</f>
        <v>0.12639396812497178</v>
      </c>
      <c r="R159" s="1"/>
      <c r="S159" s="1"/>
      <c r="T159" s="1"/>
    </row>
    <row r="160" spans="1:20" x14ac:dyDescent="0.25">
      <c r="A160" s="22" t="s">
        <v>289</v>
      </c>
      <c r="B160" s="63">
        <v>45580</v>
      </c>
      <c r="C160" s="22" t="s">
        <v>95</v>
      </c>
      <c r="D160" s="22" t="str">
        <f>PROPER(TRIM(Raw_Data!D160))</f>
        <v>Singapore</v>
      </c>
      <c r="E160" s="22" t="s">
        <v>43</v>
      </c>
      <c r="F160" s="22" t="s">
        <v>44</v>
      </c>
      <c r="G160" s="66">
        <v>18</v>
      </c>
      <c r="H160" s="2">
        <v>64.83</v>
      </c>
      <c r="I160" s="64">
        <f>PRODUCT(Table13[[#This Row],[Quantity]:[Unit_Price]])</f>
        <v>1166.94</v>
      </c>
      <c r="J160" s="2">
        <v>34.28</v>
      </c>
      <c r="K160" s="2">
        <v>412.66</v>
      </c>
      <c r="L160" s="22" t="s">
        <v>38</v>
      </c>
      <c r="M160" s="22" t="s">
        <v>20</v>
      </c>
      <c r="N160" s="22" t="s">
        <v>58</v>
      </c>
      <c r="O160" s="64">
        <f>VLOOKUP($E160,Products!$B$2:$F$11,5,0)</f>
        <v>40</v>
      </c>
      <c r="P160" s="64">
        <f>PRODUCT(Table13[[#This Row],[Quantity]],Table13[[#This Row],[Unit_Cost]])</f>
        <v>720</v>
      </c>
      <c r="Q160" s="65">
        <f>Table13[[#This Row],[Profit]]/Table13[[#This Row],[Total_Sales]]</f>
        <v>0.35362572197370901</v>
      </c>
      <c r="R160" s="1"/>
      <c r="S160" s="1"/>
      <c r="T160" s="1"/>
    </row>
    <row r="161" spans="1:20" x14ac:dyDescent="0.25">
      <c r="A161" s="22" t="s">
        <v>290</v>
      </c>
      <c r="B161" s="63">
        <v>45476</v>
      </c>
      <c r="C161" s="22" t="s">
        <v>291</v>
      </c>
      <c r="D161" s="22" t="str">
        <f>PROPER(TRIM(Raw_Data!D161))</f>
        <v>Mexico</v>
      </c>
      <c r="E161" s="22" t="s">
        <v>48</v>
      </c>
      <c r="F161" s="22" t="s">
        <v>37</v>
      </c>
      <c r="G161" s="66">
        <v>49</v>
      </c>
      <c r="H161" s="2">
        <v>29.52</v>
      </c>
      <c r="I161" s="64">
        <f>PRODUCT(Table13[[#This Row],[Quantity]:[Unit_Price]])</f>
        <v>1446.48</v>
      </c>
      <c r="J161" s="2">
        <v>104.7</v>
      </c>
      <c r="K161" s="2">
        <v>361.78</v>
      </c>
      <c r="L161" s="22" t="s">
        <v>38</v>
      </c>
      <c r="M161" s="22" t="s">
        <v>32</v>
      </c>
      <c r="N161" s="22" t="s">
        <v>21</v>
      </c>
      <c r="O161" s="64">
        <f>VLOOKUP($E161,Products!$B$2:$F$11,5,0)</f>
        <v>20</v>
      </c>
      <c r="P161" s="64">
        <f>PRODUCT(Table13[[#This Row],[Quantity]],Table13[[#This Row],[Unit_Cost]])</f>
        <v>980</v>
      </c>
      <c r="Q161" s="65">
        <f>Table13[[#This Row],[Profit]]/Table13[[#This Row],[Total_Sales]]</f>
        <v>0.25011061335103146</v>
      </c>
      <c r="R161" s="1"/>
      <c r="S161" s="1"/>
      <c r="T161" s="1"/>
    </row>
    <row r="162" spans="1:20" x14ac:dyDescent="0.25">
      <c r="A162" s="22" t="s">
        <v>292</v>
      </c>
      <c r="B162" s="63">
        <v>45474</v>
      </c>
      <c r="C162" s="22" t="s">
        <v>293</v>
      </c>
      <c r="D162" s="22" t="str">
        <f>PROPER(TRIM(Raw_Data!D162))</f>
        <v>South Africa</v>
      </c>
      <c r="E162" s="22" t="s">
        <v>48</v>
      </c>
      <c r="F162" s="22" t="s">
        <v>37</v>
      </c>
      <c r="G162" s="66">
        <v>10</v>
      </c>
      <c r="H162" s="2">
        <v>26.73</v>
      </c>
      <c r="I162" s="64">
        <f>PRODUCT(Table13[[#This Row],[Quantity]:[Unit_Price]])</f>
        <v>267.3</v>
      </c>
      <c r="J162" s="2">
        <v>10.210000000000001</v>
      </c>
      <c r="K162" s="2">
        <v>57.09</v>
      </c>
      <c r="L162" s="22" t="s">
        <v>38</v>
      </c>
      <c r="M162" s="22" t="s">
        <v>32</v>
      </c>
      <c r="N162" s="22" t="s">
        <v>87</v>
      </c>
      <c r="O162" s="64">
        <f>VLOOKUP($E162,Products!$B$2:$F$11,5,0)</f>
        <v>20</v>
      </c>
      <c r="P162" s="64">
        <f>PRODUCT(Table13[[#This Row],[Quantity]],Table13[[#This Row],[Unit_Cost]])</f>
        <v>200</v>
      </c>
      <c r="Q162" s="65">
        <f>Table13[[#This Row],[Profit]]/Table13[[#This Row],[Total_Sales]]</f>
        <v>0.21358024691358024</v>
      </c>
      <c r="R162" s="1"/>
      <c r="S162" s="1"/>
      <c r="T162" s="1"/>
    </row>
    <row r="163" spans="1:20" x14ac:dyDescent="0.25">
      <c r="A163" s="22" t="s">
        <v>294</v>
      </c>
      <c r="B163" s="63">
        <v>45323</v>
      </c>
      <c r="C163" s="22" t="s">
        <v>62</v>
      </c>
      <c r="D163" s="22" t="str">
        <f>PROPER(TRIM(Raw_Data!D163))</f>
        <v>Uk</v>
      </c>
      <c r="E163" s="22" t="s">
        <v>36</v>
      </c>
      <c r="F163" s="22" t="s">
        <v>37</v>
      </c>
      <c r="G163" s="66">
        <v>10</v>
      </c>
      <c r="H163" s="2">
        <v>54.45</v>
      </c>
      <c r="I163" s="64">
        <f>PRODUCT(Table13[[#This Row],[Quantity]:[Unit_Price]])</f>
        <v>544.5</v>
      </c>
      <c r="J163" s="2">
        <v>16.59</v>
      </c>
      <c r="K163" s="2">
        <v>207.91</v>
      </c>
      <c r="L163" s="22" t="s">
        <v>19</v>
      </c>
      <c r="M163" s="22" t="s">
        <v>20</v>
      </c>
      <c r="N163" s="22" t="s">
        <v>28</v>
      </c>
      <c r="O163" s="64">
        <f>VLOOKUP($E163,Products!$B$2:$F$11,5,0)</f>
        <v>32</v>
      </c>
      <c r="P163" s="64">
        <f>PRODUCT(Table13[[#This Row],[Quantity]],Table13[[#This Row],[Unit_Cost]])</f>
        <v>320</v>
      </c>
      <c r="Q163" s="65">
        <f>Table13[[#This Row],[Profit]]/Table13[[#This Row],[Total_Sales]]</f>
        <v>0.38183654729109273</v>
      </c>
      <c r="R163" s="1"/>
      <c r="S163" s="1"/>
      <c r="T163" s="1"/>
    </row>
    <row r="164" spans="1:20" x14ac:dyDescent="0.25">
      <c r="A164" s="22" t="s">
        <v>295</v>
      </c>
      <c r="B164" s="63">
        <v>45466</v>
      </c>
      <c r="C164" s="22" t="s">
        <v>62</v>
      </c>
      <c r="D164" s="22" t="str">
        <f>PROPER(TRIM(Raw_Data!D164))</f>
        <v>India</v>
      </c>
      <c r="E164" s="22" t="s">
        <v>25</v>
      </c>
      <c r="F164" s="22" t="s">
        <v>18</v>
      </c>
      <c r="G164" s="66">
        <v>46</v>
      </c>
      <c r="H164" s="2">
        <v>30.06</v>
      </c>
      <c r="I164" s="64">
        <f>PRODUCT(Table13[[#This Row],[Quantity]:[Unit_Price]])</f>
        <v>1382.76</v>
      </c>
      <c r="J164" s="2">
        <v>77.17</v>
      </c>
      <c r="K164" s="2">
        <v>477.59</v>
      </c>
      <c r="L164" s="22" t="s">
        <v>26</v>
      </c>
      <c r="M164" s="22" t="s">
        <v>27</v>
      </c>
      <c r="N164" s="22" t="s">
        <v>58</v>
      </c>
      <c r="O164" s="64">
        <f>VLOOKUP($E164,Products!$B$2:$F$11,5,0)</f>
        <v>18</v>
      </c>
      <c r="P164" s="64">
        <f>PRODUCT(Table13[[#This Row],[Quantity]],Table13[[#This Row],[Unit_Cost]])</f>
        <v>828</v>
      </c>
      <c r="Q164" s="65">
        <f>Table13[[#This Row],[Profit]]/Table13[[#This Row],[Total_Sales]]</f>
        <v>0.34538893228036677</v>
      </c>
      <c r="R164" s="1"/>
      <c r="S164" s="1"/>
      <c r="T164" s="1"/>
    </row>
    <row r="165" spans="1:20" x14ac:dyDescent="0.25">
      <c r="A165" s="22" t="s">
        <v>296</v>
      </c>
      <c r="B165" s="63">
        <v>45350</v>
      </c>
      <c r="C165" s="22" t="s">
        <v>297</v>
      </c>
      <c r="D165" s="22" t="str">
        <f>PROPER(TRIM(Raw_Data!D165))</f>
        <v>Mexico</v>
      </c>
      <c r="E165" s="22" t="s">
        <v>60</v>
      </c>
      <c r="F165" s="22" t="s">
        <v>52</v>
      </c>
      <c r="G165" s="66">
        <v>25</v>
      </c>
      <c r="H165" s="2">
        <v>21.52</v>
      </c>
      <c r="I165" s="64">
        <f>PRODUCT(Table13[[#This Row],[Quantity]:[Unit_Price]])</f>
        <v>538</v>
      </c>
      <c r="J165" s="2">
        <v>26.73</v>
      </c>
      <c r="K165" s="2">
        <v>123.77</v>
      </c>
      <c r="L165" s="22" t="s">
        <v>26</v>
      </c>
      <c r="M165" s="22" t="s">
        <v>20</v>
      </c>
      <c r="N165" s="22" t="s">
        <v>21</v>
      </c>
      <c r="O165" s="64">
        <f>VLOOKUP($E165,Products!$B$2:$F$11,5,0)</f>
        <v>15.5</v>
      </c>
      <c r="P165" s="64">
        <f>PRODUCT(Table13[[#This Row],[Quantity]],Table13[[#This Row],[Unit_Cost]])</f>
        <v>387.5</v>
      </c>
      <c r="Q165" s="65">
        <f>Table13[[#This Row],[Profit]]/Table13[[#This Row],[Total_Sales]]</f>
        <v>0.23005576208178438</v>
      </c>
      <c r="R165" s="1"/>
      <c r="S165" s="1"/>
      <c r="T165" s="1"/>
    </row>
    <row r="166" spans="1:20" x14ac:dyDescent="0.25">
      <c r="A166" s="22" t="s">
        <v>298</v>
      </c>
      <c r="B166" s="63">
        <v>45334</v>
      </c>
      <c r="C166" s="22" t="s">
        <v>211</v>
      </c>
      <c r="D166" s="22" t="str">
        <f>PROPER(TRIM(Raw_Data!D166))</f>
        <v>India</v>
      </c>
      <c r="E166" s="22" t="s">
        <v>25</v>
      </c>
      <c r="F166" s="22" t="s">
        <v>18</v>
      </c>
      <c r="G166" s="66">
        <v>5</v>
      </c>
      <c r="H166" s="2">
        <v>26.25</v>
      </c>
      <c r="I166" s="64">
        <f>PRODUCT(Table13[[#This Row],[Quantity]:[Unit_Price]])</f>
        <v>131.25</v>
      </c>
      <c r="J166" s="2">
        <v>3.35</v>
      </c>
      <c r="K166" s="2">
        <v>37.9</v>
      </c>
      <c r="L166" s="22" t="s">
        <v>26</v>
      </c>
      <c r="M166" s="22" t="s">
        <v>27</v>
      </c>
      <c r="N166" s="22" t="s">
        <v>58</v>
      </c>
      <c r="O166" s="64">
        <f>VLOOKUP($E166,Products!$B$2:$F$11,5,0)</f>
        <v>18</v>
      </c>
      <c r="P166" s="64">
        <f>PRODUCT(Table13[[#This Row],[Quantity]],Table13[[#This Row],[Unit_Cost]])</f>
        <v>90</v>
      </c>
      <c r="Q166" s="65">
        <f>Table13[[#This Row],[Profit]]/Table13[[#This Row],[Total_Sales]]</f>
        <v>0.28876190476190478</v>
      </c>
      <c r="R166" s="1"/>
      <c r="S166" s="1"/>
      <c r="T166" s="1"/>
    </row>
    <row r="167" spans="1:20" x14ac:dyDescent="0.25">
      <c r="A167" s="22" t="s">
        <v>299</v>
      </c>
      <c r="B167" s="63">
        <v>45450</v>
      </c>
      <c r="C167" s="22" t="s">
        <v>300</v>
      </c>
      <c r="D167" s="22" t="str">
        <f>PROPER(TRIM(Raw_Data!D167))</f>
        <v>Uk</v>
      </c>
      <c r="E167" s="22" t="s">
        <v>56</v>
      </c>
      <c r="F167" s="22" t="s">
        <v>57</v>
      </c>
      <c r="G167" s="66">
        <v>10</v>
      </c>
      <c r="H167" s="2">
        <v>31.48</v>
      </c>
      <c r="I167" s="64">
        <f>PRODUCT(Table13[[#This Row],[Quantity]:[Unit_Price]])</f>
        <v>314.8</v>
      </c>
      <c r="J167" s="2">
        <v>10.23</v>
      </c>
      <c r="K167" s="2">
        <v>54.57</v>
      </c>
      <c r="L167" s="22" t="s">
        <v>38</v>
      </c>
      <c r="M167" s="22" t="s">
        <v>32</v>
      </c>
      <c r="N167" s="22" t="s">
        <v>28</v>
      </c>
      <c r="O167" s="64">
        <f>VLOOKUP($E167,Products!$B$2:$F$11,5,0)</f>
        <v>25</v>
      </c>
      <c r="P167" s="64">
        <f>PRODUCT(Table13[[#This Row],[Quantity]],Table13[[#This Row],[Unit_Cost]])</f>
        <v>250</v>
      </c>
      <c r="Q167" s="65">
        <f>Table13[[#This Row],[Profit]]/Table13[[#This Row],[Total_Sales]]</f>
        <v>0.17334815756035576</v>
      </c>
      <c r="R167" s="1"/>
      <c r="S167" s="1"/>
      <c r="T167" s="1"/>
    </row>
    <row r="168" spans="1:20" x14ac:dyDescent="0.25">
      <c r="A168" s="22" t="s">
        <v>301</v>
      </c>
      <c r="B168" s="63">
        <v>45525</v>
      </c>
      <c r="C168" s="22" t="s">
        <v>110</v>
      </c>
      <c r="D168" s="22" t="str">
        <f>PROPER(TRIM(Raw_Data!D168))</f>
        <v>Brazil</v>
      </c>
      <c r="E168" s="22" t="s">
        <v>48</v>
      </c>
      <c r="F168" s="22" t="s">
        <v>37</v>
      </c>
      <c r="G168" s="66">
        <v>21</v>
      </c>
      <c r="H168" s="2">
        <v>30.91</v>
      </c>
      <c r="I168" s="64">
        <f>PRODUCT(Table13[[#This Row],[Quantity]:[Unit_Price]])</f>
        <v>649.11</v>
      </c>
      <c r="J168" s="2">
        <v>38.42</v>
      </c>
      <c r="K168" s="2">
        <v>190.69</v>
      </c>
      <c r="L168" s="22" t="s">
        <v>26</v>
      </c>
      <c r="M168" s="22" t="s">
        <v>32</v>
      </c>
      <c r="N168" s="22" t="s">
        <v>39</v>
      </c>
      <c r="O168" s="64">
        <f>VLOOKUP($E168,Products!$B$2:$F$11,5,0)</f>
        <v>20</v>
      </c>
      <c r="P168" s="64">
        <f>PRODUCT(Table13[[#This Row],[Quantity]],Table13[[#This Row],[Unit_Cost]])</f>
        <v>420</v>
      </c>
      <c r="Q168" s="65">
        <f>Table13[[#This Row],[Profit]]/Table13[[#This Row],[Total_Sales]]</f>
        <v>0.29377147170741474</v>
      </c>
      <c r="R168" s="1"/>
      <c r="S168" s="1"/>
      <c r="T168" s="1"/>
    </row>
    <row r="169" spans="1:20" x14ac:dyDescent="0.25">
      <c r="A169" s="22" t="s">
        <v>302</v>
      </c>
      <c r="B169" s="63">
        <v>45788</v>
      </c>
      <c r="C169" s="22" t="s">
        <v>303</v>
      </c>
      <c r="D169" s="22" t="str">
        <f>PROPER(TRIM(Raw_Data!D169))</f>
        <v>Singapore</v>
      </c>
      <c r="E169" s="22" t="s">
        <v>63</v>
      </c>
      <c r="F169" s="22" t="s">
        <v>37</v>
      </c>
      <c r="G169" s="66">
        <v>29</v>
      </c>
      <c r="H169" s="2">
        <v>18.47</v>
      </c>
      <c r="I169" s="64">
        <f>PRODUCT(Table13[[#This Row],[Quantity]:[Unit_Price]])</f>
        <v>535.63</v>
      </c>
      <c r="J169" s="2">
        <v>13.21</v>
      </c>
      <c r="K169" s="2">
        <v>152.66999999999999</v>
      </c>
      <c r="L169" s="22" t="s">
        <v>19</v>
      </c>
      <c r="M169" s="22" t="s">
        <v>20</v>
      </c>
      <c r="N169" s="22" t="s">
        <v>58</v>
      </c>
      <c r="O169" s="64">
        <f>VLOOKUP($E169,Products!$B$2:$F$11,5,0)</f>
        <v>12.75</v>
      </c>
      <c r="P169" s="64">
        <f>PRODUCT(Table13[[#This Row],[Quantity]],Table13[[#This Row],[Unit_Cost]])</f>
        <v>369.75</v>
      </c>
      <c r="Q169" s="65">
        <f>Table13[[#This Row],[Profit]]/Table13[[#This Row],[Total_Sales]]</f>
        <v>0.28502884453820732</v>
      </c>
      <c r="R169" s="1"/>
      <c r="S169" s="1"/>
      <c r="T169" s="1"/>
    </row>
    <row r="170" spans="1:20" x14ac:dyDescent="0.25">
      <c r="A170" s="22" t="s">
        <v>304</v>
      </c>
      <c r="B170" s="63">
        <v>45616</v>
      </c>
      <c r="C170" s="22" t="s">
        <v>115</v>
      </c>
      <c r="D170" s="22" t="str">
        <f>PROPER(TRIM(Raw_Data!D170))</f>
        <v>Mexico</v>
      </c>
      <c r="E170" s="22" t="s">
        <v>17</v>
      </c>
      <c r="F170" s="22" t="s">
        <v>18</v>
      </c>
      <c r="G170" s="66">
        <v>36</v>
      </c>
      <c r="H170" s="2">
        <v>44.79</v>
      </c>
      <c r="I170" s="64">
        <f>PRODUCT(Table13[[#This Row],[Quantity]:[Unit_Price]])</f>
        <v>1612.44</v>
      </c>
      <c r="J170" s="2">
        <v>68.599999999999994</v>
      </c>
      <c r="K170" s="2">
        <v>283.83999999999997</v>
      </c>
      <c r="L170" s="22" t="s">
        <v>38</v>
      </c>
      <c r="M170" s="22" t="s">
        <v>27</v>
      </c>
      <c r="N170" s="22" t="s">
        <v>21</v>
      </c>
      <c r="O170" s="64">
        <f>VLOOKUP($E170,Products!$B$2:$F$11,5,0)</f>
        <v>35</v>
      </c>
      <c r="P170" s="64">
        <f>PRODUCT(Table13[[#This Row],[Quantity]],Table13[[#This Row],[Unit_Cost]])</f>
        <v>1260</v>
      </c>
      <c r="Q170" s="65">
        <f>Table13[[#This Row],[Profit]]/Table13[[#This Row],[Total_Sales]]</f>
        <v>0.1760313562055022</v>
      </c>
      <c r="R170" s="1"/>
      <c r="S170" s="1"/>
      <c r="T170" s="1"/>
    </row>
    <row r="171" spans="1:20" x14ac:dyDescent="0.25">
      <c r="A171" s="22" t="s">
        <v>305</v>
      </c>
      <c r="B171" s="63">
        <v>45405</v>
      </c>
      <c r="C171" s="22" t="s">
        <v>306</v>
      </c>
      <c r="D171" s="22" t="str">
        <f>PROPER(TRIM(Raw_Data!D171))</f>
        <v>Brazil</v>
      </c>
      <c r="E171" s="22" t="s">
        <v>60</v>
      </c>
      <c r="F171" s="22" t="s">
        <v>52</v>
      </c>
      <c r="G171" s="66">
        <v>3</v>
      </c>
      <c r="H171" s="2">
        <v>18.86</v>
      </c>
      <c r="I171" s="64">
        <f>PRODUCT(Table13[[#This Row],[Quantity]:[Unit_Price]])</f>
        <v>56.58</v>
      </c>
      <c r="J171" s="2">
        <v>2.61</v>
      </c>
      <c r="K171" s="2">
        <v>7.47</v>
      </c>
      <c r="L171" s="22" t="s">
        <v>26</v>
      </c>
      <c r="M171" s="22" t="s">
        <v>32</v>
      </c>
      <c r="N171" s="22" t="s">
        <v>39</v>
      </c>
      <c r="O171" s="64">
        <f>VLOOKUP($E171,Products!$B$2:$F$11,5,0)</f>
        <v>15.5</v>
      </c>
      <c r="P171" s="64">
        <f>PRODUCT(Table13[[#This Row],[Quantity]],Table13[[#This Row],[Unit_Cost]])</f>
        <v>46.5</v>
      </c>
      <c r="Q171" s="65">
        <f>Table13[[#This Row],[Profit]]/Table13[[#This Row],[Total_Sales]]</f>
        <v>0.1320254506892895</v>
      </c>
      <c r="R171" s="1"/>
      <c r="S171" s="1"/>
      <c r="T171" s="1"/>
    </row>
    <row r="172" spans="1:20" x14ac:dyDescent="0.25">
      <c r="A172" s="22" t="s">
        <v>307</v>
      </c>
      <c r="B172" s="63">
        <v>45597</v>
      </c>
      <c r="C172" s="22" t="s">
        <v>50</v>
      </c>
      <c r="D172" s="22" t="str">
        <f>PROPER(TRIM(Raw_Data!D172))</f>
        <v>China</v>
      </c>
      <c r="E172" s="22" t="s">
        <v>83</v>
      </c>
      <c r="F172" s="22" t="s">
        <v>52</v>
      </c>
      <c r="G172" s="66">
        <v>10</v>
      </c>
      <c r="H172" s="2">
        <v>45.86</v>
      </c>
      <c r="I172" s="64">
        <f>PRODUCT(Table13[[#This Row],[Quantity]:[Unit_Price]])</f>
        <v>458.6</v>
      </c>
      <c r="J172" s="2">
        <v>14.4</v>
      </c>
      <c r="K172" s="2">
        <v>164.2</v>
      </c>
      <c r="L172" s="22" t="s">
        <v>38</v>
      </c>
      <c r="M172" s="22" t="s">
        <v>20</v>
      </c>
      <c r="N172" s="22" t="s">
        <v>58</v>
      </c>
      <c r="O172" s="64">
        <f>VLOOKUP($E172,Products!$B$2:$F$11,5,0)</f>
        <v>28</v>
      </c>
      <c r="P172" s="64">
        <f>PRODUCT(Table13[[#This Row],[Quantity]],Table13[[#This Row],[Unit_Cost]])</f>
        <v>280</v>
      </c>
      <c r="Q172" s="65">
        <f>Table13[[#This Row],[Profit]]/Table13[[#This Row],[Total_Sales]]</f>
        <v>0.35804622764936761</v>
      </c>
      <c r="R172" s="1"/>
      <c r="S172" s="1"/>
      <c r="T172" s="1"/>
    </row>
    <row r="173" spans="1:20" x14ac:dyDescent="0.25">
      <c r="A173" s="22" t="s">
        <v>308</v>
      </c>
      <c r="B173" s="63">
        <v>45335</v>
      </c>
      <c r="C173" s="22" t="s">
        <v>306</v>
      </c>
      <c r="D173" s="22" t="str">
        <f>PROPER(TRIM(Raw_Data!D173))</f>
        <v>Italy</v>
      </c>
      <c r="E173" s="22" t="s">
        <v>25</v>
      </c>
      <c r="F173" s="22" t="s">
        <v>18</v>
      </c>
      <c r="G173" s="66">
        <v>1</v>
      </c>
      <c r="H173" s="2">
        <v>24.64</v>
      </c>
      <c r="I173" s="64">
        <f>PRODUCT(Table13[[#This Row],[Quantity]:[Unit_Price]])</f>
        <v>24.64</v>
      </c>
      <c r="J173" s="2">
        <v>0.65</v>
      </c>
      <c r="K173" s="2">
        <v>5.99</v>
      </c>
      <c r="L173" s="22" t="s">
        <v>38</v>
      </c>
      <c r="M173" s="22" t="s">
        <v>27</v>
      </c>
      <c r="N173" s="22" t="s">
        <v>28</v>
      </c>
      <c r="O173" s="64">
        <f>VLOOKUP($E173,Products!$B$2:$F$11,5,0)</f>
        <v>18</v>
      </c>
      <c r="P173" s="64">
        <f>PRODUCT(Table13[[#This Row],[Quantity]],Table13[[#This Row],[Unit_Cost]])</f>
        <v>18</v>
      </c>
      <c r="Q173" s="65">
        <f>Table13[[#This Row],[Profit]]/Table13[[#This Row],[Total_Sales]]</f>
        <v>0.24310064935064934</v>
      </c>
      <c r="R173" s="1"/>
      <c r="S173" s="1"/>
      <c r="T173" s="1"/>
    </row>
    <row r="174" spans="1:20" x14ac:dyDescent="0.25">
      <c r="A174" s="22" t="s">
        <v>309</v>
      </c>
      <c r="B174" s="63">
        <v>45503</v>
      </c>
      <c r="C174" s="22" t="s">
        <v>154</v>
      </c>
      <c r="D174" s="22" t="str">
        <f>PROPER(TRIM(Raw_Data!D174))</f>
        <v>Italy</v>
      </c>
      <c r="E174" s="22" t="s">
        <v>60</v>
      </c>
      <c r="F174" s="22" t="s">
        <v>52</v>
      </c>
      <c r="G174" s="66">
        <v>49</v>
      </c>
      <c r="H174" s="2">
        <v>22.8</v>
      </c>
      <c r="I174" s="64">
        <f>PRODUCT(Table13[[#This Row],[Quantity]:[Unit_Price]])</f>
        <v>1117.2</v>
      </c>
      <c r="J174" s="2">
        <v>51.06</v>
      </c>
      <c r="K174" s="2">
        <v>306.64</v>
      </c>
      <c r="L174" s="22" t="s">
        <v>19</v>
      </c>
      <c r="M174" s="22" t="s">
        <v>27</v>
      </c>
      <c r="N174" s="22" t="s">
        <v>28</v>
      </c>
      <c r="O174" s="64">
        <f>VLOOKUP($E174,Products!$B$2:$F$11,5,0)</f>
        <v>15.5</v>
      </c>
      <c r="P174" s="64">
        <f>PRODUCT(Table13[[#This Row],[Quantity]],Table13[[#This Row],[Unit_Cost]])</f>
        <v>759.5</v>
      </c>
      <c r="Q174" s="65">
        <f>Table13[[#This Row],[Profit]]/Table13[[#This Row],[Total_Sales]]</f>
        <v>0.27447189402076616</v>
      </c>
      <c r="R174" s="1"/>
      <c r="S174" s="1"/>
      <c r="T174" s="1"/>
    </row>
    <row r="175" spans="1:20" x14ac:dyDescent="0.25">
      <c r="A175" s="22" t="s">
        <v>310</v>
      </c>
      <c r="B175" s="63">
        <v>45596</v>
      </c>
      <c r="C175" s="22" t="s">
        <v>193</v>
      </c>
      <c r="D175" s="22" t="str">
        <f>PROPER(TRIM(Raw_Data!D175))</f>
        <v>Mexico</v>
      </c>
      <c r="E175" s="22" t="s">
        <v>17</v>
      </c>
      <c r="F175" s="22" t="s">
        <v>18</v>
      </c>
      <c r="G175" s="66">
        <v>32</v>
      </c>
      <c r="H175" s="2">
        <v>44.5</v>
      </c>
      <c r="I175" s="64">
        <f>PRODUCT(Table13[[#This Row],[Quantity]:[Unit_Price]])</f>
        <v>1424</v>
      </c>
      <c r="J175" s="2">
        <v>43.92</v>
      </c>
      <c r="K175" s="2">
        <v>260.08</v>
      </c>
      <c r="L175" s="22" t="s">
        <v>38</v>
      </c>
      <c r="M175" s="22" t="s">
        <v>27</v>
      </c>
      <c r="N175" s="22" t="s">
        <v>21</v>
      </c>
      <c r="O175" s="64">
        <f>VLOOKUP($E175,Products!$B$2:$F$11,5,0)</f>
        <v>35</v>
      </c>
      <c r="P175" s="64">
        <f>PRODUCT(Table13[[#This Row],[Quantity]],Table13[[#This Row],[Unit_Cost]])</f>
        <v>1120</v>
      </c>
      <c r="Q175" s="65">
        <f>Table13[[#This Row],[Profit]]/Table13[[#This Row],[Total_Sales]]</f>
        <v>0.18264044943820223</v>
      </c>
      <c r="R175" s="1"/>
      <c r="S175" s="1"/>
      <c r="T175" s="1"/>
    </row>
    <row r="176" spans="1:20" x14ac:dyDescent="0.25">
      <c r="A176" s="22" t="s">
        <v>311</v>
      </c>
      <c r="B176" s="63">
        <v>45530</v>
      </c>
      <c r="C176" s="22" t="s">
        <v>209</v>
      </c>
      <c r="D176" s="22" t="str">
        <f>PROPER(TRIM(Raw_Data!D176))</f>
        <v>Brazil</v>
      </c>
      <c r="E176" s="22" t="s">
        <v>17</v>
      </c>
      <c r="F176" s="22" t="s">
        <v>18</v>
      </c>
      <c r="G176" s="66">
        <v>43</v>
      </c>
      <c r="H176" s="2">
        <v>55.74</v>
      </c>
      <c r="I176" s="64">
        <f>PRODUCT(Table13[[#This Row],[Quantity]:[Unit_Price]])</f>
        <v>2396.8200000000002</v>
      </c>
      <c r="J176" s="2">
        <v>63.85</v>
      </c>
      <c r="K176" s="2">
        <v>827.97</v>
      </c>
      <c r="L176" s="22" t="s">
        <v>26</v>
      </c>
      <c r="M176" s="22" t="s">
        <v>32</v>
      </c>
      <c r="N176" s="22" t="s">
        <v>39</v>
      </c>
      <c r="O176" s="64">
        <f>VLOOKUP($E176,Products!$B$2:$F$11,5,0)</f>
        <v>35</v>
      </c>
      <c r="P176" s="64">
        <f>PRODUCT(Table13[[#This Row],[Quantity]],Table13[[#This Row],[Unit_Cost]])</f>
        <v>1505</v>
      </c>
      <c r="Q176" s="65">
        <f>Table13[[#This Row],[Profit]]/Table13[[#This Row],[Total_Sales]]</f>
        <v>0.34544521490975544</v>
      </c>
      <c r="R176" s="1"/>
      <c r="S176" s="1"/>
      <c r="T176" s="1"/>
    </row>
    <row r="177" spans="1:20" x14ac:dyDescent="0.25">
      <c r="A177" s="22" t="s">
        <v>312</v>
      </c>
      <c r="B177" s="63">
        <v>45592</v>
      </c>
      <c r="C177" s="22" t="s">
        <v>105</v>
      </c>
      <c r="D177" s="22" t="str">
        <f>PROPER(TRIM(Raw_Data!D177))</f>
        <v>Singapore</v>
      </c>
      <c r="E177" s="22" t="s">
        <v>60</v>
      </c>
      <c r="F177" s="22" t="s">
        <v>52</v>
      </c>
      <c r="G177" s="66">
        <v>19</v>
      </c>
      <c r="H177" s="2">
        <v>25.78</v>
      </c>
      <c r="I177" s="64">
        <f>PRODUCT(Table13[[#This Row],[Quantity]:[Unit_Price]])</f>
        <v>489.82000000000005</v>
      </c>
      <c r="J177" s="2">
        <v>28.4</v>
      </c>
      <c r="K177" s="2">
        <v>166.92</v>
      </c>
      <c r="L177" s="22" t="s">
        <v>38</v>
      </c>
      <c r="M177" s="22" t="s">
        <v>27</v>
      </c>
      <c r="N177" s="22" t="s">
        <v>58</v>
      </c>
      <c r="O177" s="64">
        <f>VLOOKUP($E177,Products!$B$2:$F$11,5,0)</f>
        <v>15.5</v>
      </c>
      <c r="P177" s="64">
        <f>PRODUCT(Table13[[#This Row],[Quantity]],Table13[[#This Row],[Unit_Cost]])</f>
        <v>294.5</v>
      </c>
      <c r="Q177" s="65">
        <f>Table13[[#This Row],[Profit]]/Table13[[#This Row],[Total_Sales]]</f>
        <v>0.34077824506961735</v>
      </c>
      <c r="R177" s="1"/>
      <c r="S177" s="1"/>
      <c r="T177" s="1"/>
    </row>
    <row r="178" spans="1:20" x14ac:dyDescent="0.25">
      <c r="A178" s="22" t="s">
        <v>313</v>
      </c>
      <c r="B178" s="63">
        <v>45348</v>
      </c>
      <c r="C178" s="22" t="s">
        <v>246</v>
      </c>
      <c r="D178" s="22" t="str">
        <f>PROPER(TRIM(Raw_Data!D178))</f>
        <v>Mexico</v>
      </c>
      <c r="E178" s="22" t="s">
        <v>25</v>
      </c>
      <c r="F178" s="22" t="s">
        <v>18</v>
      </c>
      <c r="G178" s="66">
        <v>43</v>
      </c>
      <c r="H178" s="2">
        <v>30.43</v>
      </c>
      <c r="I178" s="64">
        <f>PRODUCT(Table13[[#This Row],[Quantity]:[Unit_Price]])</f>
        <v>1308.49</v>
      </c>
      <c r="J178" s="2">
        <v>35.340000000000003</v>
      </c>
      <c r="K178" s="2">
        <v>499.15</v>
      </c>
      <c r="L178" s="22" t="s">
        <v>26</v>
      </c>
      <c r="M178" s="22" t="s">
        <v>27</v>
      </c>
      <c r="N178" s="22" t="s">
        <v>21</v>
      </c>
      <c r="O178" s="64">
        <f>VLOOKUP($E178,Products!$B$2:$F$11,5,0)</f>
        <v>18</v>
      </c>
      <c r="P178" s="64">
        <f>PRODUCT(Table13[[#This Row],[Quantity]],Table13[[#This Row],[Unit_Cost]])</f>
        <v>774</v>
      </c>
      <c r="Q178" s="65">
        <f>Table13[[#This Row],[Profit]]/Table13[[#This Row],[Total_Sales]]</f>
        <v>0.38147024432743082</v>
      </c>
      <c r="R178" s="1"/>
      <c r="S178" s="1"/>
      <c r="T178" s="1"/>
    </row>
    <row r="179" spans="1:20" x14ac:dyDescent="0.25">
      <c r="A179" s="22" t="s">
        <v>314</v>
      </c>
      <c r="B179" s="63">
        <v>45629</v>
      </c>
      <c r="C179" s="22" t="s">
        <v>315</v>
      </c>
      <c r="D179" s="22" t="str">
        <f>PROPER(TRIM(Raw_Data!D179))</f>
        <v>France</v>
      </c>
      <c r="E179" s="22" t="s">
        <v>60</v>
      </c>
      <c r="F179" s="22" t="s">
        <v>52</v>
      </c>
      <c r="G179" s="66">
        <v>17</v>
      </c>
      <c r="H179" s="2">
        <v>18.71</v>
      </c>
      <c r="I179" s="64">
        <f>PRODUCT(Table13[[#This Row],[Quantity]:[Unit_Price]])</f>
        <v>318.07</v>
      </c>
      <c r="J179" s="2">
        <v>22.03</v>
      </c>
      <c r="K179" s="2">
        <v>32.54</v>
      </c>
      <c r="L179" s="22" t="s">
        <v>38</v>
      </c>
      <c r="M179" s="22" t="s">
        <v>20</v>
      </c>
      <c r="N179" s="22" t="s">
        <v>28</v>
      </c>
      <c r="O179" s="64">
        <f>VLOOKUP($E179,Products!$B$2:$F$11,5,0)</f>
        <v>15.5</v>
      </c>
      <c r="P179" s="64">
        <f>PRODUCT(Table13[[#This Row],[Quantity]],Table13[[#This Row],[Unit_Cost]])</f>
        <v>263.5</v>
      </c>
      <c r="Q179" s="65">
        <f>Table13[[#This Row],[Profit]]/Table13[[#This Row],[Total_Sales]]</f>
        <v>0.10230452416134814</v>
      </c>
      <c r="R179" s="1"/>
      <c r="S179" s="1"/>
      <c r="T179" s="1"/>
    </row>
    <row r="180" spans="1:20" x14ac:dyDescent="0.25">
      <c r="A180" s="22" t="s">
        <v>316</v>
      </c>
      <c r="B180" s="63">
        <v>45362</v>
      </c>
      <c r="C180" s="22" t="s">
        <v>41</v>
      </c>
      <c r="D180" s="22" t="str">
        <f>PROPER(TRIM(Raw_Data!D180))</f>
        <v>China</v>
      </c>
      <c r="E180" s="22" t="s">
        <v>60</v>
      </c>
      <c r="F180" s="22" t="s">
        <v>52</v>
      </c>
      <c r="G180" s="66">
        <v>44</v>
      </c>
      <c r="H180" s="2">
        <v>23.87</v>
      </c>
      <c r="I180" s="64">
        <f>PRODUCT(Table13[[#This Row],[Quantity]:[Unit_Price]])</f>
        <v>1050.28</v>
      </c>
      <c r="J180" s="2">
        <v>33.51</v>
      </c>
      <c r="K180" s="2">
        <v>334.77</v>
      </c>
      <c r="L180" s="22" t="s">
        <v>19</v>
      </c>
      <c r="M180" s="22" t="s">
        <v>27</v>
      </c>
      <c r="N180" s="22" t="s">
        <v>58</v>
      </c>
      <c r="O180" s="64">
        <f>VLOOKUP($E180,Products!$B$2:$F$11,5,0)</f>
        <v>15.5</v>
      </c>
      <c r="P180" s="64">
        <f>PRODUCT(Table13[[#This Row],[Quantity]],Table13[[#This Row],[Unit_Cost]])</f>
        <v>682</v>
      </c>
      <c r="Q180" s="65">
        <f>Table13[[#This Row],[Profit]]/Table13[[#This Row],[Total_Sales]]</f>
        <v>0.31874357314240009</v>
      </c>
      <c r="R180" s="1"/>
      <c r="S180" s="1"/>
      <c r="T180" s="1"/>
    </row>
    <row r="181" spans="1:20" x14ac:dyDescent="0.25">
      <c r="A181" s="22" t="s">
        <v>317</v>
      </c>
      <c r="B181" s="63">
        <v>45542</v>
      </c>
      <c r="C181" s="22" t="s">
        <v>121</v>
      </c>
      <c r="D181" s="22" t="str">
        <f>PROPER(TRIM(Raw_Data!D181))</f>
        <v>Australia</v>
      </c>
      <c r="E181" s="22" t="s">
        <v>36</v>
      </c>
      <c r="F181" s="22" t="s">
        <v>37</v>
      </c>
      <c r="G181" s="66">
        <v>12</v>
      </c>
      <c r="H181" s="2">
        <v>42.91</v>
      </c>
      <c r="I181" s="64">
        <f>PRODUCT(Table13[[#This Row],[Quantity]:[Unit_Price]])</f>
        <v>514.91999999999996</v>
      </c>
      <c r="J181" s="2">
        <v>15.18</v>
      </c>
      <c r="K181" s="2">
        <v>115.74</v>
      </c>
      <c r="L181" s="22" t="s">
        <v>38</v>
      </c>
      <c r="M181" s="22" t="s">
        <v>32</v>
      </c>
      <c r="N181" s="22" t="s">
        <v>130</v>
      </c>
      <c r="O181" s="64">
        <f>VLOOKUP($E181,Products!$B$2:$F$11,5,0)</f>
        <v>32</v>
      </c>
      <c r="P181" s="64">
        <f>PRODUCT(Table13[[#This Row],[Quantity]],Table13[[#This Row],[Unit_Cost]])</f>
        <v>384</v>
      </c>
      <c r="Q181" s="65">
        <f>Table13[[#This Row],[Profit]]/Table13[[#This Row],[Total_Sales]]</f>
        <v>0.22477278023770683</v>
      </c>
      <c r="R181" s="1"/>
      <c r="S181" s="1"/>
      <c r="T181" s="1"/>
    </row>
    <row r="182" spans="1:20" x14ac:dyDescent="0.25">
      <c r="A182" s="22" t="s">
        <v>318</v>
      </c>
      <c r="B182" s="63">
        <v>45617</v>
      </c>
      <c r="C182" s="22" t="s">
        <v>319</v>
      </c>
      <c r="D182" s="22" t="str">
        <f>PROPER(TRIM(Raw_Data!D182))</f>
        <v>India</v>
      </c>
      <c r="E182" s="22" t="s">
        <v>43</v>
      </c>
      <c r="F182" s="22" t="s">
        <v>44</v>
      </c>
      <c r="G182" s="66">
        <v>21</v>
      </c>
      <c r="H182" s="2">
        <v>50.49</v>
      </c>
      <c r="I182" s="64">
        <f>PRODUCT(Table13[[#This Row],[Quantity]:[Unit_Price]])</f>
        <v>1060.29</v>
      </c>
      <c r="J182" s="2">
        <v>32.340000000000003</v>
      </c>
      <c r="K182" s="2">
        <v>187.95</v>
      </c>
      <c r="L182" s="22" t="s">
        <v>38</v>
      </c>
      <c r="M182" s="22" t="s">
        <v>20</v>
      </c>
      <c r="N182" s="22" t="s">
        <v>58</v>
      </c>
      <c r="O182" s="64">
        <f>VLOOKUP($E182,Products!$B$2:$F$11,5,0)</f>
        <v>40</v>
      </c>
      <c r="P182" s="64">
        <f>PRODUCT(Table13[[#This Row],[Quantity]],Table13[[#This Row],[Unit_Cost]])</f>
        <v>840</v>
      </c>
      <c r="Q182" s="65">
        <f>Table13[[#This Row],[Profit]]/Table13[[#This Row],[Total_Sales]]</f>
        <v>0.17726282432164783</v>
      </c>
      <c r="R182" s="1"/>
      <c r="S182" s="1"/>
      <c r="T182" s="1"/>
    </row>
    <row r="183" spans="1:20" x14ac:dyDescent="0.25">
      <c r="A183" s="22" t="s">
        <v>320</v>
      </c>
      <c r="B183" s="63">
        <v>45629</v>
      </c>
      <c r="C183" s="22" t="s">
        <v>193</v>
      </c>
      <c r="D183" s="22" t="str">
        <f>PROPER(TRIM(Raw_Data!D183))</f>
        <v>Italy</v>
      </c>
      <c r="E183" s="22" t="s">
        <v>17</v>
      </c>
      <c r="F183" s="22" t="s">
        <v>18</v>
      </c>
      <c r="G183" s="66">
        <v>41</v>
      </c>
      <c r="H183" s="2">
        <v>43.18</v>
      </c>
      <c r="I183" s="64">
        <f>PRODUCT(Table13[[#This Row],[Quantity]:[Unit_Price]])</f>
        <v>1770.3799999999999</v>
      </c>
      <c r="J183" s="2">
        <v>128.4</v>
      </c>
      <c r="K183" s="2">
        <v>206.98</v>
      </c>
      <c r="L183" s="22" t="s">
        <v>26</v>
      </c>
      <c r="M183" s="22" t="s">
        <v>32</v>
      </c>
      <c r="N183" s="22" t="s">
        <v>28</v>
      </c>
      <c r="O183" s="64">
        <f>VLOOKUP($E183,Products!$B$2:$F$11,5,0)</f>
        <v>35</v>
      </c>
      <c r="P183" s="64">
        <f>PRODUCT(Table13[[#This Row],[Quantity]],Table13[[#This Row],[Unit_Cost]])</f>
        <v>1435</v>
      </c>
      <c r="Q183" s="65">
        <f>Table13[[#This Row],[Profit]]/Table13[[#This Row],[Total_Sales]]</f>
        <v>0.11691275319422949</v>
      </c>
      <c r="R183" s="1"/>
      <c r="S183" s="1"/>
      <c r="T183" s="1"/>
    </row>
    <row r="184" spans="1:20" x14ac:dyDescent="0.25">
      <c r="A184" s="22" t="s">
        <v>321</v>
      </c>
      <c r="B184" s="63">
        <v>45367</v>
      </c>
      <c r="C184" s="22" t="s">
        <v>100</v>
      </c>
      <c r="D184" s="22" t="str">
        <f>PROPER(TRIM(Raw_Data!D184))</f>
        <v>Australia</v>
      </c>
      <c r="E184" s="22" t="s">
        <v>63</v>
      </c>
      <c r="F184" s="22" t="s">
        <v>37</v>
      </c>
      <c r="G184" s="66">
        <v>37</v>
      </c>
      <c r="H184" s="2">
        <v>19.8</v>
      </c>
      <c r="I184" s="64">
        <f>PRODUCT(Table13[[#This Row],[Quantity]:[Unit_Price]])</f>
        <v>732.6</v>
      </c>
      <c r="J184" s="2">
        <v>54.68</v>
      </c>
      <c r="K184" s="2">
        <v>206.17</v>
      </c>
      <c r="L184" s="22" t="s">
        <v>19</v>
      </c>
      <c r="M184" s="22" t="s">
        <v>27</v>
      </c>
      <c r="N184" s="22" t="s">
        <v>130</v>
      </c>
      <c r="O184" s="64">
        <f>VLOOKUP($E184,Products!$B$2:$F$11,5,0)</f>
        <v>12.75</v>
      </c>
      <c r="P184" s="64">
        <f>PRODUCT(Table13[[#This Row],[Quantity]],Table13[[#This Row],[Unit_Cost]])</f>
        <v>471.75</v>
      </c>
      <c r="Q184" s="65">
        <f>Table13[[#This Row],[Profit]]/Table13[[#This Row],[Total_Sales]]</f>
        <v>0.28142233142233142</v>
      </c>
      <c r="R184" s="1"/>
      <c r="S184" s="1"/>
      <c r="T184" s="1"/>
    </row>
    <row r="185" spans="1:20" x14ac:dyDescent="0.25">
      <c r="A185" s="22" t="s">
        <v>322</v>
      </c>
      <c r="B185" s="63">
        <v>45372</v>
      </c>
      <c r="C185" s="22" t="s">
        <v>323</v>
      </c>
      <c r="D185" s="22" t="str">
        <f>PROPER(TRIM(Raw_Data!D185))</f>
        <v>Mexico</v>
      </c>
      <c r="E185" s="22" t="s">
        <v>63</v>
      </c>
      <c r="F185" s="22" t="s">
        <v>37</v>
      </c>
      <c r="G185" s="66">
        <v>4</v>
      </c>
      <c r="H185" s="2">
        <v>18.059999999999999</v>
      </c>
      <c r="I185" s="64">
        <f>PRODUCT(Table13[[#This Row],[Quantity]:[Unit_Price]])</f>
        <v>72.239999999999995</v>
      </c>
      <c r="J185" s="2">
        <v>4.66</v>
      </c>
      <c r="K185" s="2">
        <v>16.579999999999998</v>
      </c>
      <c r="L185" s="22" t="s">
        <v>19</v>
      </c>
      <c r="M185" s="22" t="s">
        <v>20</v>
      </c>
      <c r="N185" s="22" t="s">
        <v>21</v>
      </c>
      <c r="O185" s="64">
        <f>VLOOKUP($E185,Products!$B$2:$F$11,5,0)</f>
        <v>12.75</v>
      </c>
      <c r="P185" s="64">
        <f>PRODUCT(Table13[[#This Row],[Quantity]],Table13[[#This Row],[Unit_Cost]])</f>
        <v>51</v>
      </c>
      <c r="Q185" s="65">
        <f>Table13[[#This Row],[Profit]]/Table13[[#This Row],[Total_Sales]]</f>
        <v>0.22951273532668881</v>
      </c>
      <c r="R185" s="1"/>
      <c r="S185" s="1"/>
      <c r="T185" s="1"/>
    </row>
    <row r="186" spans="1:20" x14ac:dyDescent="0.25">
      <c r="A186" s="22" t="s">
        <v>324</v>
      </c>
      <c r="B186" s="63">
        <v>45651</v>
      </c>
      <c r="C186" s="22" t="s">
        <v>246</v>
      </c>
      <c r="D186" s="22" t="str">
        <f>PROPER(TRIM(Raw_Data!D186))</f>
        <v>Usa</v>
      </c>
      <c r="E186" s="22" t="s">
        <v>17</v>
      </c>
      <c r="F186" s="22" t="s">
        <v>18</v>
      </c>
      <c r="G186" s="66">
        <v>40</v>
      </c>
      <c r="H186" s="2">
        <v>55.59</v>
      </c>
      <c r="I186" s="64">
        <f>PRODUCT(Table13[[#This Row],[Quantity]:[Unit_Price]])</f>
        <v>2223.6000000000004</v>
      </c>
      <c r="J186" s="2">
        <v>74.569999999999993</v>
      </c>
      <c r="K186" s="2">
        <v>749.03</v>
      </c>
      <c r="L186" s="22" t="s">
        <v>19</v>
      </c>
      <c r="M186" s="22" t="s">
        <v>20</v>
      </c>
      <c r="N186" s="22" t="s">
        <v>21</v>
      </c>
      <c r="O186" s="64">
        <f>VLOOKUP($E186,Products!$B$2:$F$11,5,0)</f>
        <v>35</v>
      </c>
      <c r="P186" s="64">
        <f>PRODUCT(Table13[[#This Row],[Quantity]],Table13[[#This Row],[Unit_Cost]])</f>
        <v>1400</v>
      </c>
      <c r="Q186" s="65">
        <f>Table13[[#This Row],[Profit]]/Table13[[#This Row],[Total_Sales]]</f>
        <v>0.33685465011692745</v>
      </c>
      <c r="R186" s="1"/>
      <c r="S186" s="1"/>
      <c r="T186" s="1"/>
    </row>
    <row r="187" spans="1:20" x14ac:dyDescent="0.25">
      <c r="A187" s="22" t="s">
        <v>325</v>
      </c>
      <c r="B187" s="63">
        <v>45755</v>
      </c>
      <c r="C187" s="22" t="s">
        <v>15</v>
      </c>
      <c r="D187" s="22" t="str">
        <f>PROPER(TRIM(Raw_Data!D187))</f>
        <v>Japan</v>
      </c>
      <c r="E187" s="22" t="s">
        <v>56</v>
      </c>
      <c r="F187" s="22" t="s">
        <v>57</v>
      </c>
      <c r="G187" s="66">
        <v>5</v>
      </c>
      <c r="H187" s="2">
        <v>31.58</v>
      </c>
      <c r="I187" s="64">
        <f>PRODUCT(Table13[[#This Row],[Quantity]:[Unit_Price]])</f>
        <v>157.89999999999998</v>
      </c>
      <c r="J187" s="2">
        <v>3.73</v>
      </c>
      <c r="K187" s="2">
        <v>29.17</v>
      </c>
      <c r="L187" s="22" t="s">
        <v>19</v>
      </c>
      <c r="M187" s="22" t="s">
        <v>27</v>
      </c>
      <c r="N187" s="22" t="s">
        <v>58</v>
      </c>
      <c r="O187" s="64">
        <f>VLOOKUP($E187,Products!$B$2:$F$11,5,0)</f>
        <v>25</v>
      </c>
      <c r="P187" s="64">
        <f>PRODUCT(Table13[[#This Row],[Quantity]],Table13[[#This Row],[Unit_Cost]])</f>
        <v>125</v>
      </c>
      <c r="Q187" s="65">
        <f>Table13[[#This Row],[Profit]]/Table13[[#This Row],[Total_Sales]]</f>
        <v>0.1847371754274858</v>
      </c>
      <c r="R187" s="1"/>
      <c r="S187" s="1"/>
      <c r="T187" s="1"/>
    </row>
    <row r="188" spans="1:20" x14ac:dyDescent="0.25">
      <c r="A188" s="22" t="s">
        <v>326</v>
      </c>
      <c r="B188" s="63">
        <v>45396</v>
      </c>
      <c r="C188" s="22" t="s">
        <v>117</v>
      </c>
      <c r="D188" s="22" t="str">
        <f>PROPER(TRIM(Raw_Data!D188))</f>
        <v>Canada</v>
      </c>
      <c r="E188" s="22" t="s">
        <v>25</v>
      </c>
      <c r="F188" s="22" t="s">
        <v>18</v>
      </c>
      <c r="G188" s="66">
        <v>50</v>
      </c>
      <c r="H188" s="2">
        <v>26.67</v>
      </c>
      <c r="I188" s="64">
        <f>PRODUCT(Table13[[#This Row],[Quantity]:[Unit_Price]])</f>
        <v>1333.5</v>
      </c>
      <c r="J188" s="2">
        <v>80.150000000000006</v>
      </c>
      <c r="K188" s="2">
        <v>353.35</v>
      </c>
      <c r="L188" s="22" t="s">
        <v>38</v>
      </c>
      <c r="M188" s="22" t="s">
        <v>20</v>
      </c>
      <c r="N188" s="22" t="s">
        <v>21</v>
      </c>
      <c r="O188" s="64">
        <f>VLOOKUP($E188,Products!$B$2:$F$11,5,0)</f>
        <v>18</v>
      </c>
      <c r="P188" s="64">
        <f>PRODUCT(Table13[[#This Row],[Quantity]],Table13[[#This Row],[Unit_Cost]])</f>
        <v>900</v>
      </c>
      <c r="Q188" s="65">
        <f>Table13[[#This Row],[Profit]]/Table13[[#This Row],[Total_Sales]]</f>
        <v>0.26497937757780277</v>
      </c>
      <c r="R188" s="1"/>
      <c r="S188" s="1"/>
      <c r="T188" s="1"/>
    </row>
    <row r="189" spans="1:20" x14ac:dyDescent="0.25">
      <c r="A189" s="22" t="s">
        <v>327</v>
      </c>
      <c r="B189" s="63">
        <v>45381</v>
      </c>
      <c r="C189" s="22" t="s">
        <v>221</v>
      </c>
      <c r="D189" s="22" t="str">
        <f>PROPER(TRIM(Raw_Data!D189))</f>
        <v>Singapore</v>
      </c>
      <c r="E189" s="22" t="s">
        <v>60</v>
      </c>
      <c r="F189" s="22" t="s">
        <v>52</v>
      </c>
      <c r="G189" s="66">
        <v>17</v>
      </c>
      <c r="H189" s="2">
        <v>20.68</v>
      </c>
      <c r="I189" s="64">
        <f>PRODUCT(Table13[[#This Row],[Quantity]:[Unit_Price]])</f>
        <v>351.56</v>
      </c>
      <c r="J189" s="2">
        <v>18.47</v>
      </c>
      <c r="K189" s="2">
        <v>69.59</v>
      </c>
      <c r="L189" s="22" t="s">
        <v>38</v>
      </c>
      <c r="M189" s="22" t="s">
        <v>27</v>
      </c>
      <c r="N189" s="22" t="s">
        <v>58</v>
      </c>
      <c r="O189" s="64">
        <f>VLOOKUP($E189,Products!$B$2:$F$11,5,0)</f>
        <v>15.5</v>
      </c>
      <c r="P189" s="64">
        <f>PRODUCT(Table13[[#This Row],[Quantity]],Table13[[#This Row],[Unit_Cost]])</f>
        <v>263.5</v>
      </c>
      <c r="Q189" s="65">
        <f>Table13[[#This Row],[Profit]]/Table13[[#This Row],[Total_Sales]]</f>
        <v>0.19794629650699738</v>
      </c>
      <c r="R189" s="1"/>
      <c r="S189" s="1"/>
      <c r="T189" s="1"/>
    </row>
    <row r="190" spans="1:20" x14ac:dyDescent="0.25">
      <c r="A190" s="22" t="s">
        <v>328</v>
      </c>
      <c r="B190" s="63">
        <v>45756</v>
      </c>
      <c r="C190" s="22" t="s">
        <v>276</v>
      </c>
      <c r="D190" s="22" t="str">
        <f>PROPER(TRIM(Raw_Data!D190))</f>
        <v>South Africa</v>
      </c>
      <c r="E190" s="22" t="s">
        <v>17</v>
      </c>
      <c r="F190" s="22" t="s">
        <v>18</v>
      </c>
      <c r="G190" s="66">
        <v>29</v>
      </c>
      <c r="H190" s="2">
        <v>55.19</v>
      </c>
      <c r="I190" s="64">
        <f>PRODUCT(Table13[[#This Row],[Quantity]:[Unit_Price]])</f>
        <v>1600.51</v>
      </c>
      <c r="J190" s="2">
        <v>103.06</v>
      </c>
      <c r="K190" s="2">
        <v>482.45</v>
      </c>
      <c r="L190" s="22" t="s">
        <v>19</v>
      </c>
      <c r="M190" s="22" t="s">
        <v>32</v>
      </c>
      <c r="N190" s="22" t="s">
        <v>87</v>
      </c>
      <c r="O190" s="64">
        <f>VLOOKUP($E190,Products!$B$2:$F$11,5,0)</f>
        <v>35</v>
      </c>
      <c r="P190" s="64">
        <f>PRODUCT(Table13[[#This Row],[Quantity]],Table13[[#This Row],[Unit_Cost]])</f>
        <v>1015</v>
      </c>
      <c r="Q190" s="65">
        <f>Table13[[#This Row],[Profit]]/Table13[[#This Row],[Total_Sales]]</f>
        <v>0.30143516754034649</v>
      </c>
      <c r="R190" s="1"/>
      <c r="S190" s="1"/>
      <c r="T190" s="1"/>
    </row>
    <row r="191" spans="1:20" x14ac:dyDescent="0.25">
      <c r="A191" s="22" t="s">
        <v>329</v>
      </c>
      <c r="B191" s="63">
        <v>45402</v>
      </c>
      <c r="C191" s="22" t="s">
        <v>330</v>
      </c>
      <c r="D191" s="22" t="str">
        <f>PROPER(TRIM(Raw_Data!D191))</f>
        <v>Singapore</v>
      </c>
      <c r="E191" s="22" t="s">
        <v>17</v>
      </c>
      <c r="F191" s="22" t="s">
        <v>18</v>
      </c>
      <c r="G191" s="66">
        <v>34</v>
      </c>
      <c r="H191" s="2">
        <v>61.62</v>
      </c>
      <c r="I191" s="64">
        <f>PRODUCT(Table13[[#This Row],[Quantity]:[Unit_Price]])</f>
        <v>2095.08</v>
      </c>
      <c r="J191" s="2">
        <v>80.13</v>
      </c>
      <c r="K191" s="2">
        <v>824.95</v>
      </c>
      <c r="L191" s="22" t="s">
        <v>26</v>
      </c>
      <c r="M191" s="22" t="s">
        <v>20</v>
      </c>
      <c r="N191" s="22" t="s">
        <v>58</v>
      </c>
      <c r="O191" s="64">
        <f>VLOOKUP($E191,Products!$B$2:$F$11,5,0)</f>
        <v>35</v>
      </c>
      <c r="P191" s="64">
        <f>PRODUCT(Table13[[#This Row],[Quantity]],Table13[[#This Row],[Unit_Cost]])</f>
        <v>1190</v>
      </c>
      <c r="Q191" s="65">
        <f>Table13[[#This Row],[Profit]]/Table13[[#This Row],[Total_Sales]]</f>
        <v>0.39375584703209426</v>
      </c>
      <c r="R191" s="1"/>
      <c r="S191" s="1"/>
      <c r="T191" s="1"/>
    </row>
    <row r="192" spans="1:20" x14ac:dyDescent="0.25">
      <c r="A192" s="22" t="s">
        <v>331</v>
      </c>
      <c r="B192" s="63">
        <v>45614</v>
      </c>
      <c r="C192" s="22" t="s">
        <v>173</v>
      </c>
      <c r="D192" s="22" t="str">
        <f>PROPER(TRIM(Raw_Data!D192))</f>
        <v>Mexico</v>
      </c>
      <c r="E192" s="22" t="s">
        <v>51</v>
      </c>
      <c r="F192" s="22" t="s">
        <v>52</v>
      </c>
      <c r="G192" s="66">
        <v>10</v>
      </c>
      <c r="H192" s="2">
        <v>40.03</v>
      </c>
      <c r="I192" s="64">
        <f>PRODUCT(Table13[[#This Row],[Quantity]:[Unit_Price]])</f>
        <v>400.3</v>
      </c>
      <c r="J192" s="2">
        <v>25.8</v>
      </c>
      <c r="K192" s="2">
        <v>149.5</v>
      </c>
      <c r="L192" s="22" t="s">
        <v>38</v>
      </c>
      <c r="M192" s="22" t="s">
        <v>20</v>
      </c>
      <c r="N192" s="22" t="s">
        <v>21</v>
      </c>
      <c r="O192" s="64">
        <f>VLOOKUP($E192,Products!$B$2:$F$11,5,0)</f>
        <v>22.5</v>
      </c>
      <c r="P192" s="64">
        <f>PRODUCT(Table13[[#This Row],[Quantity]],Table13[[#This Row],[Unit_Cost]])</f>
        <v>225</v>
      </c>
      <c r="Q192" s="65">
        <f>Table13[[#This Row],[Profit]]/Table13[[#This Row],[Total_Sales]]</f>
        <v>0.37346989757681737</v>
      </c>
      <c r="R192" s="1"/>
      <c r="S192" s="1"/>
      <c r="T192" s="1"/>
    </row>
    <row r="193" spans="1:20" x14ac:dyDescent="0.25">
      <c r="A193" s="22" t="s">
        <v>332</v>
      </c>
      <c r="B193" s="63">
        <v>45744</v>
      </c>
      <c r="C193" s="22" t="s">
        <v>81</v>
      </c>
      <c r="D193" s="22" t="str">
        <f>PROPER(TRIM(Raw_Data!D193))</f>
        <v>Uae</v>
      </c>
      <c r="E193" s="22" t="s">
        <v>48</v>
      </c>
      <c r="F193" s="22" t="s">
        <v>37</v>
      </c>
      <c r="G193" s="66">
        <v>23</v>
      </c>
      <c r="H193" s="2">
        <v>31.3</v>
      </c>
      <c r="I193" s="64">
        <f>PRODUCT(Table13[[#This Row],[Quantity]:[Unit_Price]])</f>
        <v>719.9</v>
      </c>
      <c r="J193" s="2">
        <v>47.88</v>
      </c>
      <c r="K193" s="2">
        <v>212.02</v>
      </c>
      <c r="L193" s="22" t="s">
        <v>26</v>
      </c>
      <c r="M193" s="22" t="s">
        <v>27</v>
      </c>
      <c r="N193" s="22" t="s">
        <v>58</v>
      </c>
      <c r="O193" s="64">
        <f>VLOOKUP($E193,Products!$B$2:$F$11,5,0)</f>
        <v>20</v>
      </c>
      <c r="P193" s="64">
        <f>PRODUCT(Table13[[#This Row],[Quantity]],Table13[[#This Row],[Unit_Cost]])</f>
        <v>460</v>
      </c>
      <c r="Q193" s="65">
        <f>Table13[[#This Row],[Profit]]/Table13[[#This Row],[Total_Sales]]</f>
        <v>0.29451312682316994</v>
      </c>
      <c r="R193" s="1"/>
      <c r="S193" s="1"/>
      <c r="T193" s="1"/>
    </row>
    <row r="194" spans="1:20" x14ac:dyDescent="0.25">
      <c r="A194" s="22" t="s">
        <v>333</v>
      </c>
      <c r="B194" s="63">
        <v>45778</v>
      </c>
      <c r="C194" s="22" t="s">
        <v>91</v>
      </c>
      <c r="D194" s="22" t="str">
        <f>PROPER(TRIM(Raw_Data!D194))</f>
        <v>Mexico</v>
      </c>
      <c r="E194" s="22" t="s">
        <v>17</v>
      </c>
      <c r="F194" s="22" t="s">
        <v>18</v>
      </c>
      <c r="G194" s="66">
        <v>37</v>
      </c>
      <c r="H194" s="2">
        <v>50.39</v>
      </c>
      <c r="I194" s="64">
        <f>PRODUCT(Table13[[#This Row],[Quantity]:[Unit_Price]])</f>
        <v>1864.43</v>
      </c>
      <c r="J194" s="2">
        <v>60.06</v>
      </c>
      <c r="K194" s="2">
        <v>509.37</v>
      </c>
      <c r="L194" s="22" t="s">
        <v>26</v>
      </c>
      <c r="M194" s="22" t="s">
        <v>27</v>
      </c>
      <c r="N194" s="22" t="s">
        <v>21</v>
      </c>
      <c r="O194" s="64">
        <f>VLOOKUP($E194,Products!$B$2:$F$11,5,0)</f>
        <v>35</v>
      </c>
      <c r="P194" s="64">
        <f>PRODUCT(Table13[[#This Row],[Quantity]],Table13[[#This Row],[Unit_Cost]])</f>
        <v>1295</v>
      </c>
      <c r="Q194" s="65">
        <f>Table13[[#This Row],[Profit]]/Table13[[#This Row],[Total_Sales]]</f>
        <v>0.27320414282113031</v>
      </c>
      <c r="R194" s="1"/>
      <c r="S194" s="1"/>
      <c r="T194" s="1"/>
    </row>
    <row r="195" spans="1:20" x14ac:dyDescent="0.25">
      <c r="A195" s="22" t="s">
        <v>334</v>
      </c>
      <c r="B195" s="63">
        <v>45644</v>
      </c>
      <c r="C195" s="22" t="s">
        <v>278</v>
      </c>
      <c r="D195" s="22" t="str">
        <f>PROPER(TRIM(Raw_Data!D195))</f>
        <v>Usa</v>
      </c>
      <c r="E195" s="22" t="s">
        <v>63</v>
      </c>
      <c r="F195" s="22" t="s">
        <v>37</v>
      </c>
      <c r="G195" s="66">
        <v>38</v>
      </c>
      <c r="H195" s="2">
        <v>16.97</v>
      </c>
      <c r="I195" s="64">
        <f>PRODUCT(Table13[[#This Row],[Quantity]:[Unit_Price]])</f>
        <v>644.8599999999999</v>
      </c>
      <c r="J195" s="2">
        <v>40</v>
      </c>
      <c r="K195" s="2">
        <v>120.36</v>
      </c>
      <c r="L195" s="22" t="s">
        <v>38</v>
      </c>
      <c r="M195" s="22" t="s">
        <v>20</v>
      </c>
      <c r="N195" s="22" t="s">
        <v>21</v>
      </c>
      <c r="O195" s="64">
        <f>VLOOKUP($E195,Products!$B$2:$F$11,5,0)</f>
        <v>12.75</v>
      </c>
      <c r="P195" s="64">
        <f>PRODUCT(Table13[[#This Row],[Quantity]],Table13[[#This Row],[Unit_Cost]])</f>
        <v>484.5</v>
      </c>
      <c r="Q195" s="65">
        <f>Table13[[#This Row],[Profit]]/Table13[[#This Row],[Total_Sales]]</f>
        <v>0.18664516329125705</v>
      </c>
      <c r="R195" s="1"/>
      <c r="S195" s="1"/>
      <c r="T195" s="1"/>
    </row>
    <row r="196" spans="1:20" x14ac:dyDescent="0.25">
      <c r="A196" s="22" t="s">
        <v>335</v>
      </c>
      <c r="B196" s="63">
        <v>45484</v>
      </c>
      <c r="C196" s="22" t="s">
        <v>207</v>
      </c>
      <c r="D196" s="22" t="str">
        <f>PROPER(TRIM(Raw_Data!D196))</f>
        <v>South Africa</v>
      </c>
      <c r="E196" s="22" t="s">
        <v>48</v>
      </c>
      <c r="F196" s="22" t="s">
        <v>37</v>
      </c>
      <c r="G196" s="66">
        <v>2</v>
      </c>
      <c r="H196" s="2">
        <v>35.92</v>
      </c>
      <c r="I196" s="64">
        <f>PRODUCT(Table13[[#This Row],[Quantity]:[Unit_Price]])</f>
        <v>71.84</v>
      </c>
      <c r="J196" s="2">
        <v>2.34</v>
      </c>
      <c r="K196" s="2">
        <v>29.5</v>
      </c>
      <c r="L196" s="22" t="s">
        <v>38</v>
      </c>
      <c r="M196" s="22" t="s">
        <v>27</v>
      </c>
      <c r="N196" s="22" t="s">
        <v>87</v>
      </c>
      <c r="O196" s="64">
        <f>VLOOKUP($E196,Products!$B$2:$F$11,5,0)</f>
        <v>20</v>
      </c>
      <c r="P196" s="64">
        <f>PRODUCT(Table13[[#This Row],[Quantity]],Table13[[#This Row],[Unit_Cost]])</f>
        <v>40</v>
      </c>
      <c r="Q196" s="65">
        <f>Table13[[#This Row],[Profit]]/Table13[[#This Row],[Total_Sales]]</f>
        <v>0.41063474387527837</v>
      </c>
      <c r="R196" s="1"/>
      <c r="S196" s="1"/>
      <c r="T196" s="1"/>
    </row>
    <row r="197" spans="1:20" x14ac:dyDescent="0.25">
      <c r="A197" s="22" t="s">
        <v>336</v>
      </c>
      <c r="B197" s="63">
        <v>45436</v>
      </c>
      <c r="C197" s="22" t="s">
        <v>62</v>
      </c>
      <c r="D197" s="22" t="str">
        <f>PROPER(TRIM(Raw_Data!D197))</f>
        <v>Brazil</v>
      </c>
      <c r="E197" s="22" t="s">
        <v>48</v>
      </c>
      <c r="F197" s="22" t="s">
        <v>37</v>
      </c>
      <c r="G197" s="66">
        <v>48</v>
      </c>
      <c r="H197" s="2">
        <v>31.87</v>
      </c>
      <c r="I197" s="64">
        <f>PRODUCT(Table13[[#This Row],[Quantity]:[Unit_Price]])</f>
        <v>1529.76</v>
      </c>
      <c r="J197" s="2">
        <v>89.85</v>
      </c>
      <c r="K197" s="2">
        <v>479.91</v>
      </c>
      <c r="L197" s="22" t="s">
        <v>38</v>
      </c>
      <c r="M197" s="22" t="s">
        <v>20</v>
      </c>
      <c r="N197" s="22" t="s">
        <v>39</v>
      </c>
      <c r="O197" s="64">
        <f>VLOOKUP($E197,Products!$B$2:$F$11,5,0)</f>
        <v>20</v>
      </c>
      <c r="P197" s="64">
        <f>PRODUCT(Table13[[#This Row],[Quantity]],Table13[[#This Row],[Unit_Cost]])</f>
        <v>960</v>
      </c>
      <c r="Q197" s="65">
        <f>Table13[[#This Row],[Profit]]/Table13[[#This Row],[Total_Sales]]</f>
        <v>0.31371587700031378</v>
      </c>
      <c r="R197" s="1"/>
      <c r="S197" s="1"/>
      <c r="T197" s="1"/>
    </row>
    <row r="198" spans="1:20" x14ac:dyDescent="0.25">
      <c r="A198" s="22" t="s">
        <v>337</v>
      </c>
      <c r="B198" s="63">
        <v>45635</v>
      </c>
      <c r="C198" s="22" t="s">
        <v>221</v>
      </c>
      <c r="D198" s="22" t="str">
        <f>PROPER(TRIM(Raw_Data!D198))</f>
        <v>Australia</v>
      </c>
      <c r="E198" s="22" t="s">
        <v>43</v>
      </c>
      <c r="F198" s="22" t="s">
        <v>44</v>
      </c>
      <c r="G198" s="66">
        <v>46</v>
      </c>
      <c r="H198" s="2">
        <v>70</v>
      </c>
      <c r="I198" s="64">
        <f>PRODUCT(Table13[[#This Row],[Quantity]:[Unit_Price]])</f>
        <v>3220</v>
      </c>
      <c r="J198" s="2">
        <v>160.11000000000001</v>
      </c>
      <c r="K198" s="2">
        <v>1219.8900000000001</v>
      </c>
      <c r="L198" s="22" t="s">
        <v>26</v>
      </c>
      <c r="M198" s="22" t="s">
        <v>27</v>
      </c>
      <c r="N198" s="22" t="s">
        <v>130</v>
      </c>
      <c r="O198" s="64">
        <f>VLOOKUP($E198,Products!$B$2:$F$11,5,0)</f>
        <v>40</v>
      </c>
      <c r="P198" s="64">
        <f>PRODUCT(Table13[[#This Row],[Quantity]],Table13[[#This Row],[Unit_Cost]])</f>
        <v>1840</v>
      </c>
      <c r="Q198" s="65">
        <f>Table13[[#This Row],[Profit]]/Table13[[#This Row],[Total_Sales]]</f>
        <v>0.37884782608695655</v>
      </c>
      <c r="R198" s="1"/>
      <c r="S198" s="1"/>
      <c r="T198" s="1"/>
    </row>
    <row r="199" spans="1:20" x14ac:dyDescent="0.25">
      <c r="A199" s="22" t="s">
        <v>338</v>
      </c>
      <c r="B199" s="63">
        <v>45776</v>
      </c>
      <c r="C199" s="22" t="s">
        <v>303</v>
      </c>
      <c r="D199" s="22" t="str">
        <f>PROPER(TRIM(Raw_Data!D199))</f>
        <v>Singapore</v>
      </c>
      <c r="E199" s="22" t="s">
        <v>17</v>
      </c>
      <c r="F199" s="22" t="s">
        <v>18</v>
      </c>
      <c r="G199" s="66">
        <v>45</v>
      </c>
      <c r="H199" s="2">
        <v>57.7</v>
      </c>
      <c r="I199" s="64">
        <f>PRODUCT(Table13[[#This Row],[Quantity]:[Unit_Price]])</f>
        <v>2596.5</v>
      </c>
      <c r="J199" s="2">
        <v>102.52</v>
      </c>
      <c r="K199" s="2">
        <v>918.98</v>
      </c>
      <c r="L199" s="22" t="s">
        <v>26</v>
      </c>
      <c r="M199" s="22" t="s">
        <v>20</v>
      </c>
      <c r="N199" s="22" t="s">
        <v>58</v>
      </c>
      <c r="O199" s="64">
        <f>VLOOKUP($E199,Products!$B$2:$F$11,5,0)</f>
        <v>35</v>
      </c>
      <c r="P199" s="64">
        <f>PRODUCT(Table13[[#This Row],[Quantity]],Table13[[#This Row],[Unit_Cost]])</f>
        <v>1575</v>
      </c>
      <c r="Q199" s="65">
        <f>Table13[[#This Row],[Profit]]/Table13[[#This Row],[Total_Sales]]</f>
        <v>0.35393029077604471</v>
      </c>
      <c r="R199" s="1"/>
      <c r="S199" s="1"/>
      <c r="T199" s="1"/>
    </row>
    <row r="200" spans="1:20" x14ac:dyDescent="0.25">
      <c r="A200" s="22" t="s">
        <v>339</v>
      </c>
      <c r="B200" s="63">
        <v>45782</v>
      </c>
      <c r="C200" s="22" t="s">
        <v>119</v>
      </c>
      <c r="D200" s="22" t="str">
        <f>PROPER(TRIM(Raw_Data!D200))</f>
        <v>Japan</v>
      </c>
      <c r="E200" s="22" t="s">
        <v>63</v>
      </c>
      <c r="F200" s="22" t="s">
        <v>37</v>
      </c>
      <c r="G200" s="66">
        <v>23</v>
      </c>
      <c r="H200" s="2">
        <v>20.23</v>
      </c>
      <c r="I200" s="64">
        <f>PRODUCT(Table13[[#This Row],[Quantity]:[Unit_Price]])</f>
        <v>465.29</v>
      </c>
      <c r="J200" s="2">
        <v>17.29</v>
      </c>
      <c r="K200" s="2">
        <v>154.75</v>
      </c>
      <c r="L200" s="22" t="s">
        <v>38</v>
      </c>
      <c r="M200" s="22" t="s">
        <v>20</v>
      </c>
      <c r="N200" s="22" t="s">
        <v>58</v>
      </c>
      <c r="O200" s="64">
        <f>VLOOKUP($E200,Products!$B$2:$F$11,5,0)</f>
        <v>12.75</v>
      </c>
      <c r="P200" s="64">
        <f>PRODUCT(Table13[[#This Row],[Quantity]],Table13[[#This Row],[Unit_Cost]])</f>
        <v>293.25</v>
      </c>
      <c r="Q200" s="65">
        <f>Table13[[#This Row],[Profit]]/Table13[[#This Row],[Total_Sales]]</f>
        <v>0.33258827827806314</v>
      </c>
      <c r="R200" s="1"/>
      <c r="S200" s="1"/>
      <c r="T200" s="1"/>
    </row>
    <row r="201" spans="1:20" x14ac:dyDescent="0.25">
      <c r="A201" s="22" t="s">
        <v>340</v>
      </c>
      <c r="B201" s="63">
        <v>45767</v>
      </c>
      <c r="C201" s="22" t="s">
        <v>121</v>
      </c>
      <c r="D201" s="22" t="str">
        <f>PROPER(TRIM(Raw_Data!D201))</f>
        <v>Italy</v>
      </c>
      <c r="E201" s="22" t="s">
        <v>25</v>
      </c>
      <c r="F201" s="22" t="s">
        <v>18</v>
      </c>
      <c r="G201" s="66">
        <v>10</v>
      </c>
      <c r="H201" s="2">
        <v>22.96</v>
      </c>
      <c r="I201" s="64">
        <f>PRODUCT(Table13[[#This Row],[Quantity]:[Unit_Price]])</f>
        <v>229.60000000000002</v>
      </c>
      <c r="J201" s="2">
        <v>18.260000000000002</v>
      </c>
      <c r="K201" s="2">
        <v>31.34</v>
      </c>
      <c r="L201" s="22" t="s">
        <v>19</v>
      </c>
      <c r="M201" s="22" t="s">
        <v>32</v>
      </c>
      <c r="N201" s="22" t="s">
        <v>28</v>
      </c>
      <c r="O201" s="64">
        <f>VLOOKUP($E201,Products!$B$2:$F$11,5,0)</f>
        <v>18</v>
      </c>
      <c r="P201" s="64">
        <f>PRODUCT(Table13[[#This Row],[Quantity]],Table13[[#This Row],[Unit_Cost]])</f>
        <v>180</v>
      </c>
      <c r="Q201" s="65">
        <f>Table13[[#This Row],[Profit]]/Table13[[#This Row],[Total_Sales]]</f>
        <v>0.13649825783972125</v>
      </c>
      <c r="R201" s="1"/>
      <c r="S201" s="1"/>
      <c r="T201" s="1"/>
    </row>
    <row r="202" spans="1:20" x14ac:dyDescent="0.25">
      <c r="A202" s="22" t="s">
        <v>341</v>
      </c>
      <c r="B202" s="63">
        <v>45530</v>
      </c>
      <c r="C202" s="22" t="s">
        <v>342</v>
      </c>
      <c r="D202" s="22" t="str">
        <f>PROPER(TRIM(Raw_Data!D202))</f>
        <v>Brazil</v>
      </c>
      <c r="E202" s="22" t="s">
        <v>17</v>
      </c>
      <c r="F202" s="22" t="s">
        <v>18</v>
      </c>
      <c r="G202" s="66">
        <v>40</v>
      </c>
      <c r="H202" s="2">
        <v>54.84</v>
      </c>
      <c r="I202" s="64">
        <f>PRODUCT(Table13[[#This Row],[Quantity]:[Unit_Price]])</f>
        <v>2193.6000000000004</v>
      </c>
      <c r="J202" s="2">
        <v>89.26</v>
      </c>
      <c r="K202" s="2">
        <v>704.34</v>
      </c>
      <c r="L202" s="22" t="s">
        <v>26</v>
      </c>
      <c r="M202" s="22" t="s">
        <v>20</v>
      </c>
      <c r="N202" s="22" t="s">
        <v>39</v>
      </c>
      <c r="O202" s="64">
        <f>VLOOKUP($E202,Products!$B$2:$F$11,5,0)</f>
        <v>35</v>
      </c>
      <c r="P202" s="64">
        <f>PRODUCT(Table13[[#This Row],[Quantity]],Table13[[#This Row],[Unit_Cost]])</f>
        <v>1400</v>
      </c>
      <c r="Q202" s="65">
        <f>Table13[[#This Row],[Profit]]/Table13[[#This Row],[Total_Sales]]</f>
        <v>0.32108862144420125</v>
      </c>
      <c r="R202" s="1"/>
      <c r="S202" s="1"/>
      <c r="T202" s="1"/>
    </row>
    <row r="203" spans="1:20" x14ac:dyDescent="0.25">
      <c r="A203" s="22" t="s">
        <v>343</v>
      </c>
      <c r="B203" s="63">
        <v>45389</v>
      </c>
      <c r="C203" s="22" t="s">
        <v>166</v>
      </c>
      <c r="D203" s="22" t="str">
        <f>PROPER(TRIM(Raw_Data!D203))</f>
        <v>Singapore</v>
      </c>
      <c r="E203" s="22" t="s">
        <v>56</v>
      </c>
      <c r="F203" s="22" t="s">
        <v>57</v>
      </c>
      <c r="G203" s="66">
        <v>7</v>
      </c>
      <c r="H203" s="2">
        <v>36.43</v>
      </c>
      <c r="I203" s="64">
        <f>PRODUCT(Table13[[#This Row],[Quantity]:[Unit_Price]])</f>
        <v>255.01</v>
      </c>
      <c r="J203" s="2">
        <v>6.3</v>
      </c>
      <c r="K203" s="2">
        <v>73.709999999999994</v>
      </c>
      <c r="L203" s="22" t="s">
        <v>19</v>
      </c>
      <c r="M203" s="22" t="s">
        <v>27</v>
      </c>
      <c r="N203" s="22" t="s">
        <v>58</v>
      </c>
      <c r="O203" s="64">
        <f>VLOOKUP($E203,Products!$B$2:$F$11,5,0)</f>
        <v>25</v>
      </c>
      <c r="P203" s="64">
        <f>PRODUCT(Table13[[#This Row],[Quantity]],Table13[[#This Row],[Unit_Cost]])</f>
        <v>175</v>
      </c>
      <c r="Q203" s="65">
        <f>Table13[[#This Row],[Profit]]/Table13[[#This Row],[Total_Sales]]</f>
        <v>0.28904748833379079</v>
      </c>
      <c r="R203" s="1"/>
      <c r="S203" s="1"/>
      <c r="T203" s="1"/>
    </row>
    <row r="204" spans="1:20" x14ac:dyDescent="0.25">
      <c r="A204" s="22" t="s">
        <v>344</v>
      </c>
      <c r="B204" s="63">
        <v>45738</v>
      </c>
      <c r="C204" s="22" t="s">
        <v>207</v>
      </c>
      <c r="D204" s="22" t="str">
        <f>PROPER(TRIM(Raw_Data!D204))</f>
        <v>Mexico</v>
      </c>
      <c r="E204" s="22" t="s">
        <v>63</v>
      </c>
      <c r="F204" s="22" t="s">
        <v>37</v>
      </c>
      <c r="G204" s="66">
        <v>39</v>
      </c>
      <c r="H204" s="2">
        <v>19.48</v>
      </c>
      <c r="I204" s="64">
        <f>PRODUCT(Table13[[#This Row],[Quantity]:[Unit_Price]])</f>
        <v>759.72</v>
      </c>
      <c r="J204" s="2">
        <v>40.090000000000003</v>
      </c>
      <c r="K204" s="2">
        <v>222.38</v>
      </c>
      <c r="L204" s="22" t="s">
        <v>38</v>
      </c>
      <c r="M204" s="22" t="s">
        <v>27</v>
      </c>
      <c r="N204" s="22" t="s">
        <v>21</v>
      </c>
      <c r="O204" s="64">
        <f>VLOOKUP($E204,Products!$B$2:$F$11,5,0)</f>
        <v>12.75</v>
      </c>
      <c r="P204" s="64">
        <f>PRODUCT(Table13[[#This Row],[Quantity]],Table13[[#This Row],[Unit_Cost]])</f>
        <v>497.25</v>
      </c>
      <c r="Q204" s="65">
        <f>Table13[[#This Row],[Profit]]/Table13[[#This Row],[Total_Sales]]</f>
        <v>0.29271310482809454</v>
      </c>
      <c r="R204" s="1"/>
      <c r="S204" s="1"/>
      <c r="T204" s="1"/>
    </row>
    <row r="205" spans="1:20" x14ac:dyDescent="0.25">
      <c r="A205" s="22" t="s">
        <v>345</v>
      </c>
      <c r="B205" s="63">
        <v>45351</v>
      </c>
      <c r="C205" s="22" t="s">
        <v>268</v>
      </c>
      <c r="D205" s="22" t="str">
        <f>PROPER(TRIM(Raw_Data!D205))</f>
        <v>South Africa</v>
      </c>
      <c r="E205" s="22" t="s">
        <v>51</v>
      </c>
      <c r="F205" s="22" t="s">
        <v>52</v>
      </c>
      <c r="G205" s="66">
        <v>35</v>
      </c>
      <c r="H205" s="2">
        <v>38.83</v>
      </c>
      <c r="I205" s="64">
        <f>PRODUCT(Table13[[#This Row],[Quantity]:[Unit_Price]])</f>
        <v>1359.05</v>
      </c>
      <c r="J205" s="2">
        <v>93.92</v>
      </c>
      <c r="K205" s="2">
        <v>477.63</v>
      </c>
      <c r="L205" s="22" t="s">
        <v>38</v>
      </c>
      <c r="M205" s="22" t="s">
        <v>27</v>
      </c>
      <c r="N205" s="22" t="s">
        <v>87</v>
      </c>
      <c r="O205" s="64">
        <f>VLOOKUP($E205,Products!$B$2:$F$11,5,0)</f>
        <v>22.5</v>
      </c>
      <c r="P205" s="64">
        <f>PRODUCT(Table13[[#This Row],[Quantity]],Table13[[#This Row],[Unit_Cost]])</f>
        <v>787.5</v>
      </c>
      <c r="Q205" s="65">
        <f>Table13[[#This Row],[Profit]]/Table13[[#This Row],[Total_Sales]]</f>
        <v>0.35144402339869762</v>
      </c>
      <c r="R205" s="1"/>
      <c r="S205" s="1"/>
      <c r="T205" s="1"/>
    </row>
    <row r="206" spans="1:20" x14ac:dyDescent="0.25">
      <c r="A206" s="22" t="s">
        <v>346</v>
      </c>
      <c r="B206" s="63">
        <v>45570</v>
      </c>
      <c r="C206" s="22" t="s">
        <v>145</v>
      </c>
      <c r="D206" s="22" t="str">
        <f>PROPER(TRIM(Raw_Data!D206))</f>
        <v>China</v>
      </c>
      <c r="E206" s="22" t="s">
        <v>48</v>
      </c>
      <c r="F206" s="22" t="s">
        <v>37</v>
      </c>
      <c r="G206" s="66">
        <v>39</v>
      </c>
      <c r="H206" s="2">
        <v>32.76</v>
      </c>
      <c r="I206" s="64">
        <f>PRODUCT(Table13[[#This Row],[Quantity]:[Unit_Price]])</f>
        <v>1277.6399999999999</v>
      </c>
      <c r="J206" s="2">
        <v>35.81</v>
      </c>
      <c r="K206" s="2">
        <v>461.83</v>
      </c>
      <c r="L206" s="22" t="s">
        <v>26</v>
      </c>
      <c r="M206" s="22" t="s">
        <v>32</v>
      </c>
      <c r="N206" s="22" t="s">
        <v>58</v>
      </c>
      <c r="O206" s="64">
        <f>VLOOKUP($E206,Products!$B$2:$F$11,5,0)</f>
        <v>20</v>
      </c>
      <c r="P206" s="64">
        <f>PRODUCT(Table13[[#This Row],[Quantity]],Table13[[#This Row],[Unit_Cost]])</f>
        <v>780</v>
      </c>
      <c r="Q206" s="65">
        <f>Table13[[#This Row],[Profit]]/Table13[[#This Row],[Total_Sales]]</f>
        <v>0.36147114993268842</v>
      </c>
      <c r="R206" s="1"/>
      <c r="S206" s="1"/>
      <c r="T206" s="1"/>
    </row>
    <row r="207" spans="1:20" x14ac:dyDescent="0.25">
      <c r="A207" s="22" t="s">
        <v>347</v>
      </c>
      <c r="B207" s="63">
        <v>45685</v>
      </c>
      <c r="C207" s="22" t="s">
        <v>189</v>
      </c>
      <c r="D207" s="22" t="str">
        <f>PROPER(TRIM(Raw_Data!D207))</f>
        <v>Usa</v>
      </c>
      <c r="E207" s="22" t="s">
        <v>36</v>
      </c>
      <c r="F207" s="22" t="s">
        <v>37</v>
      </c>
      <c r="G207" s="66">
        <v>8</v>
      </c>
      <c r="H207" s="2">
        <v>39.869999999999997</v>
      </c>
      <c r="I207" s="64">
        <f>PRODUCT(Table13[[#This Row],[Quantity]:[Unit_Price]])</f>
        <v>318.95999999999998</v>
      </c>
      <c r="J207" s="2">
        <v>15.95</v>
      </c>
      <c r="K207" s="2">
        <v>47.01</v>
      </c>
      <c r="L207" s="22" t="s">
        <v>38</v>
      </c>
      <c r="M207" s="22" t="s">
        <v>32</v>
      </c>
      <c r="N207" s="22" t="s">
        <v>21</v>
      </c>
      <c r="O207" s="64">
        <f>VLOOKUP($E207,Products!$B$2:$F$11,5,0)</f>
        <v>32</v>
      </c>
      <c r="P207" s="64">
        <f>PRODUCT(Table13[[#This Row],[Quantity]],Table13[[#This Row],[Unit_Cost]])</f>
        <v>256</v>
      </c>
      <c r="Q207" s="65">
        <f>Table13[[#This Row],[Profit]]/Table13[[#This Row],[Total_Sales]]</f>
        <v>0.14738525206922498</v>
      </c>
      <c r="R207" s="1"/>
      <c r="S207" s="1"/>
      <c r="T207" s="1"/>
    </row>
    <row r="208" spans="1:20" x14ac:dyDescent="0.25">
      <c r="A208" s="22" t="s">
        <v>348</v>
      </c>
      <c r="B208" s="63">
        <v>45771</v>
      </c>
      <c r="C208" s="22" t="s">
        <v>261</v>
      </c>
      <c r="D208" s="22" t="str">
        <f>PROPER(TRIM(Raw_Data!D208))</f>
        <v>Uae</v>
      </c>
      <c r="E208" s="22" t="s">
        <v>43</v>
      </c>
      <c r="F208" s="22" t="s">
        <v>44</v>
      </c>
      <c r="G208" s="66">
        <v>10</v>
      </c>
      <c r="H208" s="2">
        <v>63.1</v>
      </c>
      <c r="I208" s="64">
        <f>PRODUCT(Table13[[#This Row],[Quantity]:[Unit_Price]])</f>
        <v>631</v>
      </c>
      <c r="J208" s="2">
        <v>26.93</v>
      </c>
      <c r="K208" s="2">
        <v>204.07</v>
      </c>
      <c r="L208" s="22" t="s">
        <v>26</v>
      </c>
      <c r="M208" s="22" t="s">
        <v>27</v>
      </c>
      <c r="N208" s="22" t="s">
        <v>58</v>
      </c>
      <c r="O208" s="64">
        <f>VLOOKUP($E208,Products!$B$2:$F$11,5,0)</f>
        <v>40</v>
      </c>
      <c r="P208" s="64">
        <f>PRODUCT(Table13[[#This Row],[Quantity]],Table13[[#This Row],[Unit_Cost]])</f>
        <v>400</v>
      </c>
      <c r="Q208" s="65">
        <f>Table13[[#This Row],[Profit]]/Table13[[#This Row],[Total_Sales]]</f>
        <v>0.32340729001584784</v>
      </c>
      <c r="R208" s="1"/>
      <c r="S208" s="1"/>
      <c r="T208" s="1"/>
    </row>
    <row r="209" spans="1:20" x14ac:dyDescent="0.25">
      <c r="A209" s="22" t="s">
        <v>349</v>
      </c>
      <c r="B209" s="63">
        <v>45431</v>
      </c>
      <c r="C209" s="22" t="s">
        <v>100</v>
      </c>
      <c r="D209" s="22" t="str">
        <f>PROPER(TRIM(Raw_Data!D209))</f>
        <v>Germany</v>
      </c>
      <c r="E209" s="22" t="s">
        <v>36</v>
      </c>
      <c r="F209" s="22" t="s">
        <v>37</v>
      </c>
      <c r="G209" s="66">
        <v>3</v>
      </c>
      <c r="H209" s="2">
        <v>55.1</v>
      </c>
      <c r="I209" s="64">
        <f>PRODUCT(Table13[[#This Row],[Quantity]:[Unit_Price]])</f>
        <v>165.3</v>
      </c>
      <c r="J209" s="2">
        <v>9.17</v>
      </c>
      <c r="K209" s="2">
        <v>60.13</v>
      </c>
      <c r="L209" s="22" t="s">
        <v>19</v>
      </c>
      <c r="M209" s="22" t="s">
        <v>20</v>
      </c>
      <c r="N209" s="22" t="s">
        <v>28</v>
      </c>
      <c r="O209" s="64">
        <f>VLOOKUP($E209,Products!$B$2:$F$11,5,0)</f>
        <v>32</v>
      </c>
      <c r="P209" s="64">
        <f>PRODUCT(Table13[[#This Row],[Quantity]],Table13[[#This Row],[Unit_Cost]])</f>
        <v>96</v>
      </c>
      <c r="Q209" s="65">
        <f>Table13[[#This Row],[Profit]]/Table13[[#This Row],[Total_Sales]]</f>
        <v>0.36376285541439807</v>
      </c>
      <c r="R209" s="1"/>
      <c r="S209" s="1"/>
      <c r="T209" s="1"/>
    </row>
    <row r="210" spans="1:20" x14ac:dyDescent="0.25">
      <c r="A210" s="22" t="s">
        <v>350</v>
      </c>
      <c r="B210" s="63">
        <v>45337</v>
      </c>
      <c r="C210" s="22" t="s">
        <v>71</v>
      </c>
      <c r="D210" s="22" t="str">
        <f>PROPER(TRIM(Raw_Data!D210))</f>
        <v>India</v>
      </c>
      <c r="E210" s="22" t="s">
        <v>60</v>
      </c>
      <c r="F210" s="22" t="s">
        <v>52</v>
      </c>
      <c r="G210" s="66">
        <v>26</v>
      </c>
      <c r="H210" s="2">
        <v>19.809999999999999</v>
      </c>
      <c r="I210" s="64">
        <f>PRODUCT(Table13[[#This Row],[Quantity]:[Unit_Price]])</f>
        <v>515.05999999999995</v>
      </c>
      <c r="J210" s="2">
        <v>10.3</v>
      </c>
      <c r="K210" s="2">
        <v>101.76</v>
      </c>
      <c r="L210" s="22" t="s">
        <v>38</v>
      </c>
      <c r="M210" s="22" t="s">
        <v>27</v>
      </c>
      <c r="N210" s="22" t="s">
        <v>58</v>
      </c>
      <c r="O210" s="64">
        <f>VLOOKUP($E210,Products!$B$2:$F$11,5,0)</f>
        <v>15.5</v>
      </c>
      <c r="P210" s="64">
        <f>PRODUCT(Table13[[#This Row],[Quantity]],Table13[[#This Row],[Unit_Cost]])</f>
        <v>403</v>
      </c>
      <c r="Q210" s="65">
        <f>Table13[[#This Row],[Profit]]/Table13[[#This Row],[Total_Sales]]</f>
        <v>0.19756921523705978</v>
      </c>
      <c r="R210" s="1"/>
      <c r="S210" s="1"/>
      <c r="T210" s="1"/>
    </row>
    <row r="211" spans="1:20" x14ac:dyDescent="0.25">
      <c r="A211" s="22" t="s">
        <v>351</v>
      </c>
      <c r="B211" s="63">
        <v>45750</v>
      </c>
      <c r="C211" s="22" t="s">
        <v>108</v>
      </c>
      <c r="D211" s="22" t="str">
        <f>PROPER(TRIM(Raw_Data!D211))</f>
        <v>Uae</v>
      </c>
      <c r="E211" s="22" t="s">
        <v>43</v>
      </c>
      <c r="F211" s="22" t="s">
        <v>44</v>
      </c>
      <c r="G211" s="66">
        <v>17</v>
      </c>
      <c r="H211" s="2">
        <v>53.34</v>
      </c>
      <c r="I211" s="64">
        <f>PRODUCT(Table13[[#This Row],[Quantity]:[Unit_Price]])</f>
        <v>906.78000000000009</v>
      </c>
      <c r="J211" s="2">
        <v>30.6</v>
      </c>
      <c r="K211" s="2">
        <v>196.18</v>
      </c>
      <c r="L211" s="22" t="s">
        <v>19</v>
      </c>
      <c r="M211" s="22" t="s">
        <v>27</v>
      </c>
      <c r="N211" s="22" t="s">
        <v>58</v>
      </c>
      <c r="O211" s="64">
        <f>VLOOKUP($E211,Products!$B$2:$F$11,5,0)</f>
        <v>40</v>
      </c>
      <c r="P211" s="64">
        <f>PRODUCT(Table13[[#This Row],[Quantity]],Table13[[#This Row],[Unit_Cost]])</f>
        <v>680</v>
      </c>
      <c r="Q211" s="65">
        <f>Table13[[#This Row],[Profit]]/Table13[[#This Row],[Total_Sales]]</f>
        <v>0.21634795650543681</v>
      </c>
      <c r="R211" s="1"/>
      <c r="S211" s="1"/>
      <c r="T211" s="1"/>
    </row>
    <row r="212" spans="1:20" x14ac:dyDescent="0.25">
      <c r="A212" s="22" t="s">
        <v>352</v>
      </c>
      <c r="B212" s="63">
        <v>45478</v>
      </c>
      <c r="C212" s="22" t="s">
        <v>93</v>
      </c>
      <c r="D212" s="22" t="str">
        <f>PROPER(TRIM(Raw_Data!D212))</f>
        <v>China</v>
      </c>
      <c r="E212" s="22" t="s">
        <v>48</v>
      </c>
      <c r="F212" s="22" t="s">
        <v>37</v>
      </c>
      <c r="G212" s="66">
        <v>17</v>
      </c>
      <c r="H212" s="2">
        <v>28.23</v>
      </c>
      <c r="I212" s="64">
        <f>PRODUCT(Table13[[#This Row],[Quantity]:[Unit_Price]])</f>
        <v>479.91</v>
      </c>
      <c r="J212" s="2">
        <v>31.88</v>
      </c>
      <c r="K212" s="2">
        <v>108.03</v>
      </c>
      <c r="L212" s="22" t="s">
        <v>26</v>
      </c>
      <c r="M212" s="22" t="s">
        <v>20</v>
      </c>
      <c r="N212" s="22" t="s">
        <v>58</v>
      </c>
      <c r="O212" s="64">
        <f>VLOOKUP($E212,Products!$B$2:$F$11,5,0)</f>
        <v>20</v>
      </c>
      <c r="P212" s="64">
        <f>PRODUCT(Table13[[#This Row],[Quantity]],Table13[[#This Row],[Unit_Cost]])</f>
        <v>340</v>
      </c>
      <c r="Q212" s="65">
        <f>Table13[[#This Row],[Profit]]/Table13[[#This Row],[Total_Sales]]</f>
        <v>0.22510470713258734</v>
      </c>
      <c r="R212" s="1"/>
      <c r="S212" s="1"/>
      <c r="T212" s="1"/>
    </row>
    <row r="213" spans="1:20" x14ac:dyDescent="0.25">
      <c r="A213" s="22" t="s">
        <v>353</v>
      </c>
      <c r="B213" s="63">
        <v>45357</v>
      </c>
      <c r="C213" s="22" t="s">
        <v>354</v>
      </c>
      <c r="D213" s="22" t="str">
        <f>PROPER(TRIM(Raw_Data!D213))</f>
        <v>Germany</v>
      </c>
      <c r="E213" s="22" t="s">
        <v>25</v>
      </c>
      <c r="F213" s="22" t="s">
        <v>18</v>
      </c>
      <c r="G213" s="66">
        <v>42</v>
      </c>
      <c r="H213" s="2">
        <v>25.26</v>
      </c>
      <c r="I213" s="64">
        <f>PRODUCT(Table13[[#This Row],[Quantity]:[Unit_Price]])</f>
        <v>1060.92</v>
      </c>
      <c r="J213" s="2">
        <v>77.05</v>
      </c>
      <c r="K213" s="2">
        <v>227.87</v>
      </c>
      <c r="L213" s="22" t="s">
        <v>19</v>
      </c>
      <c r="M213" s="22" t="s">
        <v>32</v>
      </c>
      <c r="N213" s="22" t="s">
        <v>28</v>
      </c>
      <c r="O213" s="64">
        <f>VLOOKUP($E213,Products!$B$2:$F$11,5,0)</f>
        <v>18</v>
      </c>
      <c r="P213" s="64">
        <f>PRODUCT(Table13[[#This Row],[Quantity]],Table13[[#This Row],[Unit_Cost]])</f>
        <v>756</v>
      </c>
      <c r="Q213" s="65">
        <f>Table13[[#This Row],[Profit]]/Table13[[#This Row],[Total_Sales]]</f>
        <v>0.21478528069976999</v>
      </c>
      <c r="R213" s="1"/>
      <c r="S213" s="1"/>
      <c r="T213" s="1"/>
    </row>
    <row r="214" spans="1:20" x14ac:dyDescent="0.25">
      <c r="A214" s="22" t="s">
        <v>355</v>
      </c>
      <c r="B214" s="63">
        <v>45555</v>
      </c>
      <c r="C214" s="22" t="s">
        <v>149</v>
      </c>
      <c r="D214" s="22" t="str">
        <f>PROPER(TRIM(Raw_Data!D214))</f>
        <v>India</v>
      </c>
      <c r="E214" s="22" t="s">
        <v>25</v>
      </c>
      <c r="F214" s="22" t="s">
        <v>18</v>
      </c>
      <c r="G214" s="66">
        <v>2</v>
      </c>
      <c r="H214" s="2">
        <v>27.27</v>
      </c>
      <c r="I214" s="64">
        <f>PRODUCT(Table13[[#This Row],[Quantity]:[Unit_Price]])</f>
        <v>54.54</v>
      </c>
      <c r="J214" s="2">
        <v>1.45</v>
      </c>
      <c r="K214" s="2">
        <v>17.09</v>
      </c>
      <c r="L214" s="22" t="s">
        <v>19</v>
      </c>
      <c r="M214" s="22" t="s">
        <v>32</v>
      </c>
      <c r="N214" s="22" t="s">
        <v>58</v>
      </c>
      <c r="O214" s="64">
        <f>VLOOKUP($E214,Products!$B$2:$F$11,5,0)</f>
        <v>18</v>
      </c>
      <c r="P214" s="64">
        <f>PRODUCT(Table13[[#This Row],[Quantity]],Table13[[#This Row],[Unit_Cost]])</f>
        <v>36</v>
      </c>
      <c r="Q214" s="65">
        <f>Table13[[#This Row],[Profit]]/Table13[[#This Row],[Total_Sales]]</f>
        <v>0.31334800146681335</v>
      </c>
      <c r="R214" s="1"/>
      <c r="S214" s="1"/>
      <c r="T214" s="1"/>
    </row>
    <row r="215" spans="1:20" x14ac:dyDescent="0.25">
      <c r="A215" s="22" t="s">
        <v>356</v>
      </c>
      <c r="B215" s="63">
        <v>45618</v>
      </c>
      <c r="C215" s="22" t="s">
        <v>231</v>
      </c>
      <c r="D215" s="22" t="str">
        <f>PROPER(TRIM(Raw_Data!D215))</f>
        <v>Uae</v>
      </c>
      <c r="E215" s="22" t="s">
        <v>83</v>
      </c>
      <c r="F215" s="22" t="s">
        <v>52</v>
      </c>
      <c r="G215" s="66">
        <v>48</v>
      </c>
      <c r="H215" s="2">
        <v>44.95</v>
      </c>
      <c r="I215" s="64">
        <f>PRODUCT(Table13[[#This Row],[Quantity]:[Unit_Price]])</f>
        <v>2157.6000000000004</v>
      </c>
      <c r="J215" s="2">
        <v>148.41</v>
      </c>
      <c r="K215" s="2">
        <v>665.19</v>
      </c>
      <c r="L215" s="22" t="s">
        <v>19</v>
      </c>
      <c r="M215" s="22" t="s">
        <v>20</v>
      </c>
      <c r="N215" s="22" t="s">
        <v>58</v>
      </c>
      <c r="O215" s="64">
        <f>VLOOKUP($E215,Products!$B$2:$F$11,5,0)</f>
        <v>28</v>
      </c>
      <c r="P215" s="64">
        <f>PRODUCT(Table13[[#This Row],[Quantity]],Table13[[#This Row],[Unit_Cost]])</f>
        <v>1344</v>
      </c>
      <c r="Q215" s="65">
        <f>Table13[[#This Row],[Profit]]/Table13[[#This Row],[Total_Sales]]</f>
        <v>0.30830088987764181</v>
      </c>
      <c r="R215" s="1"/>
      <c r="S215" s="1"/>
      <c r="T215" s="1"/>
    </row>
    <row r="216" spans="1:20" x14ac:dyDescent="0.25">
      <c r="A216" s="22" t="s">
        <v>357</v>
      </c>
      <c r="B216" s="63">
        <v>45758</v>
      </c>
      <c r="C216" s="22" t="s">
        <v>354</v>
      </c>
      <c r="D216" s="22" t="str">
        <f>PROPER(TRIM(Raw_Data!D216))</f>
        <v>Singapore</v>
      </c>
      <c r="E216" s="22" t="s">
        <v>48</v>
      </c>
      <c r="F216" s="22" t="s">
        <v>37</v>
      </c>
      <c r="G216" s="66">
        <v>23</v>
      </c>
      <c r="H216" s="2">
        <v>28.6</v>
      </c>
      <c r="I216" s="64">
        <f>PRODUCT(Table13[[#This Row],[Quantity]:[Unit_Price]])</f>
        <v>657.80000000000007</v>
      </c>
      <c r="J216" s="2">
        <v>13.36</v>
      </c>
      <c r="K216" s="2">
        <v>184.44</v>
      </c>
      <c r="L216" s="22" t="s">
        <v>19</v>
      </c>
      <c r="M216" s="22" t="s">
        <v>32</v>
      </c>
      <c r="N216" s="22" t="s">
        <v>58</v>
      </c>
      <c r="O216" s="64">
        <f>VLOOKUP($E216,Products!$B$2:$F$11,5,0)</f>
        <v>20</v>
      </c>
      <c r="P216" s="64">
        <f>PRODUCT(Table13[[#This Row],[Quantity]],Table13[[#This Row],[Unit_Cost]])</f>
        <v>460</v>
      </c>
      <c r="Q216" s="65">
        <f>Table13[[#This Row],[Profit]]/Table13[[#This Row],[Total_Sales]]</f>
        <v>0.28038917604134994</v>
      </c>
      <c r="R216" s="1"/>
      <c r="S216" s="1"/>
      <c r="T216" s="1"/>
    </row>
    <row r="217" spans="1:20" x14ac:dyDescent="0.25">
      <c r="A217" s="22" t="s">
        <v>358</v>
      </c>
      <c r="B217" s="63">
        <v>45608</v>
      </c>
      <c r="C217" s="22" t="s">
        <v>108</v>
      </c>
      <c r="D217" s="22" t="str">
        <f>PROPER(TRIM(Raw_Data!D217))</f>
        <v>France</v>
      </c>
      <c r="E217" s="22" t="s">
        <v>60</v>
      </c>
      <c r="F217" s="22" t="s">
        <v>52</v>
      </c>
      <c r="G217" s="66">
        <v>18</v>
      </c>
      <c r="H217" s="2">
        <v>26.1</v>
      </c>
      <c r="I217" s="64">
        <f>PRODUCT(Table13[[#This Row],[Quantity]:[Unit_Price]])</f>
        <v>469.8</v>
      </c>
      <c r="J217" s="2">
        <v>19.52</v>
      </c>
      <c r="K217" s="2">
        <v>171.28</v>
      </c>
      <c r="L217" s="22" t="s">
        <v>38</v>
      </c>
      <c r="M217" s="22" t="s">
        <v>20</v>
      </c>
      <c r="N217" s="22" t="s">
        <v>28</v>
      </c>
      <c r="O217" s="64">
        <f>VLOOKUP($E217,Products!$B$2:$F$11,5,0)</f>
        <v>15.5</v>
      </c>
      <c r="P217" s="64">
        <f>PRODUCT(Table13[[#This Row],[Quantity]],Table13[[#This Row],[Unit_Cost]])</f>
        <v>279</v>
      </c>
      <c r="Q217" s="65">
        <f>Table13[[#This Row],[Profit]]/Table13[[#This Row],[Total_Sales]]</f>
        <v>0.36458067262664962</v>
      </c>
      <c r="R217" s="1"/>
      <c r="S217" s="1"/>
      <c r="T217" s="1"/>
    </row>
    <row r="218" spans="1:20" x14ac:dyDescent="0.25">
      <c r="A218" s="22" t="s">
        <v>359</v>
      </c>
      <c r="B218" s="63">
        <v>45567</v>
      </c>
      <c r="C218" s="22" t="s">
        <v>360</v>
      </c>
      <c r="D218" s="22" t="str">
        <f>PROPER(TRIM(Raw_Data!D218))</f>
        <v>Mexico</v>
      </c>
      <c r="E218" s="22" t="s">
        <v>83</v>
      </c>
      <c r="F218" s="22" t="s">
        <v>52</v>
      </c>
      <c r="G218" s="66">
        <v>21</v>
      </c>
      <c r="H218" s="2">
        <v>37.450000000000003</v>
      </c>
      <c r="I218" s="64">
        <f>PRODUCT(Table13[[#This Row],[Quantity]:[Unit_Price]])</f>
        <v>786.45</v>
      </c>
      <c r="J218" s="2">
        <v>62.4</v>
      </c>
      <c r="K218" s="2">
        <v>136.05000000000001</v>
      </c>
      <c r="L218" s="22" t="s">
        <v>19</v>
      </c>
      <c r="M218" s="22" t="s">
        <v>32</v>
      </c>
      <c r="N218" s="22" t="s">
        <v>21</v>
      </c>
      <c r="O218" s="64">
        <f>VLOOKUP($E218,Products!$B$2:$F$11,5,0)</f>
        <v>28</v>
      </c>
      <c r="P218" s="64">
        <f>PRODUCT(Table13[[#This Row],[Quantity]],Table13[[#This Row],[Unit_Cost]])</f>
        <v>588</v>
      </c>
      <c r="Q218" s="65">
        <f>Table13[[#This Row],[Profit]]/Table13[[#This Row],[Total_Sales]]</f>
        <v>0.17299256151058554</v>
      </c>
      <c r="R218" s="1"/>
      <c r="S218" s="1"/>
      <c r="T218" s="1"/>
    </row>
    <row r="219" spans="1:20" x14ac:dyDescent="0.25">
      <c r="A219" s="22" t="s">
        <v>361</v>
      </c>
      <c r="B219" s="63">
        <v>45641</v>
      </c>
      <c r="C219" s="22" t="s">
        <v>323</v>
      </c>
      <c r="D219" s="22" t="str">
        <f>PROPER(TRIM(Raw_Data!D219))</f>
        <v>Singapore</v>
      </c>
      <c r="E219" s="22" t="s">
        <v>48</v>
      </c>
      <c r="F219" s="22" t="s">
        <v>37</v>
      </c>
      <c r="G219" s="66">
        <v>25</v>
      </c>
      <c r="H219" s="2">
        <v>28.54</v>
      </c>
      <c r="I219" s="64">
        <f>PRODUCT(Table13[[#This Row],[Quantity]:[Unit_Price]])</f>
        <v>713.5</v>
      </c>
      <c r="J219" s="2">
        <v>50.38</v>
      </c>
      <c r="K219" s="2">
        <v>163.12</v>
      </c>
      <c r="L219" s="22" t="s">
        <v>19</v>
      </c>
      <c r="M219" s="22" t="s">
        <v>20</v>
      </c>
      <c r="N219" s="22" t="s">
        <v>58</v>
      </c>
      <c r="O219" s="64">
        <f>VLOOKUP($E219,Products!$B$2:$F$11,5,0)</f>
        <v>20</v>
      </c>
      <c r="P219" s="64">
        <f>PRODUCT(Table13[[#This Row],[Quantity]],Table13[[#This Row],[Unit_Cost]])</f>
        <v>500</v>
      </c>
      <c r="Q219" s="65">
        <f>Table13[[#This Row],[Profit]]/Table13[[#This Row],[Total_Sales]]</f>
        <v>0.22861948142957253</v>
      </c>
      <c r="R219" s="1"/>
      <c r="S219" s="1"/>
      <c r="T219" s="1"/>
    </row>
    <row r="220" spans="1:20" x14ac:dyDescent="0.25">
      <c r="A220" s="22" t="s">
        <v>362</v>
      </c>
      <c r="B220" s="63">
        <v>45716</v>
      </c>
      <c r="C220" s="22" t="s">
        <v>113</v>
      </c>
      <c r="D220" s="22" t="str">
        <f>PROPER(TRIM(Raw_Data!D220))</f>
        <v>Usa</v>
      </c>
      <c r="E220" s="22" t="s">
        <v>56</v>
      </c>
      <c r="F220" s="22" t="s">
        <v>57</v>
      </c>
      <c r="G220" s="66">
        <v>11</v>
      </c>
      <c r="H220" s="2">
        <v>38.07</v>
      </c>
      <c r="I220" s="64">
        <f>PRODUCT(Table13[[#This Row],[Quantity]:[Unit_Price]])</f>
        <v>418.77</v>
      </c>
      <c r="J220" s="2">
        <v>29.02</v>
      </c>
      <c r="K220" s="2">
        <v>114.75</v>
      </c>
      <c r="L220" s="22" t="s">
        <v>26</v>
      </c>
      <c r="M220" s="22" t="s">
        <v>20</v>
      </c>
      <c r="N220" s="22" t="s">
        <v>21</v>
      </c>
      <c r="O220" s="64">
        <f>VLOOKUP($E220,Products!$B$2:$F$11,5,0)</f>
        <v>25</v>
      </c>
      <c r="P220" s="64">
        <f>PRODUCT(Table13[[#This Row],[Quantity]],Table13[[#This Row],[Unit_Cost]])</f>
        <v>275</v>
      </c>
      <c r="Q220" s="65">
        <f>Table13[[#This Row],[Profit]]/Table13[[#This Row],[Total_Sales]]</f>
        <v>0.27401676337846553</v>
      </c>
      <c r="R220" s="1"/>
      <c r="S220" s="1"/>
      <c r="T220" s="1"/>
    </row>
    <row r="221" spans="1:20" x14ac:dyDescent="0.25">
      <c r="A221" s="22" t="s">
        <v>363</v>
      </c>
      <c r="B221" s="63">
        <v>45587</v>
      </c>
      <c r="C221" s="22" t="s">
        <v>364</v>
      </c>
      <c r="D221" s="22" t="str">
        <f>PROPER(TRIM(Raw_Data!D221))</f>
        <v>Canada</v>
      </c>
      <c r="E221" s="22" t="s">
        <v>60</v>
      </c>
      <c r="F221" s="22" t="s">
        <v>52</v>
      </c>
      <c r="G221" s="66">
        <v>18</v>
      </c>
      <c r="H221" s="2">
        <v>19.32</v>
      </c>
      <c r="I221" s="64">
        <f>PRODUCT(Table13[[#This Row],[Quantity]:[Unit_Price]])</f>
        <v>347.76</v>
      </c>
      <c r="J221" s="2">
        <v>21.34</v>
      </c>
      <c r="K221" s="2">
        <v>47.42</v>
      </c>
      <c r="L221" s="22" t="s">
        <v>26</v>
      </c>
      <c r="M221" s="22" t="s">
        <v>20</v>
      </c>
      <c r="N221" s="22" t="s">
        <v>21</v>
      </c>
      <c r="O221" s="64">
        <f>VLOOKUP($E221,Products!$B$2:$F$11,5,0)</f>
        <v>15.5</v>
      </c>
      <c r="P221" s="64">
        <f>PRODUCT(Table13[[#This Row],[Quantity]],Table13[[#This Row],[Unit_Cost]])</f>
        <v>279</v>
      </c>
      <c r="Q221" s="65">
        <f>Table13[[#This Row],[Profit]]/Table13[[#This Row],[Total_Sales]]</f>
        <v>0.13635840809753855</v>
      </c>
      <c r="R221" s="1"/>
      <c r="S221" s="1"/>
      <c r="T221" s="1"/>
    </row>
    <row r="222" spans="1:20" x14ac:dyDescent="0.25">
      <c r="A222" s="22" t="s">
        <v>365</v>
      </c>
      <c r="B222" s="63">
        <v>45450</v>
      </c>
      <c r="C222" s="22" t="s">
        <v>65</v>
      </c>
      <c r="D222" s="22" t="str">
        <f>PROPER(TRIM(Raw_Data!D222))</f>
        <v>Uk</v>
      </c>
      <c r="E222" s="22" t="s">
        <v>83</v>
      </c>
      <c r="F222" s="22" t="s">
        <v>52</v>
      </c>
      <c r="G222" s="66">
        <v>42</v>
      </c>
      <c r="H222" s="2">
        <v>50.02</v>
      </c>
      <c r="I222" s="64">
        <f>PRODUCT(Table13[[#This Row],[Quantity]:[Unit_Price]])</f>
        <v>2100.84</v>
      </c>
      <c r="J222" s="2">
        <v>89.65</v>
      </c>
      <c r="K222" s="2">
        <v>835.19</v>
      </c>
      <c r="L222" s="22" t="s">
        <v>26</v>
      </c>
      <c r="M222" s="22" t="s">
        <v>27</v>
      </c>
      <c r="N222" s="22" t="s">
        <v>28</v>
      </c>
      <c r="O222" s="64">
        <f>VLOOKUP($E222,Products!$B$2:$F$11,5,0)</f>
        <v>28</v>
      </c>
      <c r="P222" s="64">
        <f>PRODUCT(Table13[[#This Row],[Quantity]],Table13[[#This Row],[Unit_Cost]])</f>
        <v>1176</v>
      </c>
      <c r="Q222" s="65">
        <f>Table13[[#This Row],[Profit]]/Table13[[#This Row],[Total_Sales]]</f>
        <v>0.39755050360808059</v>
      </c>
      <c r="R222" s="1"/>
      <c r="S222" s="1"/>
      <c r="T222" s="1"/>
    </row>
    <row r="223" spans="1:20" x14ac:dyDescent="0.25">
      <c r="A223" s="22" t="s">
        <v>366</v>
      </c>
      <c r="B223" s="63">
        <v>45663</v>
      </c>
      <c r="C223" s="22" t="s">
        <v>257</v>
      </c>
      <c r="D223" s="22" t="str">
        <f>PROPER(TRIM(Raw_Data!D223))</f>
        <v>Australia</v>
      </c>
      <c r="E223" s="22" t="s">
        <v>83</v>
      </c>
      <c r="F223" s="22" t="s">
        <v>52</v>
      </c>
      <c r="G223" s="66">
        <v>13</v>
      </c>
      <c r="H223" s="2">
        <v>49.39</v>
      </c>
      <c r="I223" s="64">
        <f>PRODUCT(Table13[[#This Row],[Quantity]:[Unit_Price]])</f>
        <v>642.07000000000005</v>
      </c>
      <c r="J223" s="2">
        <v>38.32</v>
      </c>
      <c r="K223" s="2">
        <v>239.75</v>
      </c>
      <c r="L223" s="22" t="s">
        <v>26</v>
      </c>
      <c r="M223" s="22" t="s">
        <v>20</v>
      </c>
      <c r="N223" s="22" t="s">
        <v>130</v>
      </c>
      <c r="O223" s="64">
        <f>VLOOKUP($E223,Products!$B$2:$F$11,5,0)</f>
        <v>28</v>
      </c>
      <c r="P223" s="64">
        <f>PRODUCT(Table13[[#This Row],[Quantity]],Table13[[#This Row],[Unit_Cost]])</f>
        <v>364</v>
      </c>
      <c r="Q223" s="65">
        <f>Table13[[#This Row],[Profit]]/Table13[[#This Row],[Total_Sales]]</f>
        <v>0.37340165402526199</v>
      </c>
      <c r="R223" s="1"/>
      <c r="S223" s="1"/>
      <c r="T223" s="1"/>
    </row>
    <row r="224" spans="1:20" x14ac:dyDescent="0.25">
      <c r="A224" s="22" t="s">
        <v>367</v>
      </c>
      <c r="B224" s="63">
        <v>45784</v>
      </c>
      <c r="C224" s="22" t="s">
        <v>117</v>
      </c>
      <c r="D224" s="22" t="str">
        <f>PROPER(TRIM(Raw_Data!D224))</f>
        <v>Uk</v>
      </c>
      <c r="E224" s="22" t="s">
        <v>25</v>
      </c>
      <c r="F224" s="22" t="s">
        <v>18</v>
      </c>
      <c r="G224" s="66">
        <v>15</v>
      </c>
      <c r="H224" s="2">
        <v>22.86</v>
      </c>
      <c r="I224" s="64">
        <f>PRODUCT(Table13[[#This Row],[Quantity]:[Unit_Price]])</f>
        <v>342.9</v>
      </c>
      <c r="J224" s="2">
        <v>27.16</v>
      </c>
      <c r="K224" s="2">
        <v>45.74</v>
      </c>
      <c r="L224" s="22" t="s">
        <v>38</v>
      </c>
      <c r="M224" s="22" t="s">
        <v>32</v>
      </c>
      <c r="N224" s="22" t="s">
        <v>28</v>
      </c>
      <c r="O224" s="64">
        <f>VLOOKUP($E224,Products!$B$2:$F$11,5,0)</f>
        <v>18</v>
      </c>
      <c r="P224" s="64">
        <f>PRODUCT(Table13[[#This Row],[Quantity]],Table13[[#This Row],[Unit_Cost]])</f>
        <v>270</v>
      </c>
      <c r="Q224" s="65">
        <f>Table13[[#This Row],[Profit]]/Table13[[#This Row],[Total_Sales]]</f>
        <v>0.13339165937591135</v>
      </c>
      <c r="R224" s="1"/>
      <c r="S224" s="1"/>
      <c r="T224" s="1"/>
    </row>
    <row r="225" spans="1:20" x14ac:dyDescent="0.25">
      <c r="A225" s="22" t="s">
        <v>368</v>
      </c>
      <c r="B225" s="63">
        <v>45554</v>
      </c>
      <c r="C225" s="22" t="s">
        <v>360</v>
      </c>
      <c r="D225" s="22" t="str">
        <f>PROPER(TRIM(Raw_Data!D225))</f>
        <v>India</v>
      </c>
      <c r="E225" s="22" t="s">
        <v>56</v>
      </c>
      <c r="F225" s="22" t="s">
        <v>57</v>
      </c>
      <c r="G225" s="66">
        <v>37</v>
      </c>
      <c r="H225" s="2">
        <v>37.270000000000003</v>
      </c>
      <c r="I225" s="64">
        <f>PRODUCT(Table13[[#This Row],[Quantity]:[Unit_Price]])</f>
        <v>1378.99</v>
      </c>
      <c r="J225" s="2">
        <v>92.92</v>
      </c>
      <c r="K225" s="2">
        <v>361.07</v>
      </c>
      <c r="L225" s="22" t="s">
        <v>19</v>
      </c>
      <c r="M225" s="22" t="s">
        <v>20</v>
      </c>
      <c r="N225" s="22" t="s">
        <v>58</v>
      </c>
      <c r="O225" s="64">
        <f>VLOOKUP($E225,Products!$B$2:$F$11,5,0)</f>
        <v>25</v>
      </c>
      <c r="P225" s="64">
        <f>PRODUCT(Table13[[#This Row],[Quantity]],Table13[[#This Row],[Unit_Cost]])</f>
        <v>925</v>
      </c>
      <c r="Q225" s="65">
        <f>Table13[[#This Row],[Profit]]/Table13[[#This Row],[Total_Sales]]</f>
        <v>0.26183656154141799</v>
      </c>
      <c r="R225" s="1"/>
      <c r="S225" s="1"/>
      <c r="T225" s="1"/>
    </row>
    <row r="226" spans="1:20" x14ac:dyDescent="0.25">
      <c r="A226" s="22" t="s">
        <v>369</v>
      </c>
      <c r="B226" s="63">
        <v>45374</v>
      </c>
      <c r="C226" s="22" t="s">
        <v>46</v>
      </c>
      <c r="D226" s="22" t="str">
        <f>PROPER(TRIM(Raw_Data!D226))</f>
        <v>France</v>
      </c>
      <c r="E226" s="22" t="s">
        <v>17</v>
      </c>
      <c r="F226" s="22" t="s">
        <v>18</v>
      </c>
      <c r="G226" s="66">
        <v>49</v>
      </c>
      <c r="H226" s="2">
        <v>54.05</v>
      </c>
      <c r="I226" s="64">
        <f>PRODUCT(Table13[[#This Row],[Quantity]:[Unit_Price]])</f>
        <v>2648.45</v>
      </c>
      <c r="J226" s="2">
        <v>66.8</v>
      </c>
      <c r="K226" s="2">
        <v>866.65</v>
      </c>
      <c r="L226" s="22" t="s">
        <v>38</v>
      </c>
      <c r="M226" s="22" t="s">
        <v>20</v>
      </c>
      <c r="N226" s="22" t="s">
        <v>28</v>
      </c>
      <c r="O226" s="64">
        <f>VLOOKUP($E226,Products!$B$2:$F$11,5,0)</f>
        <v>35</v>
      </c>
      <c r="P226" s="64">
        <f>PRODUCT(Table13[[#This Row],[Quantity]],Table13[[#This Row],[Unit_Cost]])</f>
        <v>1715</v>
      </c>
      <c r="Q226" s="65">
        <f>Table13[[#This Row],[Profit]]/Table13[[#This Row],[Total_Sales]]</f>
        <v>0.32722913402178633</v>
      </c>
      <c r="R226" s="1"/>
      <c r="S226" s="1"/>
      <c r="T226" s="1"/>
    </row>
    <row r="227" spans="1:20" x14ac:dyDescent="0.25">
      <c r="A227" s="22" t="s">
        <v>370</v>
      </c>
      <c r="B227" s="63">
        <v>45522</v>
      </c>
      <c r="C227" s="22" t="s">
        <v>371</v>
      </c>
      <c r="D227" s="22" t="str">
        <f>PROPER(TRIM(Raw_Data!D227))</f>
        <v>Uk</v>
      </c>
      <c r="E227" s="22" t="s">
        <v>63</v>
      </c>
      <c r="F227" s="22" t="s">
        <v>37</v>
      </c>
      <c r="G227" s="66">
        <v>33</v>
      </c>
      <c r="H227" s="2">
        <v>20.059999999999999</v>
      </c>
      <c r="I227" s="64">
        <f>PRODUCT(Table13[[#This Row],[Quantity]:[Unit_Price]])</f>
        <v>661.9799999999999</v>
      </c>
      <c r="J227" s="2">
        <v>50.02</v>
      </c>
      <c r="K227" s="2">
        <v>191.21</v>
      </c>
      <c r="L227" s="22" t="s">
        <v>38</v>
      </c>
      <c r="M227" s="22" t="s">
        <v>27</v>
      </c>
      <c r="N227" s="22" t="s">
        <v>28</v>
      </c>
      <c r="O227" s="64">
        <f>VLOOKUP($E227,Products!$B$2:$F$11,5,0)</f>
        <v>12.75</v>
      </c>
      <c r="P227" s="64">
        <f>PRODUCT(Table13[[#This Row],[Quantity]],Table13[[#This Row],[Unit_Cost]])</f>
        <v>420.75</v>
      </c>
      <c r="Q227" s="65">
        <f>Table13[[#This Row],[Profit]]/Table13[[#This Row],[Total_Sales]]</f>
        <v>0.28884558445874503</v>
      </c>
      <c r="R227" s="1"/>
      <c r="S227" s="1"/>
      <c r="T227" s="1"/>
    </row>
    <row r="228" spans="1:20" x14ac:dyDescent="0.25">
      <c r="A228" s="22" t="s">
        <v>372</v>
      </c>
      <c r="B228" s="63">
        <v>45603</v>
      </c>
      <c r="C228" s="22" t="s">
        <v>207</v>
      </c>
      <c r="D228" s="22" t="str">
        <f>PROPER(TRIM(Raw_Data!D228))</f>
        <v>Germany</v>
      </c>
      <c r="E228" s="22" t="s">
        <v>83</v>
      </c>
      <c r="F228" s="22" t="s">
        <v>52</v>
      </c>
      <c r="G228" s="66">
        <v>49</v>
      </c>
      <c r="H228" s="2">
        <v>35.68</v>
      </c>
      <c r="I228" s="64">
        <f>PRODUCT(Table13[[#This Row],[Quantity]:[Unit_Price]])</f>
        <v>1748.32</v>
      </c>
      <c r="J228" s="2">
        <v>124.47</v>
      </c>
      <c r="K228" s="2">
        <v>251.85</v>
      </c>
      <c r="L228" s="22" t="s">
        <v>38</v>
      </c>
      <c r="M228" s="22" t="s">
        <v>32</v>
      </c>
      <c r="N228" s="22" t="s">
        <v>28</v>
      </c>
      <c r="O228" s="64">
        <f>VLOOKUP($E228,Products!$B$2:$F$11,5,0)</f>
        <v>28</v>
      </c>
      <c r="P228" s="64">
        <f>PRODUCT(Table13[[#This Row],[Quantity]],Table13[[#This Row],[Unit_Cost]])</f>
        <v>1372</v>
      </c>
      <c r="Q228" s="65">
        <f>Table13[[#This Row],[Profit]]/Table13[[#This Row],[Total_Sales]]</f>
        <v>0.14405257618742565</v>
      </c>
      <c r="R228" s="1"/>
      <c r="S228" s="1"/>
      <c r="T228" s="1"/>
    </row>
    <row r="229" spans="1:20" x14ac:dyDescent="0.25">
      <c r="A229" s="22" t="s">
        <v>373</v>
      </c>
      <c r="B229" s="63">
        <v>45718</v>
      </c>
      <c r="C229" s="22" t="s">
        <v>30</v>
      </c>
      <c r="D229" s="22" t="str">
        <f>PROPER(TRIM(Raw_Data!D229))</f>
        <v>India</v>
      </c>
      <c r="E229" s="22" t="s">
        <v>56</v>
      </c>
      <c r="F229" s="22" t="s">
        <v>57</v>
      </c>
      <c r="G229" s="66">
        <v>23</v>
      </c>
      <c r="H229" s="2">
        <v>30.89</v>
      </c>
      <c r="I229" s="64">
        <f>PRODUCT(Table13[[#This Row],[Quantity]:[Unit_Price]])</f>
        <v>710.47</v>
      </c>
      <c r="J229" s="2">
        <v>18.739999999999998</v>
      </c>
      <c r="K229" s="2">
        <v>116.73</v>
      </c>
      <c r="L229" s="22" t="s">
        <v>26</v>
      </c>
      <c r="M229" s="22" t="s">
        <v>20</v>
      </c>
      <c r="N229" s="22" t="s">
        <v>58</v>
      </c>
      <c r="O229" s="64">
        <f>VLOOKUP($E229,Products!$B$2:$F$11,5,0)</f>
        <v>25</v>
      </c>
      <c r="P229" s="64">
        <f>PRODUCT(Table13[[#This Row],[Quantity]],Table13[[#This Row],[Unit_Cost]])</f>
        <v>575</v>
      </c>
      <c r="Q229" s="65">
        <f>Table13[[#This Row],[Profit]]/Table13[[#This Row],[Total_Sales]]</f>
        <v>0.16429968893830843</v>
      </c>
      <c r="R229" s="1"/>
      <c r="S229" s="1"/>
      <c r="T229" s="1"/>
    </row>
    <row r="230" spans="1:20" x14ac:dyDescent="0.25">
      <c r="A230" s="22" t="s">
        <v>374</v>
      </c>
      <c r="B230" s="63">
        <v>45566</v>
      </c>
      <c r="C230" s="22" t="s">
        <v>34</v>
      </c>
      <c r="D230" s="22" t="str">
        <f>PROPER(TRIM(Raw_Data!D230))</f>
        <v>France</v>
      </c>
      <c r="E230" s="22" t="s">
        <v>17</v>
      </c>
      <c r="F230" s="22" t="s">
        <v>18</v>
      </c>
      <c r="G230" s="66">
        <v>14</v>
      </c>
      <c r="H230" s="2">
        <v>59.6</v>
      </c>
      <c r="I230" s="64">
        <f>PRODUCT(Table13[[#This Row],[Quantity]:[Unit_Price]])</f>
        <v>834.4</v>
      </c>
      <c r="J230" s="2">
        <v>19.11</v>
      </c>
      <c r="K230" s="2">
        <v>325.29000000000002</v>
      </c>
      <c r="L230" s="22" t="s">
        <v>26</v>
      </c>
      <c r="M230" s="22" t="s">
        <v>27</v>
      </c>
      <c r="N230" s="22" t="s">
        <v>28</v>
      </c>
      <c r="O230" s="64">
        <f>VLOOKUP($E230,Products!$B$2:$F$11,5,0)</f>
        <v>35</v>
      </c>
      <c r="P230" s="64">
        <f>PRODUCT(Table13[[#This Row],[Quantity]],Table13[[#This Row],[Unit_Cost]])</f>
        <v>490</v>
      </c>
      <c r="Q230" s="65">
        <f>Table13[[#This Row],[Profit]]/Table13[[#This Row],[Total_Sales]]</f>
        <v>0.38984899328859063</v>
      </c>
      <c r="R230" s="1"/>
      <c r="S230" s="1"/>
      <c r="T230" s="1"/>
    </row>
    <row r="231" spans="1:20" x14ac:dyDescent="0.25">
      <c r="A231" s="22" t="s">
        <v>375</v>
      </c>
      <c r="B231" s="63">
        <v>45709</v>
      </c>
      <c r="C231" s="22" t="s">
        <v>303</v>
      </c>
      <c r="D231" s="22" t="str">
        <f>PROPER(TRIM(Raw_Data!D231))</f>
        <v>Germany</v>
      </c>
      <c r="E231" s="22" t="s">
        <v>51</v>
      </c>
      <c r="F231" s="22" t="s">
        <v>52</v>
      </c>
      <c r="G231" s="66">
        <v>3</v>
      </c>
      <c r="H231" s="2">
        <v>28.36</v>
      </c>
      <c r="I231" s="64">
        <f>PRODUCT(Table13[[#This Row],[Quantity]:[Unit_Price]])</f>
        <v>85.08</v>
      </c>
      <c r="J231" s="2">
        <v>4.46</v>
      </c>
      <c r="K231" s="2">
        <v>13.12</v>
      </c>
      <c r="L231" s="22" t="s">
        <v>19</v>
      </c>
      <c r="M231" s="22" t="s">
        <v>27</v>
      </c>
      <c r="N231" s="22" t="s">
        <v>28</v>
      </c>
      <c r="O231" s="64">
        <f>VLOOKUP($E231,Products!$B$2:$F$11,5,0)</f>
        <v>22.5</v>
      </c>
      <c r="P231" s="64">
        <f>PRODUCT(Table13[[#This Row],[Quantity]],Table13[[#This Row],[Unit_Cost]])</f>
        <v>67.5</v>
      </c>
      <c r="Q231" s="65">
        <f>Table13[[#This Row],[Profit]]/Table13[[#This Row],[Total_Sales]]</f>
        <v>0.15420780441936999</v>
      </c>
      <c r="R231" s="1"/>
      <c r="S231" s="1"/>
      <c r="T231" s="1"/>
    </row>
    <row r="232" spans="1:20" x14ac:dyDescent="0.25">
      <c r="A232" s="22" t="s">
        <v>376</v>
      </c>
      <c r="B232" s="63">
        <v>45625</v>
      </c>
      <c r="C232" s="22" t="s">
        <v>135</v>
      </c>
      <c r="D232" s="22" t="str">
        <f>PROPER(TRIM(Raw_Data!D232))</f>
        <v>Germany</v>
      </c>
      <c r="E232" s="22" t="s">
        <v>63</v>
      </c>
      <c r="F232" s="22" t="s">
        <v>37</v>
      </c>
      <c r="G232" s="66">
        <v>28</v>
      </c>
      <c r="H232" s="2">
        <v>22.13</v>
      </c>
      <c r="I232" s="64">
        <f>PRODUCT(Table13[[#This Row],[Quantity]:[Unit_Price]])</f>
        <v>619.64</v>
      </c>
      <c r="J232" s="2">
        <v>17.2</v>
      </c>
      <c r="K232" s="2">
        <v>245.44</v>
      </c>
      <c r="L232" s="22" t="s">
        <v>26</v>
      </c>
      <c r="M232" s="22" t="s">
        <v>32</v>
      </c>
      <c r="N232" s="22" t="s">
        <v>28</v>
      </c>
      <c r="O232" s="64">
        <f>VLOOKUP($E232,Products!$B$2:$F$11,5,0)</f>
        <v>12.75</v>
      </c>
      <c r="P232" s="64">
        <f>PRODUCT(Table13[[#This Row],[Quantity]],Table13[[#This Row],[Unit_Cost]])</f>
        <v>357</v>
      </c>
      <c r="Q232" s="65">
        <f>Table13[[#This Row],[Profit]]/Table13[[#This Row],[Total_Sales]]</f>
        <v>0.39610096184881544</v>
      </c>
      <c r="R232" s="1"/>
      <c r="S232" s="1"/>
      <c r="T232" s="1"/>
    </row>
    <row r="233" spans="1:20" x14ac:dyDescent="0.25">
      <c r="A233" s="22" t="s">
        <v>377</v>
      </c>
      <c r="B233" s="63">
        <v>45643</v>
      </c>
      <c r="C233" s="22" t="s">
        <v>233</v>
      </c>
      <c r="D233" s="22" t="str">
        <f>PROPER(TRIM(Raw_Data!D233))</f>
        <v>Usa</v>
      </c>
      <c r="E233" s="22" t="s">
        <v>25</v>
      </c>
      <c r="F233" s="22" t="s">
        <v>18</v>
      </c>
      <c r="G233" s="66">
        <v>28</v>
      </c>
      <c r="H233" s="2">
        <v>27.62</v>
      </c>
      <c r="I233" s="64">
        <f>PRODUCT(Table13[[#This Row],[Quantity]:[Unit_Price]])</f>
        <v>773.36</v>
      </c>
      <c r="J233" s="2">
        <v>29.88</v>
      </c>
      <c r="K233" s="2">
        <v>239.48</v>
      </c>
      <c r="L233" s="22" t="s">
        <v>19</v>
      </c>
      <c r="M233" s="22" t="s">
        <v>20</v>
      </c>
      <c r="N233" s="22" t="s">
        <v>21</v>
      </c>
      <c r="O233" s="64">
        <f>VLOOKUP($E233,Products!$B$2:$F$11,5,0)</f>
        <v>18</v>
      </c>
      <c r="P233" s="64">
        <f>PRODUCT(Table13[[#This Row],[Quantity]],Table13[[#This Row],[Unit_Cost]])</f>
        <v>504</v>
      </c>
      <c r="Q233" s="65">
        <f>Table13[[#This Row],[Profit]]/Table13[[#This Row],[Total_Sales]]</f>
        <v>0.30966173580221368</v>
      </c>
      <c r="R233" s="1"/>
      <c r="S233" s="1"/>
      <c r="T233" s="1"/>
    </row>
    <row r="234" spans="1:20" x14ac:dyDescent="0.25">
      <c r="A234" s="22" t="s">
        <v>378</v>
      </c>
      <c r="B234" s="63">
        <v>45723</v>
      </c>
      <c r="C234" s="22" t="s">
        <v>121</v>
      </c>
      <c r="D234" s="22" t="str">
        <f>PROPER(TRIM(Raw_Data!D234))</f>
        <v>Canada</v>
      </c>
      <c r="E234" s="22" t="s">
        <v>56</v>
      </c>
      <c r="F234" s="22" t="s">
        <v>57</v>
      </c>
      <c r="G234" s="66">
        <v>40</v>
      </c>
      <c r="H234" s="2">
        <v>34.229999999999997</v>
      </c>
      <c r="I234" s="64">
        <f>PRODUCT(Table13[[#This Row],[Quantity]:[Unit_Price]])</f>
        <v>1369.1999999999998</v>
      </c>
      <c r="J234" s="2">
        <v>78.03</v>
      </c>
      <c r="K234" s="2">
        <v>291.17</v>
      </c>
      <c r="L234" s="22" t="s">
        <v>19</v>
      </c>
      <c r="M234" s="22" t="s">
        <v>20</v>
      </c>
      <c r="N234" s="22" t="s">
        <v>21</v>
      </c>
      <c r="O234" s="64">
        <f>VLOOKUP($E234,Products!$B$2:$F$11,5,0)</f>
        <v>25</v>
      </c>
      <c r="P234" s="64">
        <f>PRODUCT(Table13[[#This Row],[Quantity]],Table13[[#This Row],[Unit_Cost]])</f>
        <v>1000</v>
      </c>
      <c r="Q234" s="65">
        <f>Table13[[#This Row],[Profit]]/Table13[[#This Row],[Total_Sales]]</f>
        <v>0.21265702600058431</v>
      </c>
      <c r="R234" s="1"/>
      <c r="S234" s="1"/>
      <c r="T234" s="1"/>
    </row>
    <row r="235" spans="1:20" x14ac:dyDescent="0.25">
      <c r="A235" s="22" t="s">
        <v>379</v>
      </c>
      <c r="B235" s="63">
        <v>45665</v>
      </c>
      <c r="C235" s="22" t="s">
        <v>179</v>
      </c>
      <c r="D235" s="22" t="str">
        <f>PROPER(TRIM(Raw_Data!D235))</f>
        <v>Japan</v>
      </c>
      <c r="E235" s="22" t="s">
        <v>43</v>
      </c>
      <c r="F235" s="22" t="s">
        <v>44</v>
      </c>
      <c r="G235" s="66">
        <v>9</v>
      </c>
      <c r="H235" s="2">
        <v>52.2</v>
      </c>
      <c r="I235" s="64">
        <f>PRODUCT(Table13[[#This Row],[Quantity]:[Unit_Price]])</f>
        <v>469.8</v>
      </c>
      <c r="J235" s="2">
        <v>31.5</v>
      </c>
      <c r="K235" s="2">
        <v>78.3</v>
      </c>
      <c r="L235" s="22" t="s">
        <v>38</v>
      </c>
      <c r="M235" s="22" t="s">
        <v>32</v>
      </c>
      <c r="N235" s="22" t="s">
        <v>58</v>
      </c>
      <c r="O235" s="64">
        <f>VLOOKUP($E235,Products!$B$2:$F$11,5,0)</f>
        <v>40</v>
      </c>
      <c r="P235" s="64">
        <f>PRODUCT(Table13[[#This Row],[Quantity]],Table13[[#This Row],[Unit_Cost]])</f>
        <v>360</v>
      </c>
      <c r="Q235" s="65">
        <f>Table13[[#This Row],[Profit]]/Table13[[#This Row],[Total_Sales]]</f>
        <v>0.16666666666666666</v>
      </c>
      <c r="R235" s="1"/>
      <c r="S235" s="1"/>
      <c r="T235" s="1"/>
    </row>
    <row r="236" spans="1:20" x14ac:dyDescent="0.25">
      <c r="A236" s="22" t="s">
        <v>380</v>
      </c>
      <c r="B236" s="63">
        <v>45745</v>
      </c>
      <c r="C236" s="22" t="s">
        <v>233</v>
      </c>
      <c r="D236" s="22" t="str">
        <f>PROPER(TRIM(Raw_Data!D236))</f>
        <v>France</v>
      </c>
      <c r="E236" s="22" t="s">
        <v>56</v>
      </c>
      <c r="F236" s="22" t="s">
        <v>57</v>
      </c>
      <c r="G236" s="66">
        <v>31</v>
      </c>
      <c r="H236" s="2">
        <v>43.54</v>
      </c>
      <c r="I236" s="64">
        <f>PRODUCT(Table13[[#This Row],[Quantity]:[Unit_Price]])</f>
        <v>1349.74</v>
      </c>
      <c r="J236" s="2">
        <v>99.86</v>
      </c>
      <c r="K236" s="2">
        <v>474.88</v>
      </c>
      <c r="L236" s="22" t="s">
        <v>19</v>
      </c>
      <c r="M236" s="22" t="s">
        <v>27</v>
      </c>
      <c r="N236" s="22" t="s">
        <v>28</v>
      </c>
      <c r="O236" s="64">
        <f>VLOOKUP($E236,Products!$B$2:$F$11,5,0)</f>
        <v>25</v>
      </c>
      <c r="P236" s="64">
        <f>PRODUCT(Table13[[#This Row],[Quantity]],Table13[[#This Row],[Unit_Cost]])</f>
        <v>775</v>
      </c>
      <c r="Q236" s="65">
        <f>Table13[[#This Row],[Profit]]/Table13[[#This Row],[Total_Sales]]</f>
        <v>0.35183072295405038</v>
      </c>
      <c r="R236" s="1"/>
      <c r="S236" s="1"/>
      <c r="T236" s="1"/>
    </row>
    <row r="237" spans="1:20" x14ac:dyDescent="0.25">
      <c r="A237" s="22" t="s">
        <v>381</v>
      </c>
      <c r="B237" s="63">
        <v>45788</v>
      </c>
      <c r="C237" s="22" t="s">
        <v>115</v>
      </c>
      <c r="D237" s="22" t="str">
        <f>PROPER(TRIM(Raw_Data!D237))</f>
        <v>Uae</v>
      </c>
      <c r="E237" s="22" t="s">
        <v>60</v>
      </c>
      <c r="F237" s="22" t="s">
        <v>52</v>
      </c>
      <c r="G237" s="66">
        <v>31</v>
      </c>
      <c r="H237" s="2">
        <v>18.63</v>
      </c>
      <c r="I237" s="64">
        <f>PRODUCT(Table13[[#This Row],[Quantity]:[Unit_Price]])</f>
        <v>577.53</v>
      </c>
      <c r="J237" s="2">
        <v>36.65</v>
      </c>
      <c r="K237" s="2">
        <v>60.38</v>
      </c>
      <c r="L237" s="22" t="s">
        <v>38</v>
      </c>
      <c r="M237" s="22" t="s">
        <v>20</v>
      </c>
      <c r="N237" s="22" t="s">
        <v>58</v>
      </c>
      <c r="O237" s="64">
        <f>VLOOKUP($E237,Products!$B$2:$F$11,5,0)</f>
        <v>15.5</v>
      </c>
      <c r="P237" s="64">
        <f>PRODUCT(Table13[[#This Row],[Quantity]],Table13[[#This Row],[Unit_Cost]])</f>
        <v>480.5</v>
      </c>
      <c r="Q237" s="65">
        <f>Table13[[#This Row],[Profit]]/Table13[[#This Row],[Total_Sales]]</f>
        <v>0.1045486814537773</v>
      </c>
      <c r="R237" s="1"/>
      <c r="S237" s="1"/>
      <c r="T237" s="1"/>
    </row>
    <row r="238" spans="1:20" x14ac:dyDescent="0.25">
      <c r="A238" s="22" t="s">
        <v>382</v>
      </c>
      <c r="B238" s="63">
        <v>45331</v>
      </c>
      <c r="C238" s="22" t="s">
        <v>278</v>
      </c>
      <c r="D238" s="22" t="str">
        <f>PROPER(TRIM(Raw_Data!D238))</f>
        <v>Japan</v>
      </c>
      <c r="E238" s="22" t="s">
        <v>48</v>
      </c>
      <c r="F238" s="22" t="s">
        <v>37</v>
      </c>
      <c r="G238" s="66">
        <v>38</v>
      </c>
      <c r="H238" s="2">
        <v>27.28</v>
      </c>
      <c r="I238" s="64">
        <f>PRODUCT(Table13[[#This Row],[Quantity]:[Unit_Price]])</f>
        <v>1036.6400000000001</v>
      </c>
      <c r="J238" s="2">
        <v>38.770000000000003</v>
      </c>
      <c r="K238" s="2">
        <v>237.87</v>
      </c>
      <c r="L238" s="22" t="s">
        <v>19</v>
      </c>
      <c r="M238" s="22" t="s">
        <v>32</v>
      </c>
      <c r="N238" s="22" t="s">
        <v>58</v>
      </c>
      <c r="O238" s="64">
        <f>VLOOKUP($E238,Products!$B$2:$F$11,5,0)</f>
        <v>20</v>
      </c>
      <c r="P238" s="64">
        <f>PRODUCT(Table13[[#This Row],[Quantity]],Table13[[#This Row],[Unit_Cost]])</f>
        <v>760</v>
      </c>
      <c r="Q238" s="65">
        <f>Table13[[#This Row],[Profit]]/Table13[[#This Row],[Total_Sales]]</f>
        <v>0.22946249421206974</v>
      </c>
      <c r="R238" s="1"/>
      <c r="S238" s="1"/>
      <c r="T238" s="1"/>
    </row>
    <row r="239" spans="1:20" x14ac:dyDescent="0.25">
      <c r="A239" s="22" t="s">
        <v>383</v>
      </c>
      <c r="B239" s="63">
        <v>45616</v>
      </c>
      <c r="C239" s="22" t="s">
        <v>207</v>
      </c>
      <c r="D239" s="22" t="str">
        <f>PROPER(TRIM(Raw_Data!D239))</f>
        <v>Brazil</v>
      </c>
      <c r="E239" s="22" t="s">
        <v>25</v>
      </c>
      <c r="F239" s="22" t="s">
        <v>18</v>
      </c>
      <c r="G239" s="66">
        <v>50</v>
      </c>
      <c r="H239" s="2">
        <v>30.97</v>
      </c>
      <c r="I239" s="64">
        <f>PRODUCT(Table13[[#This Row],[Quantity]:[Unit_Price]])</f>
        <v>1548.5</v>
      </c>
      <c r="J239" s="2">
        <v>82.09</v>
      </c>
      <c r="K239" s="2">
        <v>566.41</v>
      </c>
      <c r="L239" s="22" t="s">
        <v>26</v>
      </c>
      <c r="M239" s="22" t="s">
        <v>27</v>
      </c>
      <c r="N239" s="22" t="s">
        <v>39</v>
      </c>
      <c r="O239" s="64">
        <f>VLOOKUP($E239,Products!$B$2:$F$11,5,0)</f>
        <v>18</v>
      </c>
      <c r="P239" s="64">
        <f>PRODUCT(Table13[[#This Row],[Quantity]],Table13[[#This Row],[Unit_Cost]])</f>
        <v>900</v>
      </c>
      <c r="Q239" s="65">
        <f>Table13[[#This Row],[Profit]]/Table13[[#This Row],[Total_Sales]]</f>
        <v>0.36577978689053919</v>
      </c>
      <c r="R239" s="1"/>
      <c r="S239" s="1"/>
      <c r="T239" s="1"/>
    </row>
    <row r="240" spans="1:20" x14ac:dyDescent="0.25">
      <c r="A240" s="22" t="s">
        <v>384</v>
      </c>
      <c r="B240" s="63">
        <v>45350</v>
      </c>
      <c r="C240" s="22" t="s">
        <v>76</v>
      </c>
      <c r="D240" s="22" t="str">
        <f>PROPER(TRIM(Raw_Data!D240))</f>
        <v>Japan</v>
      </c>
      <c r="E240" s="22" t="s">
        <v>43</v>
      </c>
      <c r="F240" s="22" t="s">
        <v>44</v>
      </c>
      <c r="G240" s="66">
        <v>17</v>
      </c>
      <c r="H240" s="2">
        <v>60.91</v>
      </c>
      <c r="I240" s="64">
        <f>PRODUCT(Table13[[#This Row],[Quantity]:[Unit_Price]])</f>
        <v>1035.47</v>
      </c>
      <c r="J240" s="2">
        <v>54.09</v>
      </c>
      <c r="K240" s="2">
        <v>301.38</v>
      </c>
      <c r="L240" s="22" t="s">
        <v>38</v>
      </c>
      <c r="M240" s="22" t="s">
        <v>20</v>
      </c>
      <c r="N240" s="22" t="s">
        <v>58</v>
      </c>
      <c r="O240" s="64">
        <f>VLOOKUP($E240,Products!$B$2:$F$11,5,0)</f>
        <v>40</v>
      </c>
      <c r="P240" s="64">
        <f>PRODUCT(Table13[[#This Row],[Quantity]],Table13[[#This Row],[Unit_Cost]])</f>
        <v>680</v>
      </c>
      <c r="Q240" s="65">
        <f>Table13[[#This Row],[Profit]]/Table13[[#This Row],[Total_Sales]]</f>
        <v>0.29105623533274744</v>
      </c>
      <c r="R240" s="1"/>
      <c r="S240" s="1"/>
      <c r="T240" s="1"/>
    </row>
    <row r="241" spans="1:20" x14ac:dyDescent="0.25">
      <c r="A241" s="22" t="s">
        <v>385</v>
      </c>
      <c r="B241" s="63">
        <v>45789</v>
      </c>
      <c r="C241" s="22" t="s">
        <v>274</v>
      </c>
      <c r="D241" s="22" t="str">
        <f>PROPER(TRIM(Raw_Data!D241))</f>
        <v>China</v>
      </c>
      <c r="E241" s="22" t="s">
        <v>48</v>
      </c>
      <c r="F241" s="22" t="s">
        <v>37</v>
      </c>
      <c r="G241" s="66">
        <v>25</v>
      </c>
      <c r="H241" s="2">
        <v>31.15</v>
      </c>
      <c r="I241" s="64">
        <f>PRODUCT(Table13[[#This Row],[Quantity]:[Unit_Price]])</f>
        <v>778.75</v>
      </c>
      <c r="J241" s="2">
        <v>47.45</v>
      </c>
      <c r="K241" s="2">
        <v>231.3</v>
      </c>
      <c r="L241" s="22" t="s">
        <v>19</v>
      </c>
      <c r="M241" s="22" t="s">
        <v>32</v>
      </c>
      <c r="N241" s="22" t="s">
        <v>58</v>
      </c>
      <c r="O241" s="64">
        <f>VLOOKUP($E241,Products!$B$2:$F$11,5,0)</f>
        <v>20</v>
      </c>
      <c r="P241" s="64">
        <f>PRODUCT(Table13[[#This Row],[Quantity]],Table13[[#This Row],[Unit_Cost]])</f>
        <v>500</v>
      </c>
      <c r="Q241" s="65">
        <f>Table13[[#This Row],[Profit]]/Table13[[#This Row],[Total_Sales]]</f>
        <v>0.29701444622792939</v>
      </c>
      <c r="R241" s="1"/>
      <c r="S241" s="1"/>
      <c r="T241" s="1"/>
    </row>
    <row r="242" spans="1:20" x14ac:dyDescent="0.25">
      <c r="A242" s="22" t="s">
        <v>386</v>
      </c>
      <c r="B242" s="63">
        <v>45499</v>
      </c>
      <c r="C242" s="22" t="s">
        <v>291</v>
      </c>
      <c r="D242" s="22" t="str">
        <f>PROPER(TRIM(Raw_Data!D242))</f>
        <v>France</v>
      </c>
      <c r="E242" s="22" t="s">
        <v>25</v>
      </c>
      <c r="F242" s="22" t="s">
        <v>18</v>
      </c>
      <c r="G242" s="66">
        <v>30</v>
      </c>
      <c r="H242" s="2">
        <v>31.12</v>
      </c>
      <c r="I242" s="64">
        <f>PRODUCT(Table13[[#This Row],[Quantity]:[Unit_Price]])</f>
        <v>933.6</v>
      </c>
      <c r="J242" s="2">
        <v>50.88</v>
      </c>
      <c r="K242" s="2">
        <v>342.72</v>
      </c>
      <c r="L242" s="22" t="s">
        <v>26</v>
      </c>
      <c r="M242" s="22" t="s">
        <v>27</v>
      </c>
      <c r="N242" s="22" t="s">
        <v>28</v>
      </c>
      <c r="O242" s="64">
        <f>VLOOKUP($E242,Products!$B$2:$F$11,5,0)</f>
        <v>18</v>
      </c>
      <c r="P242" s="64">
        <f>PRODUCT(Table13[[#This Row],[Quantity]],Table13[[#This Row],[Unit_Cost]])</f>
        <v>540</v>
      </c>
      <c r="Q242" s="65">
        <f>Table13[[#This Row],[Profit]]/Table13[[#This Row],[Total_Sales]]</f>
        <v>0.36709511568123393</v>
      </c>
      <c r="R242" s="1"/>
      <c r="S242" s="1"/>
      <c r="T242" s="1"/>
    </row>
    <row r="243" spans="1:20" x14ac:dyDescent="0.25">
      <c r="A243" s="22" t="s">
        <v>387</v>
      </c>
      <c r="B243" s="63">
        <v>45691</v>
      </c>
      <c r="C243" s="22" t="s">
        <v>113</v>
      </c>
      <c r="D243" s="22" t="str">
        <f>PROPER(TRIM(Raw_Data!D243))</f>
        <v>Mexico</v>
      </c>
      <c r="E243" s="22" t="s">
        <v>60</v>
      </c>
      <c r="F243" s="22" t="s">
        <v>52</v>
      </c>
      <c r="G243" s="66">
        <v>17</v>
      </c>
      <c r="H243" s="2">
        <v>19.64</v>
      </c>
      <c r="I243" s="64">
        <f>PRODUCT(Table13[[#This Row],[Quantity]:[Unit_Price]])</f>
        <v>333.88</v>
      </c>
      <c r="J243" s="2">
        <v>22.23</v>
      </c>
      <c r="K243" s="2">
        <v>48.15</v>
      </c>
      <c r="L243" s="22" t="s">
        <v>38</v>
      </c>
      <c r="M243" s="22" t="s">
        <v>32</v>
      </c>
      <c r="N243" s="22" t="s">
        <v>21</v>
      </c>
      <c r="O243" s="64">
        <f>VLOOKUP($E243,Products!$B$2:$F$11,5,0)</f>
        <v>15.5</v>
      </c>
      <c r="P243" s="64">
        <f>PRODUCT(Table13[[#This Row],[Quantity]],Table13[[#This Row],[Unit_Cost]])</f>
        <v>263.5</v>
      </c>
      <c r="Q243" s="65">
        <f>Table13[[#This Row],[Profit]]/Table13[[#This Row],[Total_Sales]]</f>
        <v>0.14421348987660237</v>
      </c>
      <c r="R243" s="1"/>
      <c r="S243" s="1"/>
      <c r="T243" s="1"/>
    </row>
    <row r="244" spans="1:20" x14ac:dyDescent="0.25">
      <c r="A244" s="22" t="s">
        <v>388</v>
      </c>
      <c r="B244" s="63">
        <v>45457</v>
      </c>
      <c r="C244" s="22" t="s">
        <v>389</v>
      </c>
      <c r="D244" s="22" t="str">
        <f>PROPER(TRIM(Raw_Data!D244))</f>
        <v>Usa</v>
      </c>
      <c r="E244" s="22" t="s">
        <v>36</v>
      </c>
      <c r="F244" s="22" t="s">
        <v>37</v>
      </c>
      <c r="G244" s="66">
        <v>37</v>
      </c>
      <c r="H244" s="2">
        <v>57.35</v>
      </c>
      <c r="I244" s="64">
        <f>PRODUCT(Table13[[#This Row],[Quantity]:[Unit_Price]])</f>
        <v>2121.9500000000003</v>
      </c>
      <c r="J244" s="2">
        <v>147.38999999999999</v>
      </c>
      <c r="K244" s="2">
        <v>790.56</v>
      </c>
      <c r="L244" s="22" t="s">
        <v>19</v>
      </c>
      <c r="M244" s="22" t="s">
        <v>20</v>
      </c>
      <c r="N244" s="22" t="s">
        <v>21</v>
      </c>
      <c r="O244" s="64">
        <f>VLOOKUP($E244,Products!$B$2:$F$11,5,0)</f>
        <v>32</v>
      </c>
      <c r="P244" s="64">
        <f>PRODUCT(Table13[[#This Row],[Quantity]],Table13[[#This Row],[Unit_Cost]])</f>
        <v>1184</v>
      </c>
      <c r="Q244" s="65">
        <f>Table13[[#This Row],[Profit]]/Table13[[#This Row],[Total_Sales]]</f>
        <v>0.37256297273734057</v>
      </c>
      <c r="R244" s="1"/>
      <c r="S244" s="1"/>
      <c r="T244" s="1"/>
    </row>
    <row r="245" spans="1:20" x14ac:dyDescent="0.25">
      <c r="A245" s="22" t="s">
        <v>390</v>
      </c>
      <c r="B245" s="63">
        <v>45707</v>
      </c>
      <c r="C245" s="22" t="s">
        <v>15</v>
      </c>
      <c r="D245" s="22" t="str">
        <f>PROPER(TRIM(Raw_Data!D245))</f>
        <v>Italy</v>
      </c>
      <c r="E245" s="22" t="s">
        <v>17</v>
      </c>
      <c r="F245" s="22" t="s">
        <v>18</v>
      </c>
      <c r="G245" s="66">
        <v>45</v>
      </c>
      <c r="H245" s="2">
        <v>42.6</v>
      </c>
      <c r="I245" s="64">
        <f>PRODUCT(Table13[[#This Row],[Quantity]:[Unit_Price]])</f>
        <v>1917</v>
      </c>
      <c r="J245" s="2">
        <v>104.27</v>
      </c>
      <c r="K245" s="2">
        <v>237.73</v>
      </c>
      <c r="L245" s="22" t="s">
        <v>26</v>
      </c>
      <c r="M245" s="22" t="s">
        <v>32</v>
      </c>
      <c r="N245" s="22" t="s">
        <v>28</v>
      </c>
      <c r="O245" s="64">
        <f>VLOOKUP($E245,Products!$B$2:$F$11,5,0)</f>
        <v>35</v>
      </c>
      <c r="P245" s="64">
        <f>PRODUCT(Table13[[#This Row],[Quantity]],Table13[[#This Row],[Unit_Cost]])</f>
        <v>1575</v>
      </c>
      <c r="Q245" s="65">
        <f>Table13[[#This Row],[Profit]]/Table13[[#This Row],[Total_Sales]]</f>
        <v>0.12401147626499738</v>
      </c>
      <c r="R245" s="1"/>
      <c r="S245" s="1"/>
      <c r="T245" s="1"/>
    </row>
    <row r="246" spans="1:20" x14ac:dyDescent="0.25">
      <c r="A246" s="22" t="s">
        <v>391</v>
      </c>
      <c r="B246" s="63">
        <v>45465</v>
      </c>
      <c r="C246" s="22" t="s">
        <v>102</v>
      </c>
      <c r="D246" s="22" t="str">
        <f>PROPER(TRIM(Raw_Data!D246))</f>
        <v>Uk</v>
      </c>
      <c r="E246" s="22" t="s">
        <v>48</v>
      </c>
      <c r="F246" s="22" t="s">
        <v>37</v>
      </c>
      <c r="G246" s="66">
        <v>25</v>
      </c>
      <c r="H246" s="2">
        <v>31.82</v>
      </c>
      <c r="I246" s="64">
        <f>PRODUCT(Table13[[#This Row],[Quantity]:[Unit_Price]])</f>
        <v>795.5</v>
      </c>
      <c r="J246" s="2">
        <v>37.33</v>
      </c>
      <c r="K246" s="2">
        <v>258.17</v>
      </c>
      <c r="L246" s="22" t="s">
        <v>19</v>
      </c>
      <c r="M246" s="22" t="s">
        <v>27</v>
      </c>
      <c r="N246" s="22" t="s">
        <v>28</v>
      </c>
      <c r="O246" s="64">
        <f>VLOOKUP($E246,Products!$B$2:$F$11,5,0)</f>
        <v>20</v>
      </c>
      <c r="P246" s="64">
        <f>PRODUCT(Table13[[#This Row],[Quantity]],Table13[[#This Row],[Unit_Cost]])</f>
        <v>500</v>
      </c>
      <c r="Q246" s="65">
        <f>Table13[[#This Row],[Profit]]/Table13[[#This Row],[Total_Sales]]</f>
        <v>0.32453802639849155</v>
      </c>
      <c r="R246" s="1"/>
      <c r="S246" s="1"/>
      <c r="T246" s="1"/>
    </row>
    <row r="247" spans="1:20" x14ac:dyDescent="0.25">
      <c r="A247" s="22" t="s">
        <v>392</v>
      </c>
      <c r="B247" s="63">
        <v>45778</v>
      </c>
      <c r="C247" s="22" t="s">
        <v>125</v>
      </c>
      <c r="D247" s="22" t="str">
        <f>PROPER(TRIM(Raw_Data!D247))</f>
        <v>India</v>
      </c>
      <c r="E247" s="22" t="s">
        <v>56</v>
      </c>
      <c r="F247" s="22" t="s">
        <v>57</v>
      </c>
      <c r="G247" s="66">
        <v>17</v>
      </c>
      <c r="H247" s="2">
        <v>36.270000000000003</v>
      </c>
      <c r="I247" s="64">
        <f>PRODUCT(Table13[[#This Row],[Quantity]:[Unit_Price]])</f>
        <v>616.59</v>
      </c>
      <c r="J247" s="2">
        <v>22.76</v>
      </c>
      <c r="K247" s="2">
        <v>168.83</v>
      </c>
      <c r="L247" s="22" t="s">
        <v>38</v>
      </c>
      <c r="M247" s="22" t="s">
        <v>20</v>
      </c>
      <c r="N247" s="22" t="s">
        <v>58</v>
      </c>
      <c r="O247" s="64">
        <f>VLOOKUP($E247,Products!$B$2:$F$11,5,0)</f>
        <v>25</v>
      </c>
      <c r="P247" s="64">
        <f>PRODUCT(Table13[[#This Row],[Quantity]],Table13[[#This Row],[Unit_Cost]])</f>
        <v>425</v>
      </c>
      <c r="Q247" s="65">
        <f>Table13[[#This Row],[Profit]]/Table13[[#This Row],[Total_Sales]]</f>
        <v>0.27381241992247685</v>
      </c>
      <c r="R247" s="1"/>
      <c r="S247" s="1"/>
      <c r="T247" s="1"/>
    </row>
    <row r="248" spans="1:20" x14ac:dyDescent="0.25">
      <c r="A248" s="22" t="s">
        <v>393</v>
      </c>
      <c r="B248" s="63">
        <v>45601</v>
      </c>
      <c r="C248" s="22" t="s">
        <v>211</v>
      </c>
      <c r="D248" s="22" t="str">
        <f>PROPER(TRIM(Raw_Data!D248))</f>
        <v>Uae</v>
      </c>
      <c r="E248" s="22" t="s">
        <v>25</v>
      </c>
      <c r="F248" s="22" t="s">
        <v>18</v>
      </c>
      <c r="G248" s="66">
        <v>4</v>
      </c>
      <c r="H248" s="2">
        <v>27.01</v>
      </c>
      <c r="I248" s="64">
        <f>PRODUCT(Table13[[#This Row],[Quantity]:[Unit_Price]])</f>
        <v>108.04</v>
      </c>
      <c r="J248" s="2">
        <v>4.7300000000000004</v>
      </c>
      <c r="K248" s="2">
        <v>31.31</v>
      </c>
      <c r="L248" s="22" t="s">
        <v>38</v>
      </c>
      <c r="M248" s="22" t="s">
        <v>32</v>
      </c>
      <c r="N248" s="22" t="s">
        <v>58</v>
      </c>
      <c r="O248" s="64">
        <f>VLOOKUP($E248,Products!$B$2:$F$11,5,0)</f>
        <v>18</v>
      </c>
      <c r="P248" s="64">
        <f>PRODUCT(Table13[[#This Row],[Quantity]],Table13[[#This Row],[Unit_Cost]])</f>
        <v>72</v>
      </c>
      <c r="Q248" s="65">
        <f>Table13[[#This Row],[Profit]]/Table13[[#This Row],[Total_Sales]]</f>
        <v>0.28980007404664937</v>
      </c>
      <c r="R248" s="1"/>
      <c r="S248" s="1"/>
      <c r="T248" s="1"/>
    </row>
    <row r="249" spans="1:20" x14ac:dyDescent="0.25">
      <c r="A249" s="22" t="s">
        <v>394</v>
      </c>
      <c r="B249" s="63">
        <v>45417</v>
      </c>
      <c r="C249" s="22" t="s">
        <v>231</v>
      </c>
      <c r="D249" s="22" t="str">
        <f>PROPER(TRIM(Raw_Data!D249))</f>
        <v>Mexico</v>
      </c>
      <c r="E249" s="22" t="s">
        <v>17</v>
      </c>
      <c r="F249" s="22" t="s">
        <v>18</v>
      </c>
      <c r="G249" s="66">
        <v>22</v>
      </c>
      <c r="H249" s="2">
        <v>57.6</v>
      </c>
      <c r="I249" s="64">
        <f>PRODUCT(Table13[[#This Row],[Quantity]:[Unit_Price]])</f>
        <v>1267.2</v>
      </c>
      <c r="J249" s="2">
        <v>35.32</v>
      </c>
      <c r="K249" s="2">
        <v>461.88</v>
      </c>
      <c r="L249" s="22" t="s">
        <v>38</v>
      </c>
      <c r="M249" s="22" t="s">
        <v>20</v>
      </c>
      <c r="N249" s="22" t="s">
        <v>21</v>
      </c>
      <c r="O249" s="64">
        <f>VLOOKUP($E249,Products!$B$2:$F$11,5,0)</f>
        <v>35</v>
      </c>
      <c r="P249" s="64">
        <f>PRODUCT(Table13[[#This Row],[Quantity]],Table13[[#This Row],[Unit_Cost]])</f>
        <v>770</v>
      </c>
      <c r="Q249" s="65">
        <f>Table13[[#This Row],[Profit]]/Table13[[#This Row],[Total_Sales]]</f>
        <v>0.36448863636363632</v>
      </c>
      <c r="R249" s="1"/>
      <c r="S249" s="1"/>
      <c r="T249" s="1"/>
    </row>
    <row r="250" spans="1:20" x14ac:dyDescent="0.25">
      <c r="A250" s="22" t="s">
        <v>395</v>
      </c>
      <c r="B250" s="63">
        <v>45306</v>
      </c>
      <c r="C250" s="22" t="s">
        <v>261</v>
      </c>
      <c r="D250" s="22" t="str">
        <f>PROPER(TRIM(Raw_Data!D250))</f>
        <v>Germany</v>
      </c>
      <c r="E250" s="22" t="s">
        <v>56</v>
      </c>
      <c r="F250" s="22" t="s">
        <v>57</v>
      </c>
      <c r="G250" s="66">
        <v>24</v>
      </c>
      <c r="H250" s="2">
        <v>43.34</v>
      </c>
      <c r="I250" s="64">
        <f>PRODUCT(Table13[[#This Row],[Quantity]:[Unit_Price]])</f>
        <v>1040.1600000000001</v>
      </c>
      <c r="J250" s="2">
        <v>41.18</v>
      </c>
      <c r="K250" s="2">
        <v>398.98</v>
      </c>
      <c r="L250" s="22" t="s">
        <v>19</v>
      </c>
      <c r="M250" s="22" t="s">
        <v>32</v>
      </c>
      <c r="N250" s="22" t="s">
        <v>28</v>
      </c>
      <c r="O250" s="64">
        <f>VLOOKUP($E250,Products!$B$2:$F$11,5,0)</f>
        <v>25</v>
      </c>
      <c r="P250" s="64">
        <f>PRODUCT(Table13[[#This Row],[Quantity]],Table13[[#This Row],[Unit_Cost]])</f>
        <v>600</v>
      </c>
      <c r="Q250" s="65">
        <f>Table13[[#This Row],[Profit]]/Table13[[#This Row],[Total_Sales]]</f>
        <v>0.38357560375326871</v>
      </c>
      <c r="R250" s="1"/>
      <c r="S250" s="1"/>
      <c r="T250" s="1"/>
    </row>
    <row r="251" spans="1:20" x14ac:dyDescent="0.25">
      <c r="A251" s="22" t="s">
        <v>396</v>
      </c>
      <c r="B251" s="63">
        <v>45711</v>
      </c>
      <c r="C251" s="22" t="s">
        <v>166</v>
      </c>
      <c r="D251" s="22" t="str">
        <f>PROPER(TRIM(Raw_Data!D251))</f>
        <v>Mexico</v>
      </c>
      <c r="E251" s="22" t="s">
        <v>43</v>
      </c>
      <c r="F251" s="22" t="s">
        <v>44</v>
      </c>
      <c r="G251" s="66">
        <v>37</v>
      </c>
      <c r="H251" s="2">
        <v>71.8</v>
      </c>
      <c r="I251" s="64">
        <f>PRODUCT(Table13[[#This Row],[Quantity]:[Unit_Price]])</f>
        <v>2656.6</v>
      </c>
      <c r="J251" s="2">
        <v>60.3</v>
      </c>
      <c r="K251" s="2">
        <v>1116.3</v>
      </c>
      <c r="L251" s="22" t="s">
        <v>26</v>
      </c>
      <c r="M251" s="22" t="s">
        <v>20</v>
      </c>
      <c r="N251" s="22" t="s">
        <v>21</v>
      </c>
      <c r="O251" s="64">
        <f>VLOOKUP($E251,Products!$B$2:$F$11,5,0)</f>
        <v>40</v>
      </c>
      <c r="P251" s="64">
        <f>PRODUCT(Table13[[#This Row],[Quantity]],Table13[[#This Row],[Unit_Cost]])</f>
        <v>1480</v>
      </c>
      <c r="Q251" s="65">
        <f>Table13[[#This Row],[Profit]]/Table13[[#This Row],[Total_Sales]]</f>
        <v>0.42019875028231574</v>
      </c>
      <c r="R251" s="1"/>
      <c r="S251" s="1"/>
      <c r="T251" s="1"/>
    </row>
    <row r="252" spans="1:20" x14ac:dyDescent="0.25">
      <c r="A252" s="22" t="s">
        <v>397</v>
      </c>
      <c r="B252" s="63">
        <v>45471</v>
      </c>
      <c r="C252" s="22" t="s">
        <v>389</v>
      </c>
      <c r="D252" s="22" t="str">
        <f>PROPER(TRIM(Raw_Data!D252))</f>
        <v>Uae</v>
      </c>
      <c r="E252" s="22" t="s">
        <v>48</v>
      </c>
      <c r="F252" s="22" t="s">
        <v>37</v>
      </c>
      <c r="G252" s="66">
        <v>24</v>
      </c>
      <c r="H252" s="2">
        <v>29.11</v>
      </c>
      <c r="I252" s="64">
        <f>PRODUCT(Table13[[#This Row],[Quantity]:[Unit_Price]])</f>
        <v>698.64</v>
      </c>
      <c r="J252" s="2">
        <v>53.99</v>
      </c>
      <c r="K252" s="2">
        <v>164.65</v>
      </c>
      <c r="L252" s="22" t="s">
        <v>38</v>
      </c>
      <c r="M252" s="22" t="s">
        <v>32</v>
      </c>
      <c r="N252" s="22" t="s">
        <v>58</v>
      </c>
      <c r="O252" s="64">
        <f>VLOOKUP($E252,Products!$B$2:$F$11,5,0)</f>
        <v>20</v>
      </c>
      <c r="P252" s="64">
        <f>PRODUCT(Table13[[#This Row],[Quantity]],Table13[[#This Row],[Unit_Cost]])</f>
        <v>480</v>
      </c>
      <c r="Q252" s="65">
        <f>Table13[[#This Row],[Profit]]/Table13[[#This Row],[Total_Sales]]</f>
        <v>0.23567216305965877</v>
      </c>
      <c r="R252" s="1"/>
      <c r="S252" s="1"/>
      <c r="T252" s="1"/>
    </row>
    <row r="253" spans="1:20" x14ac:dyDescent="0.25">
      <c r="A253" s="22" t="s">
        <v>398</v>
      </c>
      <c r="B253" s="63">
        <v>45310</v>
      </c>
      <c r="C253" s="22" t="s">
        <v>399</v>
      </c>
      <c r="D253" s="22" t="str">
        <f>PROPER(TRIM(Raw_Data!D253))</f>
        <v>Japan</v>
      </c>
      <c r="E253" s="22" t="s">
        <v>51</v>
      </c>
      <c r="F253" s="22" t="s">
        <v>52</v>
      </c>
      <c r="G253" s="66">
        <v>6</v>
      </c>
      <c r="H253" s="2">
        <v>27.91</v>
      </c>
      <c r="I253" s="64">
        <f>PRODUCT(Table13[[#This Row],[Quantity]:[Unit_Price]])</f>
        <v>167.46</v>
      </c>
      <c r="J253" s="2">
        <v>10.01</v>
      </c>
      <c r="K253" s="2">
        <v>22.45</v>
      </c>
      <c r="L253" s="22" t="s">
        <v>19</v>
      </c>
      <c r="M253" s="22" t="s">
        <v>20</v>
      </c>
      <c r="N253" s="22" t="s">
        <v>58</v>
      </c>
      <c r="O253" s="64">
        <f>VLOOKUP($E253,Products!$B$2:$F$11,5,0)</f>
        <v>22.5</v>
      </c>
      <c r="P253" s="64">
        <f>PRODUCT(Table13[[#This Row],[Quantity]],Table13[[#This Row],[Unit_Cost]])</f>
        <v>135</v>
      </c>
      <c r="Q253" s="65">
        <f>Table13[[#This Row],[Profit]]/Table13[[#This Row],[Total_Sales]]</f>
        <v>0.1340618655201242</v>
      </c>
      <c r="R253" s="1"/>
      <c r="S253" s="1"/>
      <c r="T253" s="1"/>
    </row>
    <row r="254" spans="1:20" x14ac:dyDescent="0.25">
      <c r="A254" s="22" t="s">
        <v>400</v>
      </c>
      <c r="B254" s="63">
        <v>45331</v>
      </c>
      <c r="C254" s="22" t="s">
        <v>34</v>
      </c>
      <c r="D254" s="22" t="str">
        <f>PROPER(TRIM(Raw_Data!D254))</f>
        <v>China</v>
      </c>
      <c r="E254" s="22" t="s">
        <v>51</v>
      </c>
      <c r="F254" s="22" t="s">
        <v>52</v>
      </c>
      <c r="G254" s="66">
        <v>28</v>
      </c>
      <c r="H254" s="2">
        <v>27.29</v>
      </c>
      <c r="I254" s="64">
        <f>PRODUCT(Table13[[#This Row],[Quantity]:[Unit_Price]])</f>
        <v>764.12</v>
      </c>
      <c r="J254" s="2">
        <v>25.78</v>
      </c>
      <c r="K254" s="2">
        <v>108.34</v>
      </c>
      <c r="L254" s="22" t="s">
        <v>38</v>
      </c>
      <c r="M254" s="22" t="s">
        <v>20</v>
      </c>
      <c r="N254" s="22" t="s">
        <v>58</v>
      </c>
      <c r="O254" s="64">
        <f>VLOOKUP($E254,Products!$B$2:$F$11,5,0)</f>
        <v>22.5</v>
      </c>
      <c r="P254" s="64">
        <f>PRODUCT(Table13[[#This Row],[Quantity]],Table13[[#This Row],[Unit_Cost]])</f>
        <v>630</v>
      </c>
      <c r="Q254" s="65">
        <f>Table13[[#This Row],[Profit]]/Table13[[#This Row],[Total_Sales]]</f>
        <v>0.1417840129822541</v>
      </c>
      <c r="R254" s="1"/>
      <c r="S254" s="1"/>
      <c r="T254" s="1"/>
    </row>
    <row r="255" spans="1:20" x14ac:dyDescent="0.25">
      <c r="A255" s="22" t="s">
        <v>401</v>
      </c>
      <c r="B255" s="63">
        <v>45347</v>
      </c>
      <c r="C255" s="22" t="s">
        <v>319</v>
      </c>
      <c r="D255" s="22" t="str">
        <f>PROPER(TRIM(Raw_Data!D255))</f>
        <v>Mexico</v>
      </c>
      <c r="E255" s="22" t="s">
        <v>51</v>
      </c>
      <c r="F255" s="22" t="s">
        <v>52</v>
      </c>
      <c r="G255" s="66">
        <v>47</v>
      </c>
      <c r="H255" s="2">
        <v>35.880000000000003</v>
      </c>
      <c r="I255" s="64">
        <f>PRODUCT(Table13[[#This Row],[Quantity]:[Unit_Price]])</f>
        <v>1686.3600000000001</v>
      </c>
      <c r="J255" s="2">
        <v>70.3</v>
      </c>
      <c r="K255" s="2">
        <v>558.55999999999995</v>
      </c>
      <c r="L255" s="22" t="s">
        <v>19</v>
      </c>
      <c r="M255" s="22" t="s">
        <v>27</v>
      </c>
      <c r="N255" s="22" t="s">
        <v>21</v>
      </c>
      <c r="O255" s="64">
        <f>VLOOKUP($E255,Products!$B$2:$F$11,5,0)</f>
        <v>22.5</v>
      </c>
      <c r="P255" s="64">
        <f>PRODUCT(Table13[[#This Row],[Quantity]],Table13[[#This Row],[Unit_Cost]])</f>
        <v>1057.5</v>
      </c>
      <c r="Q255" s="65">
        <f>Table13[[#This Row],[Profit]]/Table13[[#This Row],[Total_Sales]]</f>
        <v>0.33122227756825345</v>
      </c>
      <c r="R255" s="1"/>
      <c r="S255" s="1"/>
      <c r="T255" s="1"/>
    </row>
    <row r="256" spans="1:20" x14ac:dyDescent="0.25">
      <c r="A256" s="22" t="s">
        <v>402</v>
      </c>
      <c r="B256" s="63">
        <v>45465</v>
      </c>
      <c r="C256" s="22" t="s">
        <v>199</v>
      </c>
      <c r="D256" s="22" t="str">
        <f>PROPER(TRIM(Raw_Data!D256))</f>
        <v>France</v>
      </c>
      <c r="E256" s="22" t="s">
        <v>60</v>
      </c>
      <c r="F256" s="22" t="s">
        <v>52</v>
      </c>
      <c r="G256" s="66">
        <v>19</v>
      </c>
      <c r="H256" s="2">
        <v>27.47</v>
      </c>
      <c r="I256" s="64">
        <f>PRODUCT(Table13[[#This Row],[Quantity]:[Unit_Price]])</f>
        <v>521.92999999999995</v>
      </c>
      <c r="J256" s="2">
        <v>31.29</v>
      </c>
      <c r="K256" s="2">
        <v>196.14</v>
      </c>
      <c r="L256" s="22" t="s">
        <v>26</v>
      </c>
      <c r="M256" s="22" t="s">
        <v>32</v>
      </c>
      <c r="N256" s="22" t="s">
        <v>28</v>
      </c>
      <c r="O256" s="64">
        <f>VLOOKUP($E256,Products!$B$2:$F$11,5,0)</f>
        <v>15.5</v>
      </c>
      <c r="P256" s="64">
        <f>PRODUCT(Table13[[#This Row],[Quantity]],Table13[[#This Row],[Unit_Cost]])</f>
        <v>294.5</v>
      </c>
      <c r="Q256" s="65">
        <f>Table13[[#This Row],[Profit]]/Table13[[#This Row],[Total_Sales]]</f>
        <v>0.37579752074032918</v>
      </c>
      <c r="R256" s="1"/>
      <c r="S256" s="1"/>
      <c r="T256" s="1"/>
    </row>
    <row r="257" spans="1:20" x14ac:dyDescent="0.25">
      <c r="A257" s="22" t="s">
        <v>403</v>
      </c>
      <c r="B257" s="63">
        <v>45598</v>
      </c>
      <c r="C257" s="22" t="s">
        <v>135</v>
      </c>
      <c r="D257" s="22" t="str">
        <f>PROPER(TRIM(Raw_Data!D257))</f>
        <v>Australia</v>
      </c>
      <c r="E257" s="22" t="s">
        <v>48</v>
      </c>
      <c r="F257" s="22" t="s">
        <v>37</v>
      </c>
      <c r="G257" s="66">
        <v>13</v>
      </c>
      <c r="H257" s="2">
        <v>29.26</v>
      </c>
      <c r="I257" s="64">
        <f>PRODUCT(Table13[[#This Row],[Quantity]:[Unit_Price]])</f>
        <v>380.38</v>
      </c>
      <c r="J257" s="2">
        <v>9.4700000000000006</v>
      </c>
      <c r="K257" s="2">
        <v>110.91</v>
      </c>
      <c r="L257" s="22" t="s">
        <v>26</v>
      </c>
      <c r="M257" s="22" t="s">
        <v>32</v>
      </c>
      <c r="N257" s="22" t="s">
        <v>130</v>
      </c>
      <c r="O257" s="64">
        <f>VLOOKUP($E257,Products!$B$2:$F$11,5,0)</f>
        <v>20</v>
      </c>
      <c r="P257" s="64">
        <f>PRODUCT(Table13[[#This Row],[Quantity]],Table13[[#This Row],[Unit_Cost]])</f>
        <v>260</v>
      </c>
      <c r="Q257" s="65">
        <f>Table13[[#This Row],[Profit]]/Table13[[#This Row],[Total_Sales]]</f>
        <v>0.29157684420842317</v>
      </c>
      <c r="R257" s="1"/>
      <c r="S257" s="1"/>
      <c r="T257" s="1"/>
    </row>
    <row r="258" spans="1:20" x14ac:dyDescent="0.25">
      <c r="A258" s="22" t="s">
        <v>404</v>
      </c>
      <c r="B258" s="63">
        <v>45665</v>
      </c>
      <c r="C258" s="22" t="s">
        <v>306</v>
      </c>
      <c r="D258" s="22" t="str">
        <f>PROPER(TRIM(Raw_Data!D258))</f>
        <v>Germany</v>
      </c>
      <c r="E258" s="22" t="s">
        <v>25</v>
      </c>
      <c r="F258" s="22" t="s">
        <v>18</v>
      </c>
      <c r="G258" s="66">
        <v>4</v>
      </c>
      <c r="H258" s="2">
        <v>26.17</v>
      </c>
      <c r="I258" s="64">
        <f>PRODUCT(Table13[[#This Row],[Quantity]:[Unit_Price]])</f>
        <v>104.68</v>
      </c>
      <c r="J258" s="2">
        <v>6.33</v>
      </c>
      <c r="K258" s="2">
        <v>26.35</v>
      </c>
      <c r="L258" s="22" t="s">
        <v>19</v>
      </c>
      <c r="M258" s="22" t="s">
        <v>27</v>
      </c>
      <c r="N258" s="22" t="s">
        <v>28</v>
      </c>
      <c r="O258" s="64">
        <f>VLOOKUP($E258,Products!$B$2:$F$11,5,0)</f>
        <v>18</v>
      </c>
      <c r="P258" s="64">
        <f>PRODUCT(Table13[[#This Row],[Quantity]],Table13[[#This Row],[Unit_Cost]])</f>
        <v>72</v>
      </c>
      <c r="Q258" s="65">
        <f>Table13[[#This Row],[Profit]]/Table13[[#This Row],[Total_Sales]]</f>
        <v>0.25171952617500953</v>
      </c>
      <c r="R258" s="1"/>
      <c r="S258" s="1"/>
      <c r="T258" s="1"/>
    </row>
    <row r="259" spans="1:20" x14ac:dyDescent="0.25">
      <c r="A259" s="22" t="s">
        <v>405</v>
      </c>
      <c r="B259" s="63">
        <v>45304</v>
      </c>
      <c r="C259" s="22" t="s">
        <v>166</v>
      </c>
      <c r="D259" s="22" t="str">
        <f>PROPER(TRIM(Raw_Data!D259))</f>
        <v>Germany</v>
      </c>
      <c r="E259" s="22" t="s">
        <v>51</v>
      </c>
      <c r="F259" s="22" t="s">
        <v>52</v>
      </c>
      <c r="G259" s="66">
        <v>43</v>
      </c>
      <c r="H259" s="2">
        <v>37.32</v>
      </c>
      <c r="I259" s="64">
        <f>PRODUCT(Table13[[#This Row],[Quantity]:[Unit_Price]])</f>
        <v>1604.76</v>
      </c>
      <c r="J259" s="2">
        <v>61.01</v>
      </c>
      <c r="K259" s="2">
        <v>576.25</v>
      </c>
      <c r="L259" s="22" t="s">
        <v>19</v>
      </c>
      <c r="M259" s="22" t="s">
        <v>27</v>
      </c>
      <c r="N259" s="22" t="s">
        <v>28</v>
      </c>
      <c r="O259" s="64">
        <f>VLOOKUP($E259,Products!$B$2:$F$11,5,0)</f>
        <v>22.5</v>
      </c>
      <c r="P259" s="64">
        <f>PRODUCT(Table13[[#This Row],[Quantity]],Table13[[#This Row],[Unit_Cost]])</f>
        <v>967.5</v>
      </c>
      <c r="Q259" s="65">
        <f>Table13[[#This Row],[Profit]]/Table13[[#This Row],[Total_Sales]]</f>
        <v>0.35908796330915527</v>
      </c>
      <c r="R259" s="1"/>
      <c r="S259" s="1"/>
      <c r="T259" s="1"/>
    </row>
    <row r="260" spans="1:20" x14ac:dyDescent="0.25">
      <c r="A260" s="22" t="s">
        <v>406</v>
      </c>
      <c r="B260" s="63">
        <v>45558</v>
      </c>
      <c r="C260" s="22" t="s">
        <v>293</v>
      </c>
      <c r="D260" s="22" t="str">
        <f>PROPER(TRIM(Raw_Data!D260))</f>
        <v>South Africa</v>
      </c>
      <c r="E260" s="22" t="s">
        <v>25</v>
      </c>
      <c r="F260" s="22" t="s">
        <v>18</v>
      </c>
      <c r="G260" s="66">
        <v>27</v>
      </c>
      <c r="H260" s="2">
        <v>23.05</v>
      </c>
      <c r="I260" s="64">
        <f>PRODUCT(Table13[[#This Row],[Quantity]:[Unit_Price]])</f>
        <v>622.35</v>
      </c>
      <c r="J260" s="2">
        <v>20.440000000000001</v>
      </c>
      <c r="K260" s="2">
        <v>115.91</v>
      </c>
      <c r="L260" s="22" t="s">
        <v>38</v>
      </c>
      <c r="M260" s="22" t="s">
        <v>27</v>
      </c>
      <c r="N260" s="22" t="s">
        <v>87</v>
      </c>
      <c r="O260" s="64">
        <f>VLOOKUP($E260,Products!$B$2:$F$11,5,0)</f>
        <v>18</v>
      </c>
      <c r="P260" s="64">
        <f>PRODUCT(Table13[[#This Row],[Quantity]],Table13[[#This Row],[Unit_Cost]])</f>
        <v>486</v>
      </c>
      <c r="Q260" s="65">
        <f>Table13[[#This Row],[Profit]]/Table13[[#This Row],[Total_Sales]]</f>
        <v>0.18624568169036715</v>
      </c>
      <c r="R260" s="1"/>
      <c r="S260" s="1"/>
      <c r="T260" s="1"/>
    </row>
    <row r="261" spans="1:20" x14ac:dyDescent="0.25">
      <c r="A261" s="22" t="s">
        <v>407</v>
      </c>
      <c r="B261" s="63">
        <v>45575</v>
      </c>
      <c r="C261" s="22" t="s">
        <v>408</v>
      </c>
      <c r="D261" s="22" t="str">
        <f>PROPER(TRIM(Raw_Data!D261))</f>
        <v>Japan</v>
      </c>
      <c r="E261" s="22" t="s">
        <v>63</v>
      </c>
      <c r="F261" s="22" t="s">
        <v>37</v>
      </c>
      <c r="G261" s="66">
        <v>38</v>
      </c>
      <c r="H261" s="2">
        <v>19.02</v>
      </c>
      <c r="I261" s="64">
        <f>PRODUCT(Table13[[#This Row],[Quantity]:[Unit_Price]])</f>
        <v>722.76</v>
      </c>
      <c r="J261" s="2">
        <v>14.63</v>
      </c>
      <c r="K261" s="2">
        <v>223.63</v>
      </c>
      <c r="L261" s="22" t="s">
        <v>26</v>
      </c>
      <c r="M261" s="22" t="s">
        <v>27</v>
      </c>
      <c r="N261" s="22" t="s">
        <v>58</v>
      </c>
      <c r="O261" s="64">
        <f>VLOOKUP($E261,Products!$B$2:$F$11,5,0)</f>
        <v>12.75</v>
      </c>
      <c r="P261" s="64">
        <f>PRODUCT(Table13[[#This Row],[Quantity]],Table13[[#This Row],[Unit_Cost]])</f>
        <v>484.5</v>
      </c>
      <c r="Q261" s="65">
        <f>Table13[[#This Row],[Profit]]/Table13[[#This Row],[Total_Sales]]</f>
        <v>0.30941114616193482</v>
      </c>
      <c r="R261" s="1"/>
      <c r="S261" s="1"/>
      <c r="T261" s="1"/>
    </row>
    <row r="262" spans="1:20" x14ac:dyDescent="0.25">
      <c r="A262" s="22" t="s">
        <v>409</v>
      </c>
      <c r="B262" s="63">
        <v>45469</v>
      </c>
      <c r="C262" s="22" t="s">
        <v>410</v>
      </c>
      <c r="D262" s="22" t="str">
        <f>PROPER(TRIM(Raw_Data!D262))</f>
        <v>Canada</v>
      </c>
      <c r="E262" s="22" t="s">
        <v>43</v>
      </c>
      <c r="F262" s="22" t="s">
        <v>44</v>
      </c>
      <c r="G262" s="66">
        <v>10</v>
      </c>
      <c r="H262" s="2">
        <v>70.94</v>
      </c>
      <c r="I262" s="64">
        <f>PRODUCT(Table13[[#This Row],[Quantity]:[Unit_Price]])</f>
        <v>709.4</v>
      </c>
      <c r="J262" s="2">
        <v>18.64</v>
      </c>
      <c r="K262" s="2">
        <v>290.76</v>
      </c>
      <c r="L262" s="22" t="s">
        <v>26</v>
      </c>
      <c r="M262" s="22" t="s">
        <v>32</v>
      </c>
      <c r="N262" s="22" t="s">
        <v>21</v>
      </c>
      <c r="O262" s="64">
        <f>VLOOKUP($E262,Products!$B$2:$F$11,5,0)</f>
        <v>40</v>
      </c>
      <c r="P262" s="64">
        <f>PRODUCT(Table13[[#This Row],[Quantity]],Table13[[#This Row],[Unit_Cost]])</f>
        <v>400</v>
      </c>
      <c r="Q262" s="65">
        <f>Table13[[#This Row],[Profit]]/Table13[[#This Row],[Total_Sales]]</f>
        <v>0.40986749365661124</v>
      </c>
      <c r="R262" s="1"/>
      <c r="S262" s="1"/>
      <c r="T262" s="1"/>
    </row>
    <row r="263" spans="1:20" x14ac:dyDescent="0.25">
      <c r="A263" s="22" t="s">
        <v>411</v>
      </c>
      <c r="B263" s="63">
        <v>45296</v>
      </c>
      <c r="C263" s="22" t="s">
        <v>278</v>
      </c>
      <c r="D263" s="22" t="str">
        <f>PROPER(TRIM(Raw_Data!D263))</f>
        <v>Singapore</v>
      </c>
      <c r="E263" s="22" t="s">
        <v>56</v>
      </c>
      <c r="F263" s="22" t="s">
        <v>57</v>
      </c>
      <c r="G263" s="66">
        <v>17</v>
      </c>
      <c r="H263" s="2">
        <v>38.28</v>
      </c>
      <c r="I263" s="64">
        <f>PRODUCT(Table13[[#This Row],[Quantity]:[Unit_Price]])</f>
        <v>650.76</v>
      </c>
      <c r="J263" s="2">
        <v>38.43</v>
      </c>
      <c r="K263" s="2">
        <v>187.33</v>
      </c>
      <c r="L263" s="22" t="s">
        <v>26</v>
      </c>
      <c r="M263" s="22" t="s">
        <v>32</v>
      </c>
      <c r="N263" s="22" t="s">
        <v>58</v>
      </c>
      <c r="O263" s="64">
        <f>VLOOKUP($E263,Products!$B$2:$F$11,5,0)</f>
        <v>25</v>
      </c>
      <c r="P263" s="64">
        <f>PRODUCT(Table13[[#This Row],[Quantity]],Table13[[#This Row],[Unit_Cost]])</f>
        <v>425</v>
      </c>
      <c r="Q263" s="65">
        <f>Table13[[#This Row],[Profit]]/Table13[[#This Row],[Total_Sales]]</f>
        <v>0.28786342123056119</v>
      </c>
      <c r="R263" s="1"/>
      <c r="S263" s="1"/>
      <c r="T263" s="1"/>
    </row>
    <row r="264" spans="1:20" x14ac:dyDescent="0.25">
      <c r="A264" s="22" t="s">
        <v>412</v>
      </c>
      <c r="B264" s="63">
        <v>45544</v>
      </c>
      <c r="C264" s="22" t="s">
        <v>364</v>
      </c>
      <c r="D264" s="22" t="str">
        <f>PROPER(TRIM(Raw_Data!D264))</f>
        <v>Usa</v>
      </c>
      <c r="E264" s="22" t="s">
        <v>36</v>
      </c>
      <c r="F264" s="22" t="s">
        <v>37</v>
      </c>
      <c r="G264" s="66">
        <v>10</v>
      </c>
      <c r="H264" s="2">
        <v>38.799999999999997</v>
      </c>
      <c r="I264" s="64">
        <f>PRODUCT(Table13[[#This Row],[Quantity]:[Unit_Price]])</f>
        <v>388</v>
      </c>
      <c r="J264" s="2">
        <v>16.39</v>
      </c>
      <c r="K264" s="2">
        <v>51.61</v>
      </c>
      <c r="L264" s="22" t="s">
        <v>38</v>
      </c>
      <c r="M264" s="22" t="s">
        <v>27</v>
      </c>
      <c r="N264" s="22" t="s">
        <v>21</v>
      </c>
      <c r="O264" s="64">
        <f>VLOOKUP($E264,Products!$B$2:$F$11,5,0)</f>
        <v>32</v>
      </c>
      <c r="P264" s="64">
        <f>PRODUCT(Table13[[#This Row],[Quantity]],Table13[[#This Row],[Unit_Cost]])</f>
        <v>320</v>
      </c>
      <c r="Q264" s="65">
        <f>Table13[[#This Row],[Profit]]/Table13[[#This Row],[Total_Sales]]</f>
        <v>0.13301546391752578</v>
      </c>
      <c r="R264" s="1"/>
      <c r="S264" s="1"/>
      <c r="T264" s="1"/>
    </row>
    <row r="265" spans="1:20" x14ac:dyDescent="0.25">
      <c r="A265" s="22" t="s">
        <v>413</v>
      </c>
      <c r="B265" s="63">
        <v>45416</v>
      </c>
      <c r="C265" s="22" t="s">
        <v>166</v>
      </c>
      <c r="D265" s="22" t="str">
        <f>PROPER(TRIM(Raw_Data!D265))</f>
        <v>China</v>
      </c>
      <c r="E265" s="22" t="s">
        <v>56</v>
      </c>
      <c r="F265" s="22" t="s">
        <v>57</v>
      </c>
      <c r="G265" s="66">
        <v>3</v>
      </c>
      <c r="H265" s="2">
        <v>33.840000000000003</v>
      </c>
      <c r="I265" s="64">
        <f>PRODUCT(Table13[[#This Row],[Quantity]:[Unit_Price]])</f>
        <v>101.52000000000001</v>
      </c>
      <c r="J265" s="2">
        <v>2.3199999999999998</v>
      </c>
      <c r="K265" s="2">
        <v>24.2</v>
      </c>
      <c r="L265" s="22" t="s">
        <v>38</v>
      </c>
      <c r="M265" s="22" t="s">
        <v>32</v>
      </c>
      <c r="N265" s="22" t="s">
        <v>58</v>
      </c>
      <c r="O265" s="64">
        <f>VLOOKUP($E265,Products!$B$2:$F$11,5,0)</f>
        <v>25</v>
      </c>
      <c r="P265" s="64">
        <f>PRODUCT(Table13[[#This Row],[Quantity]],Table13[[#This Row],[Unit_Cost]])</f>
        <v>75</v>
      </c>
      <c r="Q265" s="65">
        <f>Table13[[#This Row],[Profit]]/Table13[[#This Row],[Total_Sales]]</f>
        <v>0.23837667454688727</v>
      </c>
      <c r="R265" s="1"/>
      <c r="S265" s="1"/>
      <c r="T265" s="1"/>
    </row>
    <row r="266" spans="1:20" x14ac:dyDescent="0.25">
      <c r="A266" s="22" t="s">
        <v>414</v>
      </c>
      <c r="B266" s="63">
        <v>45382</v>
      </c>
      <c r="C266" s="22" t="s">
        <v>199</v>
      </c>
      <c r="D266" s="22" t="str">
        <f>PROPER(TRIM(Raw_Data!D266))</f>
        <v>Germany</v>
      </c>
      <c r="E266" s="22" t="s">
        <v>60</v>
      </c>
      <c r="F266" s="22" t="s">
        <v>52</v>
      </c>
      <c r="G266" s="66">
        <v>20</v>
      </c>
      <c r="H266" s="2">
        <v>21.12</v>
      </c>
      <c r="I266" s="64">
        <f>PRODUCT(Table13[[#This Row],[Quantity]:[Unit_Price]])</f>
        <v>422.40000000000003</v>
      </c>
      <c r="J266" s="2">
        <v>22.08</v>
      </c>
      <c r="K266" s="2">
        <v>90.32</v>
      </c>
      <c r="L266" s="22" t="s">
        <v>26</v>
      </c>
      <c r="M266" s="22" t="s">
        <v>32</v>
      </c>
      <c r="N266" s="22" t="s">
        <v>28</v>
      </c>
      <c r="O266" s="64">
        <f>VLOOKUP($E266,Products!$B$2:$F$11,5,0)</f>
        <v>15.5</v>
      </c>
      <c r="P266" s="64">
        <f>PRODUCT(Table13[[#This Row],[Quantity]],Table13[[#This Row],[Unit_Cost]])</f>
        <v>310</v>
      </c>
      <c r="Q266" s="65">
        <f>Table13[[#This Row],[Profit]]/Table13[[#This Row],[Total_Sales]]</f>
        <v>0.21382575757575753</v>
      </c>
      <c r="R266" s="1"/>
      <c r="S266" s="1"/>
      <c r="T266" s="1"/>
    </row>
    <row r="267" spans="1:20" x14ac:dyDescent="0.25">
      <c r="A267" s="22" t="s">
        <v>415</v>
      </c>
      <c r="B267" s="63">
        <v>45657</v>
      </c>
      <c r="C267" s="22" t="s">
        <v>276</v>
      </c>
      <c r="D267" s="22" t="str">
        <f>PROPER(TRIM(Raw_Data!D267))</f>
        <v>South Africa</v>
      </c>
      <c r="E267" s="22" t="s">
        <v>17</v>
      </c>
      <c r="F267" s="22" t="s">
        <v>18</v>
      </c>
      <c r="G267" s="66">
        <v>1</v>
      </c>
      <c r="H267" s="2">
        <v>58.15</v>
      </c>
      <c r="I267" s="64">
        <f>PRODUCT(Table13[[#This Row],[Quantity]:[Unit_Price]])</f>
        <v>58.15</v>
      </c>
      <c r="J267" s="2">
        <v>4.2</v>
      </c>
      <c r="K267" s="2">
        <v>18.95</v>
      </c>
      <c r="L267" s="22" t="s">
        <v>26</v>
      </c>
      <c r="M267" s="22" t="s">
        <v>27</v>
      </c>
      <c r="N267" s="22" t="s">
        <v>87</v>
      </c>
      <c r="O267" s="64">
        <f>VLOOKUP($E267,Products!$B$2:$F$11,5,0)</f>
        <v>35</v>
      </c>
      <c r="P267" s="64">
        <f>PRODUCT(Table13[[#This Row],[Quantity]],Table13[[#This Row],[Unit_Cost]])</f>
        <v>35</v>
      </c>
      <c r="Q267" s="65">
        <f>Table13[[#This Row],[Profit]]/Table13[[#This Row],[Total_Sales]]</f>
        <v>0.32588134135855545</v>
      </c>
      <c r="R267" s="1"/>
      <c r="S267" s="1"/>
      <c r="T267" s="1"/>
    </row>
    <row r="268" spans="1:20" x14ac:dyDescent="0.25">
      <c r="A268" s="22" t="s">
        <v>416</v>
      </c>
      <c r="B268" s="63">
        <v>45360</v>
      </c>
      <c r="C268" s="22" t="s">
        <v>97</v>
      </c>
      <c r="D268" s="22" t="str">
        <f>PROPER(TRIM(Raw_Data!D268))</f>
        <v>Brazil</v>
      </c>
      <c r="E268" s="22" t="s">
        <v>36</v>
      </c>
      <c r="F268" s="22" t="s">
        <v>37</v>
      </c>
      <c r="G268" s="66">
        <v>32</v>
      </c>
      <c r="H268" s="2">
        <v>45.96</v>
      </c>
      <c r="I268" s="64">
        <f>PRODUCT(Table13[[#This Row],[Quantity]:[Unit_Price]])</f>
        <v>1470.72</v>
      </c>
      <c r="J268" s="2">
        <v>82.77</v>
      </c>
      <c r="K268" s="2">
        <v>363.95</v>
      </c>
      <c r="L268" s="22" t="s">
        <v>19</v>
      </c>
      <c r="M268" s="22" t="s">
        <v>27</v>
      </c>
      <c r="N268" s="22" t="s">
        <v>39</v>
      </c>
      <c r="O268" s="64">
        <f>VLOOKUP($E268,Products!$B$2:$F$11,5,0)</f>
        <v>32</v>
      </c>
      <c r="P268" s="64">
        <f>PRODUCT(Table13[[#This Row],[Quantity]],Table13[[#This Row],[Unit_Cost]])</f>
        <v>1024</v>
      </c>
      <c r="Q268" s="65">
        <f>Table13[[#This Row],[Profit]]/Table13[[#This Row],[Total_Sales]]</f>
        <v>0.24746382724107918</v>
      </c>
      <c r="R268" s="1"/>
      <c r="S268" s="1"/>
      <c r="T268" s="1"/>
    </row>
    <row r="269" spans="1:20" x14ac:dyDescent="0.25">
      <c r="A269" s="22" t="s">
        <v>417</v>
      </c>
      <c r="B269" s="63">
        <v>45777</v>
      </c>
      <c r="C269" s="22" t="s">
        <v>297</v>
      </c>
      <c r="D269" s="22" t="str">
        <f>PROPER(TRIM(Raw_Data!D269))</f>
        <v>Italy</v>
      </c>
      <c r="E269" s="22" t="s">
        <v>63</v>
      </c>
      <c r="F269" s="22" t="s">
        <v>37</v>
      </c>
      <c r="G269" s="66">
        <v>37</v>
      </c>
      <c r="H269" s="2">
        <v>16.82</v>
      </c>
      <c r="I269" s="64">
        <f>PRODUCT(Table13[[#This Row],[Quantity]:[Unit_Price]])</f>
        <v>622.34</v>
      </c>
      <c r="J269" s="2">
        <v>32.9</v>
      </c>
      <c r="K269" s="2">
        <v>117.69</v>
      </c>
      <c r="L269" s="22" t="s">
        <v>38</v>
      </c>
      <c r="M269" s="22" t="s">
        <v>27</v>
      </c>
      <c r="N269" s="22" t="s">
        <v>28</v>
      </c>
      <c r="O269" s="64">
        <f>VLOOKUP($E269,Products!$B$2:$F$11,5,0)</f>
        <v>12.75</v>
      </c>
      <c r="P269" s="64">
        <f>PRODUCT(Table13[[#This Row],[Quantity]],Table13[[#This Row],[Unit_Cost]])</f>
        <v>471.75</v>
      </c>
      <c r="Q269" s="65">
        <f>Table13[[#This Row],[Profit]]/Table13[[#This Row],[Total_Sales]]</f>
        <v>0.18910884725391264</v>
      </c>
      <c r="R269" s="1"/>
      <c r="S269" s="1"/>
      <c r="T269" s="1"/>
    </row>
    <row r="270" spans="1:20" x14ac:dyDescent="0.25">
      <c r="A270" s="22" t="s">
        <v>418</v>
      </c>
      <c r="B270" s="63">
        <v>45391</v>
      </c>
      <c r="C270" s="22" t="s">
        <v>50</v>
      </c>
      <c r="D270" s="22" t="str">
        <f>PROPER(TRIM(Raw_Data!D270))</f>
        <v>Italy</v>
      </c>
      <c r="E270" s="22" t="s">
        <v>36</v>
      </c>
      <c r="F270" s="22" t="s">
        <v>37</v>
      </c>
      <c r="G270" s="66">
        <v>18</v>
      </c>
      <c r="H270" s="2">
        <v>54.62</v>
      </c>
      <c r="I270" s="64">
        <f>PRODUCT(Table13[[#This Row],[Quantity]:[Unit_Price]])</f>
        <v>983.16</v>
      </c>
      <c r="J270" s="2">
        <v>22.61</v>
      </c>
      <c r="K270" s="2">
        <v>384.55</v>
      </c>
      <c r="L270" s="22" t="s">
        <v>38</v>
      </c>
      <c r="M270" s="22" t="s">
        <v>27</v>
      </c>
      <c r="N270" s="22" t="s">
        <v>28</v>
      </c>
      <c r="O270" s="64">
        <f>VLOOKUP($E270,Products!$B$2:$F$11,5,0)</f>
        <v>32</v>
      </c>
      <c r="P270" s="64">
        <f>PRODUCT(Table13[[#This Row],[Quantity]],Table13[[#This Row],[Unit_Cost]])</f>
        <v>576</v>
      </c>
      <c r="Q270" s="65">
        <f>Table13[[#This Row],[Profit]]/Table13[[#This Row],[Total_Sales]]</f>
        <v>0.39113674274787424</v>
      </c>
      <c r="R270" s="1"/>
      <c r="S270" s="1"/>
      <c r="T270" s="1"/>
    </row>
    <row r="271" spans="1:20" x14ac:dyDescent="0.25">
      <c r="A271" s="22" t="s">
        <v>419</v>
      </c>
      <c r="B271" s="63">
        <v>45733</v>
      </c>
      <c r="C271" s="22" t="s">
        <v>105</v>
      </c>
      <c r="D271" s="22" t="str">
        <f>PROPER(TRIM(Raw_Data!D271))</f>
        <v>Italy</v>
      </c>
      <c r="E271" s="22" t="s">
        <v>63</v>
      </c>
      <c r="F271" s="22" t="s">
        <v>37</v>
      </c>
      <c r="G271" s="66">
        <v>30</v>
      </c>
      <c r="H271" s="2">
        <v>22.83</v>
      </c>
      <c r="I271" s="64">
        <f>PRODUCT(Table13[[#This Row],[Quantity]:[Unit_Price]])</f>
        <v>684.9</v>
      </c>
      <c r="J271" s="2">
        <v>32.31</v>
      </c>
      <c r="K271" s="2">
        <v>270.08999999999997</v>
      </c>
      <c r="L271" s="22" t="s">
        <v>19</v>
      </c>
      <c r="M271" s="22" t="s">
        <v>27</v>
      </c>
      <c r="N271" s="22" t="s">
        <v>28</v>
      </c>
      <c r="O271" s="64">
        <f>VLOOKUP($E271,Products!$B$2:$F$11,5,0)</f>
        <v>12.75</v>
      </c>
      <c r="P271" s="64">
        <f>PRODUCT(Table13[[#This Row],[Quantity]],Table13[[#This Row],[Unit_Cost]])</f>
        <v>382.5</v>
      </c>
      <c r="Q271" s="65">
        <f>Table13[[#This Row],[Profit]]/Table13[[#This Row],[Total_Sales]]</f>
        <v>0.3943495400788436</v>
      </c>
      <c r="R271" s="1"/>
      <c r="S271" s="1"/>
      <c r="T271" s="1"/>
    </row>
    <row r="272" spans="1:20" x14ac:dyDescent="0.25">
      <c r="A272" s="22" t="s">
        <v>420</v>
      </c>
      <c r="B272" s="63">
        <v>45643</v>
      </c>
      <c r="C272" s="22" t="s">
        <v>421</v>
      </c>
      <c r="D272" s="22" t="str">
        <f>PROPER(TRIM(Raw_Data!D272))</f>
        <v>France</v>
      </c>
      <c r="E272" s="22" t="s">
        <v>36</v>
      </c>
      <c r="F272" s="22" t="s">
        <v>37</v>
      </c>
      <c r="G272" s="66">
        <v>39</v>
      </c>
      <c r="H272" s="2">
        <v>47.02</v>
      </c>
      <c r="I272" s="64">
        <f>PRODUCT(Table13[[#This Row],[Quantity]:[Unit_Price]])</f>
        <v>1833.7800000000002</v>
      </c>
      <c r="J272" s="2">
        <v>50.01</v>
      </c>
      <c r="K272" s="2">
        <v>535.77</v>
      </c>
      <c r="L272" s="22" t="s">
        <v>38</v>
      </c>
      <c r="M272" s="22" t="s">
        <v>27</v>
      </c>
      <c r="N272" s="22" t="s">
        <v>28</v>
      </c>
      <c r="O272" s="64">
        <f>VLOOKUP($E272,Products!$B$2:$F$11,5,0)</f>
        <v>32</v>
      </c>
      <c r="P272" s="64">
        <f>PRODUCT(Table13[[#This Row],[Quantity]],Table13[[#This Row],[Unit_Cost]])</f>
        <v>1248</v>
      </c>
      <c r="Q272" s="65">
        <f>Table13[[#This Row],[Profit]]/Table13[[#This Row],[Total_Sales]]</f>
        <v>0.29216699931289464</v>
      </c>
      <c r="R272" s="1"/>
      <c r="S272" s="1"/>
      <c r="T272" s="1"/>
    </row>
    <row r="273" spans="1:20" x14ac:dyDescent="0.25">
      <c r="A273" s="22" t="s">
        <v>422</v>
      </c>
      <c r="B273" s="63">
        <v>45774</v>
      </c>
      <c r="C273" s="22" t="s">
        <v>89</v>
      </c>
      <c r="D273" s="22" t="str">
        <f>PROPER(TRIM(Raw_Data!D273))</f>
        <v>Usa</v>
      </c>
      <c r="E273" s="22" t="s">
        <v>83</v>
      </c>
      <c r="F273" s="22" t="s">
        <v>52</v>
      </c>
      <c r="G273" s="66">
        <v>22</v>
      </c>
      <c r="H273" s="2">
        <v>43.32</v>
      </c>
      <c r="I273" s="64">
        <f>PRODUCT(Table13[[#This Row],[Quantity]:[Unit_Price]])</f>
        <v>953.04</v>
      </c>
      <c r="J273" s="2">
        <v>71.3</v>
      </c>
      <c r="K273" s="2">
        <v>265.74</v>
      </c>
      <c r="L273" s="22" t="s">
        <v>26</v>
      </c>
      <c r="M273" s="22" t="s">
        <v>32</v>
      </c>
      <c r="N273" s="22" t="s">
        <v>21</v>
      </c>
      <c r="O273" s="64">
        <f>VLOOKUP($E273,Products!$B$2:$F$11,5,0)</f>
        <v>28</v>
      </c>
      <c r="P273" s="64">
        <f>PRODUCT(Table13[[#This Row],[Quantity]],Table13[[#This Row],[Unit_Cost]])</f>
        <v>616</v>
      </c>
      <c r="Q273" s="65">
        <f>Table13[[#This Row],[Profit]]/Table13[[#This Row],[Total_Sales]]</f>
        <v>0.27883404683958701</v>
      </c>
      <c r="R273" s="1"/>
      <c r="S273" s="1"/>
      <c r="T273" s="1"/>
    </row>
    <row r="274" spans="1:20" x14ac:dyDescent="0.25">
      <c r="A274" s="22" t="s">
        <v>423</v>
      </c>
      <c r="B274" s="63">
        <v>45571</v>
      </c>
      <c r="C274" s="22" t="s">
        <v>300</v>
      </c>
      <c r="D274" s="22" t="str">
        <f>PROPER(TRIM(Raw_Data!D274))</f>
        <v>Japan</v>
      </c>
      <c r="E274" s="22" t="s">
        <v>51</v>
      </c>
      <c r="F274" s="22" t="s">
        <v>52</v>
      </c>
      <c r="G274" s="66">
        <v>6</v>
      </c>
      <c r="H274" s="2">
        <v>31.69</v>
      </c>
      <c r="I274" s="64">
        <f>PRODUCT(Table13[[#This Row],[Quantity]:[Unit_Price]])</f>
        <v>190.14000000000001</v>
      </c>
      <c r="J274" s="2">
        <v>12.52</v>
      </c>
      <c r="K274" s="2">
        <v>42.62</v>
      </c>
      <c r="L274" s="22" t="s">
        <v>38</v>
      </c>
      <c r="M274" s="22" t="s">
        <v>27</v>
      </c>
      <c r="N274" s="22" t="s">
        <v>58</v>
      </c>
      <c r="O274" s="64">
        <f>VLOOKUP($E274,Products!$B$2:$F$11,5,0)</f>
        <v>22.5</v>
      </c>
      <c r="P274" s="64">
        <f>PRODUCT(Table13[[#This Row],[Quantity]],Table13[[#This Row],[Unit_Cost]])</f>
        <v>135</v>
      </c>
      <c r="Q274" s="65">
        <f>Table13[[#This Row],[Profit]]/Table13[[#This Row],[Total_Sales]]</f>
        <v>0.22415062585463338</v>
      </c>
      <c r="R274" s="1"/>
      <c r="S274" s="1"/>
      <c r="T274" s="1"/>
    </row>
    <row r="275" spans="1:20" x14ac:dyDescent="0.25">
      <c r="A275" s="22" t="s">
        <v>424</v>
      </c>
      <c r="B275" s="63">
        <v>45460</v>
      </c>
      <c r="C275" s="22" t="s">
        <v>199</v>
      </c>
      <c r="D275" s="22" t="str">
        <f>PROPER(TRIM(Raw_Data!D275))</f>
        <v>Germany</v>
      </c>
      <c r="E275" s="22" t="s">
        <v>17</v>
      </c>
      <c r="F275" s="22" t="s">
        <v>18</v>
      </c>
      <c r="G275" s="66">
        <v>19</v>
      </c>
      <c r="H275" s="2">
        <v>53.28</v>
      </c>
      <c r="I275" s="64">
        <f>PRODUCT(Table13[[#This Row],[Quantity]:[Unit_Price]])</f>
        <v>1012.32</v>
      </c>
      <c r="J275" s="2">
        <v>27.24</v>
      </c>
      <c r="K275" s="2">
        <v>320.08</v>
      </c>
      <c r="L275" s="22" t="s">
        <v>38</v>
      </c>
      <c r="M275" s="22" t="s">
        <v>27</v>
      </c>
      <c r="N275" s="22" t="s">
        <v>28</v>
      </c>
      <c r="O275" s="64">
        <f>VLOOKUP($E275,Products!$B$2:$F$11,5,0)</f>
        <v>35</v>
      </c>
      <c r="P275" s="64">
        <f>PRODUCT(Table13[[#This Row],[Quantity]],Table13[[#This Row],[Unit_Cost]])</f>
        <v>665</v>
      </c>
      <c r="Q275" s="65">
        <f>Table13[[#This Row],[Profit]]/Table13[[#This Row],[Total_Sales]]</f>
        <v>0.31618460565828982</v>
      </c>
      <c r="R275" s="1"/>
      <c r="S275" s="1"/>
      <c r="T275" s="1"/>
    </row>
    <row r="276" spans="1:20" x14ac:dyDescent="0.25">
      <c r="A276" s="22" t="s">
        <v>425</v>
      </c>
      <c r="B276" s="63">
        <v>45436</v>
      </c>
      <c r="C276" s="22" t="s">
        <v>154</v>
      </c>
      <c r="D276" s="22" t="str">
        <f>PROPER(TRIM(Raw_Data!D276))</f>
        <v>Usa</v>
      </c>
      <c r="E276" s="22" t="s">
        <v>17</v>
      </c>
      <c r="F276" s="22" t="s">
        <v>18</v>
      </c>
      <c r="G276" s="66">
        <v>47</v>
      </c>
      <c r="H276" s="2">
        <v>47.53</v>
      </c>
      <c r="I276" s="64">
        <f>PRODUCT(Table13[[#This Row],[Quantity]:[Unit_Price]])</f>
        <v>2233.91</v>
      </c>
      <c r="J276" s="2">
        <v>128.91</v>
      </c>
      <c r="K276" s="2">
        <v>460</v>
      </c>
      <c r="L276" s="22" t="s">
        <v>26</v>
      </c>
      <c r="M276" s="22" t="s">
        <v>20</v>
      </c>
      <c r="N276" s="22" t="s">
        <v>21</v>
      </c>
      <c r="O276" s="64">
        <f>VLOOKUP($E276,Products!$B$2:$F$11,5,0)</f>
        <v>35</v>
      </c>
      <c r="P276" s="64">
        <f>PRODUCT(Table13[[#This Row],[Quantity]],Table13[[#This Row],[Unit_Cost]])</f>
        <v>1645</v>
      </c>
      <c r="Q276" s="65">
        <f>Table13[[#This Row],[Profit]]/Table13[[#This Row],[Total_Sales]]</f>
        <v>0.20591697964555422</v>
      </c>
      <c r="R276" s="1"/>
      <c r="S276" s="1"/>
      <c r="T276" s="1"/>
    </row>
    <row r="277" spans="1:20" x14ac:dyDescent="0.25">
      <c r="A277" s="22" t="s">
        <v>426</v>
      </c>
      <c r="B277" s="63">
        <v>45609</v>
      </c>
      <c r="C277" s="22" t="s">
        <v>286</v>
      </c>
      <c r="D277" s="22" t="str">
        <f>PROPER(TRIM(Raw_Data!D277))</f>
        <v>Singapore</v>
      </c>
      <c r="E277" s="22" t="s">
        <v>48</v>
      </c>
      <c r="F277" s="22" t="s">
        <v>37</v>
      </c>
      <c r="G277" s="66">
        <v>12</v>
      </c>
      <c r="H277" s="2">
        <v>24.02</v>
      </c>
      <c r="I277" s="64">
        <f>PRODUCT(Table13[[#This Row],[Quantity]:[Unit_Price]])</f>
        <v>288.24</v>
      </c>
      <c r="J277" s="2">
        <v>9.8000000000000007</v>
      </c>
      <c r="K277" s="2">
        <v>38.44</v>
      </c>
      <c r="L277" s="22" t="s">
        <v>19</v>
      </c>
      <c r="M277" s="22" t="s">
        <v>32</v>
      </c>
      <c r="N277" s="22" t="s">
        <v>58</v>
      </c>
      <c r="O277" s="64">
        <f>VLOOKUP($E277,Products!$B$2:$F$11,5,0)</f>
        <v>20</v>
      </c>
      <c r="P277" s="64">
        <f>PRODUCT(Table13[[#This Row],[Quantity]],Table13[[#This Row],[Unit_Cost]])</f>
        <v>240</v>
      </c>
      <c r="Q277" s="65">
        <f>Table13[[#This Row],[Profit]]/Table13[[#This Row],[Total_Sales]]</f>
        <v>0.133361087982237</v>
      </c>
      <c r="R277" s="1"/>
      <c r="S277" s="1"/>
      <c r="T277" s="1"/>
    </row>
    <row r="278" spans="1:20" x14ac:dyDescent="0.25">
      <c r="A278" s="22" t="s">
        <v>427</v>
      </c>
      <c r="B278" s="63">
        <v>45663</v>
      </c>
      <c r="C278" s="22" t="s">
        <v>364</v>
      </c>
      <c r="D278" s="22" t="str">
        <f>PROPER(TRIM(Raw_Data!D278))</f>
        <v>Singapore</v>
      </c>
      <c r="E278" s="22" t="s">
        <v>63</v>
      </c>
      <c r="F278" s="22" t="s">
        <v>37</v>
      </c>
      <c r="G278" s="66">
        <v>32</v>
      </c>
      <c r="H278" s="2">
        <v>15.64</v>
      </c>
      <c r="I278" s="64">
        <f>PRODUCT(Table13[[#This Row],[Quantity]:[Unit_Price]])</f>
        <v>500.48</v>
      </c>
      <c r="J278" s="2">
        <v>24.69</v>
      </c>
      <c r="K278" s="2">
        <v>67.790000000000006</v>
      </c>
      <c r="L278" s="22" t="s">
        <v>38</v>
      </c>
      <c r="M278" s="22" t="s">
        <v>20</v>
      </c>
      <c r="N278" s="22" t="s">
        <v>58</v>
      </c>
      <c r="O278" s="64">
        <f>VLOOKUP($E278,Products!$B$2:$F$11,5,0)</f>
        <v>12.75</v>
      </c>
      <c r="P278" s="64">
        <f>PRODUCT(Table13[[#This Row],[Quantity]],Table13[[#This Row],[Unit_Cost]])</f>
        <v>408</v>
      </c>
      <c r="Q278" s="65">
        <f>Table13[[#This Row],[Profit]]/Table13[[#This Row],[Total_Sales]]</f>
        <v>0.13544996803069054</v>
      </c>
      <c r="R278" s="1"/>
      <c r="S278" s="1"/>
      <c r="T278" s="1"/>
    </row>
    <row r="279" spans="1:20" x14ac:dyDescent="0.25">
      <c r="A279" s="22" t="s">
        <v>428</v>
      </c>
      <c r="B279" s="63">
        <v>45592</v>
      </c>
      <c r="C279" s="22" t="s">
        <v>240</v>
      </c>
      <c r="D279" s="22" t="str">
        <f>PROPER(TRIM(Raw_Data!D279))</f>
        <v>Australia</v>
      </c>
      <c r="E279" s="22" t="s">
        <v>36</v>
      </c>
      <c r="F279" s="22" t="s">
        <v>37</v>
      </c>
      <c r="G279" s="66">
        <v>22</v>
      </c>
      <c r="H279" s="2">
        <v>42.54</v>
      </c>
      <c r="I279" s="64">
        <f>PRODUCT(Table13[[#This Row],[Quantity]:[Unit_Price]])</f>
        <v>935.88</v>
      </c>
      <c r="J279" s="2">
        <v>45.37</v>
      </c>
      <c r="K279" s="2">
        <v>186.51</v>
      </c>
      <c r="L279" s="22" t="s">
        <v>19</v>
      </c>
      <c r="M279" s="22" t="s">
        <v>32</v>
      </c>
      <c r="N279" s="22" t="s">
        <v>130</v>
      </c>
      <c r="O279" s="64">
        <f>VLOOKUP($E279,Products!$B$2:$F$11,5,0)</f>
        <v>32</v>
      </c>
      <c r="P279" s="64">
        <f>PRODUCT(Table13[[#This Row],[Quantity]],Table13[[#This Row],[Unit_Cost]])</f>
        <v>704</v>
      </c>
      <c r="Q279" s="65">
        <f>Table13[[#This Row],[Profit]]/Table13[[#This Row],[Total_Sales]]</f>
        <v>0.1992883703038851</v>
      </c>
      <c r="R279" s="1"/>
      <c r="S279" s="1"/>
      <c r="T279" s="1"/>
    </row>
    <row r="280" spans="1:20" x14ac:dyDescent="0.25">
      <c r="A280" s="22" t="s">
        <v>429</v>
      </c>
      <c r="B280" s="63">
        <v>45447</v>
      </c>
      <c r="C280" s="22" t="s">
        <v>315</v>
      </c>
      <c r="D280" s="22" t="str">
        <f>PROPER(TRIM(Raw_Data!D280))</f>
        <v>India</v>
      </c>
      <c r="E280" s="22" t="s">
        <v>56</v>
      </c>
      <c r="F280" s="22" t="s">
        <v>57</v>
      </c>
      <c r="G280" s="66">
        <v>37</v>
      </c>
      <c r="H280" s="2">
        <v>43.55</v>
      </c>
      <c r="I280" s="64">
        <f>PRODUCT(Table13[[#This Row],[Quantity]:[Unit_Price]])</f>
        <v>1611.35</v>
      </c>
      <c r="J280" s="2">
        <v>67.78</v>
      </c>
      <c r="K280" s="2">
        <v>618.57000000000005</v>
      </c>
      <c r="L280" s="22" t="s">
        <v>26</v>
      </c>
      <c r="M280" s="22" t="s">
        <v>27</v>
      </c>
      <c r="N280" s="22" t="s">
        <v>58</v>
      </c>
      <c r="O280" s="64">
        <f>VLOOKUP($E280,Products!$B$2:$F$11,5,0)</f>
        <v>25</v>
      </c>
      <c r="P280" s="64">
        <f>PRODUCT(Table13[[#This Row],[Quantity]],Table13[[#This Row],[Unit_Cost]])</f>
        <v>925</v>
      </c>
      <c r="Q280" s="65">
        <f>Table13[[#This Row],[Profit]]/Table13[[#This Row],[Total_Sales]]</f>
        <v>0.38388307940546751</v>
      </c>
      <c r="R280" s="1"/>
      <c r="S280" s="1"/>
      <c r="T280" s="1"/>
    </row>
    <row r="281" spans="1:20" x14ac:dyDescent="0.25">
      <c r="A281" s="22" t="s">
        <v>430</v>
      </c>
      <c r="B281" s="63">
        <v>45528</v>
      </c>
      <c r="C281" s="22" t="s">
        <v>113</v>
      </c>
      <c r="D281" s="22" t="str">
        <f>PROPER(TRIM(Raw_Data!D281))</f>
        <v>Brazil</v>
      </c>
      <c r="E281" s="22" t="s">
        <v>60</v>
      </c>
      <c r="F281" s="22" t="s">
        <v>52</v>
      </c>
      <c r="G281" s="66">
        <v>42</v>
      </c>
      <c r="H281" s="2">
        <v>20.260000000000002</v>
      </c>
      <c r="I281" s="64">
        <f>PRODUCT(Table13[[#This Row],[Quantity]:[Unit_Price]])</f>
        <v>850.92000000000007</v>
      </c>
      <c r="J281" s="2">
        <v>22.43</v>
      </c>
      <c r="K281" s="2">
        <v>177.49</v>
      </c>
      <c r="L281" s="22" t="s">
        <v>38</v>
      </c>
      <c r="M281" s="22" t="s">
        <v>32</v>
      </c>
      <c r="N281" s="22" t="s">
        <v>39</v>
      </c>
      <c r="O281" s="64">
        <f>VLOOKUP($E281,Products!$B$2:$F$11,5,0)</f>
        <v>15.5</v>
      </c>
      <c r="P281" s="64">
        <f>PRODUCT(Table13[[#This Row],[Quantity]],Table13[[#This Row],[Unit_Cost]])</f>
        <v>651</v>
      </c>
      <c r="Q281" s="65">
        <f>Table13[[#This Row],[Profit]]/Table13[[#This Row],[Total_Sales]]</f>
        <v>0.20858600103417477</v>
      </c>
      <c r="R281" s="1"/>
      <c r="S281" s="1"/>
      <c r="T281" s="1"/>
    </row>
    <row r="282" spans="1:20" x14ac:dyDescent="0.25">
      <c r="A282" s="22" t="s">
        <v>431</v>
      </c>
      <c r="B282" s="63">
        <v>45791</v>
      </c>
      <c r="C282" s="22" t="s">
        <v>67</v>
      </c>
      <c r="D282" s="22" t="str">
        <f>PROPER(TRIM(Raw_Data!D282))</f>
        <v>Canada</v>
      </c>
      <c r="E282" s="22" t="s">
        <v>25</v>
      </c>
      <c r="F282" s="22" t="s">
        <v>18</v>
      </c>
      <c r="G282" s="66">
        <v>43</v>
      </c>
      <c r="H282" s="2">
        <v>24.08</v>
      </c>
      <c r="I282" s="64">
        <f>PRODUCT(Table13[[#This Row],[Quantity]:[Unit_Price]])</f>
        <v>1035.4399999999998</v>
      </c>
      <c r="J282" s="2">
        <v>35.07</v>
      </c>
      <c r="K282" s="2">
        <v>226.37</v>
      </c>
      <c r="L282" s="22" t="s">
        <v>26</v>
      </c>
      <c r="M282" s="22" t="s">
        <v>32</v>
      </c>
      <c r="N282" s="22" t="s">
        <v>21</v>
      </c>
      <c r="O282" s="64">
        <f>VLOOKUP($E282,Products!$B$2:$F$11,5,0)</f>
        <v>18</v>
      </c>
      <c r="P282" s="64">
        <f>PRODUCT(Table13[[#This Row],[Quantity]],Table13[[#This Row],[Unit_Cost]])</f>
        <v>774</v>
      </c>
      <c r="Q282" s="65">
        <f>Table13[[#This Row],[Profit]]/Table13[[#This Row],[Total_Sales]]</f>
        <v>0.21862203507687558</v>
      </c>
      <c r="R282" s="1"/>
      <c r="S282" s="1"/>
      <c r="T282" s="1"/>
    </row>
    <row r="283" spans="1:20" x14ac:dyDescent="0.25">
      <c r="A283" s="22" t="s">
        <v>432</v>
      </c>
      <c r="B283" s="63">
        <v>45472</v>
      </c>
      <c r="C283" s="22" t="s">
        <v>297</v>
      </c>
      <c r="D283" s="22" t="str">
        <f>PROPER(TRIM(Raw_Data!D283))</f>
        <v>Germany</v>
      </c>
      <c r="E283" s="22" t="s">
        <v>43</v>
      </c>
      <c r="F283" s="22" t="s">
        <v>44</v>
      </c>
      <c r="G283" s="66">
        <v>14</v>
      </c>
      <c r="H283" s="2">
        <v>69.010000000000005</v>
      </c>
      <c r="I283" s="64">
        <f>PRODUCT(Table13[[#This Row],[Quantity]:[Unit_Price]])</f>
        <v>966.1400000000001</v>
      </c>
      <c r="J283" s="2">
        <v>32.67</v>
      </c>
      <c r="K283" s="2">
        <v>373.47</v>
      </c>
      <c r="L283" s="22" t="s">
        <v>26</v>
      </c>
      <c r="M283" s="22" t="s">
        <v>20</v>
      </c>
      <c r="N283" s="22" t="s">
        <v>28</v>
      </c>
      <c r="O283" s="64">
        <f>VLOOKUP($E283,Products!$B$2:$F$11,5,0)</f>
        <v>40</v>
      </c>
      <c r="P283" s="64">
        <f>PRODUCT(Table13[[#This Row],[Quantity]],Table13[[#This Row],[Unit_Cost]])</f>
        <v>560</v>
      </c>
      <c r="Q283" s="65">
        <f>Table13[[#This Row],[Profit]]/Table13[[#This Row],[Total_Sales]]</f>
        <v>0.38655888380565961</v>
      </c>
      <c r="R283" s="1"/>
      <c r="S283" s="1"/>
      <c r="T283" s="1"/>
    </row>
    <row r="284" spans="1:20" x14ac:dyDescent="0.25">
      <c r="A284" s="22" t="s">
        <v>433</v>
      </c>
      <c r="B284" s="63">
        <v>45435</v>
      </c>
      <c r="C284" s="22" t="s">
        <v>117</v>
      </c>
      <c r="D284" s="22" t="str">
        <f>PROPER(TRIM(Raw_Data!D284))</f>
        <v>Australia</v>
      </c>
      <c r="E284" s="22" t="s">
        <v>48</v>
      </c>
      <c r="F284" s="22" t="s">
        <v>37</v>
      </c>
      <c r="G284" s="66">
        <v>29</v>
      </c>
      <c r="H284" s="2">
        <v>28.29</v>
      </c>
      <c r="I284" s="64">
        <f>PRODUCT(Table13[[#This Row],[Quantity]:[Unit_Price]])</f>
        <v>820.41</v>
      </c>
      <c r="J284" s="2">
        <v>63.15</v>
      </c>
      <c r="K284" s="2">
        <v>177.26</v>
      </c>
      <c r="L284" s="22" t="s">
        <v>38</v>
      </c>
      <c r="M284" s="22" t="s">
        <v>32</v>
      </c>
      <c r="N284" s="22" t="s">
        <v>130</v>
      </c>
      <c r="O284" s="64">
        <f>VLOOKUP($E284,Products!$B$2:$F$11,5,0)</f>
        <v>20</v>
      </c>
      <c r="P284" s="64">
        <f>PRODUCT(Table13[[#This Row],[Quantity]],Table13[[#This Row],[Unit_Cost]])</f>
        <v>580</v>
      </c>
      <c r="Q284" s="65">
        <f>Table13[[#This Row],[Profit]]/Table13[[#This Row],[Total_Sales]]</f>
        <v>0.21606270035713851</v>
      </c>
      <c r="R284" s="1"/>
      <c r="S284" s="1"/>
      <c r="T284" s="1"/>
    </row>
    <row r="285" spans="1:20" x14ac:dyDescent="0.25">
      <c r="A285" s="22" t="s">
        <v>434</v>
      </c>
      <c r="B285" s="63">
        <v>45321</v>
      </c>
      <c r="C285" s="22" t="s">
        <v>221</v>
      </c>
      <c r="D285" s="22" t="str">
        <f>PROPER(TRIM(Raw_Data!D285))</f>
        <v>Mexico</v>
      </c>
      <c r="E285" s="22" t="s">
        <v>60</v>
      </c>
      <c r="F285" s="22" t="s">
        <v>52</v>
      </c>
      <c r="G285" s="66">
        <v>29</v>
      </c>
      <c r="H285" s="2">
        <v>26.51</v>
      </c>
      <c r="I285" s="64">
        <f>PRODUCT(Table13[[#This Row],[Quantity]:[Unit_Price]])</f>
        <v>768.79000000000008</v>
      </c>
      <c r="J285" s="2">
        <v>15.66</v>
      </c>
      <c r="K285" s="2">
        <v>303.63</v>
      </c>
      <c r="L285" s="22" t="s">
        <v>26</v>
      </c>
      <c r="M285" s="22" t="s">
        <v>20</v>
      </c>
      <c r="N285" s="22" t="s">
        <v>21</v>
      </c>
      <c r="O285" s="64">
        <f>VLOOKUP($E285,Products!$B$2:$F$11,5,0)</f>
        <v>15.5</v>
      </c>
      <c r="P285" s="64">
        <f>PRODUCT(Table13[[#This Row],[Quantity]],Table13[[#This Row],[Unit_Cost]])</f>
        <v>449.5</v>
      </c>
      <c r="Q285" s="65">
        <f>Table13[[#This Row],[Profit]]/Table13[[#This Row],[Total_Sales]]</f>
        <v>0.39494530365899655</v>
      </c>
      <c r="R285" s="1"/>
      <c r="S285" s="1"/>
      <c r="T285" s="1"/>
    </row>
    <row r="286" spans="1:20" x14ac:dyDescent="0.25">
      <c r="A286" s="22" t="s">
        <v>435</v>
      </c>
      <c r="B286" s="63">
        <v>45656</v>
      </c>
      <c r="C286" s="22" t="s">
        <v>121</v>
      </c>
      <c r="D286" s="22" t="str">
        <f>PROPER(TRIM(Raw_Data!D286))</f>
        <v>Canada</v>
      </c>
      <c r="E286" s="22" t="s">
        <v>17</v>
      </c>
      <c r="F286" s="22" t="s">
        <v>18</v>
      </c>
      <c r="G286" s="66">
        <v>11</v>
      </c>
      <c r="H286" s="2">
        <v>58.07</v>
      </c>
      <c r="I286" s="64">
        <f>PRODUCT(Table13[[#This Row],[Quantity]:[Unit_Price]])</f>
        <v>638.77</v>
      </c>
      <c r="J286" s="2">
        <v>43.89</v>
      </c>
      <c r="K286" s="2">
        <v>209.88</v>
      </c>
      <c r="L286" s="22" t="s">
        <v>19</v>
      </c>
      <c r="M286" s="22" t="s">
        <v>27</v>
      </c>
      <c r="N286" s="22" t="s">
        <v>21</v>
      </c>
      <c r="O286" s="64">
        <f>VLOOKUP($E286,Products!$B$2:$F$11,5,0)</f>
        <v>35</v>
      </c>
      <c r="P286" s="64">
        <f>PRODUCT(Table13[[#This Row],[Quantity]],Table13[[#This Row],[Unit_Cost]])</f>
        <v>385</v>
      </c>
      <c r="Q286" s="65">
        <f>Table13[[#This Row],[Profit]]/Table13[[#This Row],[Total_Sales]]</f>
        <v>0.32856896848630962</v>
      </c>
      <c r="R286" s="1"/>
      <c r="S286" s="1"/>
      <c r="T286" s="1"/>
    </row>
    <row r="287" spans="1:20" x14ac:dyDescent="0.25">
      <c r="A287" s="22" t="s">
        <v>436</v>
      </c>
      <c r="B287" s="63">
        <v>45782</v>
      </c>
      <c r="C287" s="22" t="s">
        <v>110</v>
      </c>
      <c r="D287" s="22" t="str">
        <f>PROPER(TRIM(Raw_Data!D287))</f>
        <v>Uk</v>
      </c>
      <c r="E287" s="22" t="s">
        <v>36</v>
      </c>
      <c r="F287" s="22" t="s">
        <v>37</v>
      </c>
      <c r="G287" s="66">
        <v>3</v>
      </c>
      <c r="H287" s="2">
        <v>48.76</v>
      </c>
      <c r="I287" s="64">
        <f>PRODUCT(Table13[[#This Row],[Quantity]:[Unit_Price]])</f>
        <v>146.28</v>
      </c>
      <c r="J287" s="2">
        <v>10.45</v>
      </c>
      <c r="K287" s="2">
        <v>39.83</v>
      </c>
      <c r="L287" s="22" t="s">
        <v>38</v>
      </c>
      <c r="M287" s="22" t="s">
        <v>27</v>
      </c>
      <c r="N287" s="22" t="s">
        <v>28</v>
      </c>
      <c r="O287" s="64">
        <f>VLOOKUP($E287,Products!$B$2:$F$11,5,0)</f>
        <v>32</v>
      </c>
      <c r="P287" s="64">
        <f>PRODUCT(Table13[[#This Row],[Quantity]],Table13[[#This Row],[Unit_Cost]])</f>
        <v>96</v>
      </c>
      <c r="Q287" s="65">
        <f>Table13[[#This Row],[Profit]]/Table13[[#This Row],[Total_Sales]]</f>
        <v>0.2722860267979218</v>
      </c>
      <c r="R287" s="1"/>
      <c r="S287" s="1"/>
      <c r="T287" s="1"/>
    </row>
    <row r="288" spans="1:20" x14ac:dyDescent="0.25">
      <c r="A288" s="22" t="s">
        <v>437</v>
      </c>
      <c r="B288" s="63">
        <v>45415</v>
      </c>
      <c r="C288" s="22" t="s">
        <v>161</v>
      </c>
      <c r="D288" s="22" t="str">
        <f>PROPER(TRIM(Raw_Data!D288))</f>
        <v>India</v>
      </c>
      <c r="E288" s="22" t="s">
        <v>48</v>
      </c>
      <c r="F288" s="22" t="s">
        <v>37</v>
      </c>
      <c r="G288" s="66">
        <v>49</v>
      </c>
      <c r="H288" s="2">
        <v>30.46</v>
      </c>
      <c r="I288" s="64">
        <f>PRODUCT(Table13[[#This Row],[Quantity]:[Unit_Price]])</f>
        <v>1492.54</v>
      </c>
      <c r="J288" s="2">
        <v>51.82</v>
      </c>
      <c r="K288" s="2">
        <v>460.72</v>
      </c>
      <c r="L288" s="22" t="s">
        <v>26</v>
      </c>
      <c r="M288" s="22" t="s">
        <v>20</v>
      </c>
      <c r="N288" s="22" t="s">
        <v>58</v>
      </c>
      <c r="O288" s="64">
        <f>VLOOKUP($E288,Products!$B$2:$F$11,5,0)</f>
        <v>20</v>
      </c>
      <c r="P288" s="64">
        <f>PRODUCT(Table13[[#This Row],[Quantity]],Table13[[#This Row],[Unit_Cost]])</f>
        <v>980</v>
      </c>
      <c r="Q288" s="65">
        <f>Table13[[#This Row],[Profit]]/Table13[[#This Row],[Total_Sales]]</f>
        <v>0.30868184437268015</v>
      </c>
      <c r="R288" s="1"/>
      <c r="S288" s="1"/>
      <c r="T288" s="1"/>
    </row>
    <row r="289" spans="1:20" x14ac:dyDescent="0.25">
      <c r="A289" s="22" t="s">
        <v>438</v>
      </c>
      <c r="B289" s="63">
        <v>45564</v>
      </c>
      <c r="C289" s="22" t="s">
        <v>30</v>
      </c>
      <c r="D289" s="22" t="str">
        <f>PROPER(TRIM(Raw_Data!D289))</f>
        <v>China</v>
      </c>
      <c r="E289" s="22" t="s">
        <v>83</v>
      </c>
      <c r="F289" s="22" t="s">
        <v>52</v>
      </c>
      <c r="G289" s="66">
        <v>25</v>
      </c>
      <c r="H289" s="2">
        <v>35.21</v>
      </c>
      <c r="I289" s="64">
        <f>PRODUCT(Table13[[#This Row],[Quantity]:[Unit_Price]])</f>
        <v>880.25</v>
      </c>
      <c r="J289" s="2">
        <v>39.799999999999997</v>
      </c>
      <c r="K289" s="2">
        <v>140.44999999999999</v>
      </c>
      <c r="L289" s="22" t="s">
        <v>38</v>
      </c>
      <c r="M289" s="22" t="s">
        <v>27</v>
      </c>
      <c r="N289" s="22" t="s">
        <v>58</v>
      </c>
      <c r="O289" s="64">
        <f>VLOOKUP($E289,Products!$B$2:$F$11,5,0)</f>
        <v>28</v>
      </c>
      <c r="P289" s="64">
        <f>PRODUCT(Table13[[#This Row],[Quantity]],Table13[[#This Row],[Unit_Cost]])</f>
        <v>700</v>
      </c>
      <c r="Q289" s="65">
        <f>Table13[[#This Row],[Profit]]/Table13[[#This Row],[Total_Sales]]</f>
        <v>0.1595569440499858</v>
      </c>
      <c r="R289" s="1"/>
      <c r="S289" s="1"/>
      <c r="T289" s="1"/>
    </row>
    <row r="290" spans="1:20" x14ac:dyDescent="0.25">
      <c r="A290" s="22" t="s">
        <v>439</v>
      </c>
      <c r="B290" s="63">
        <v>45316</v>
      </c>
      <c r="C290" s="22" t="s">
        <v>221</v>
      </c>
      <c r="D290" s="22" t="str">
        <f>PROPER(TRIM(Raw_Data!D290))</f>
        <v>Usa</v>
      </c>
      <c r="E290" s="22" t="s">
        <v>83</v>
      </c>
      <c r="F290" s="22" t="s">
        <v>52</v>
      </c>
      <c r="G290" s="66">
        <v>37</v>
      </c>
      <c r="H290" s="2">
        <v>44.82</v>
      </c>
      <c r="I290" s="64">
        <f>PRODUCT(Table13[[#This Row],[Quantity]:[Unit_Price]])</f>
        <v>1658.34</v>
      </c>
      <c r="J290" s="2">
        <v>65.75</v>
      </c>
      <c r="K290" s="2">
        <v>556.59</v>
      </c>
      <c r="L290" s="22" t="s">
        <v>26</v>
      </c>
      <c r="M290" s="22" t="s">
        <v>27</v>
      </c>
      <c r="N290" s="22" t="s">
        <v>21</v>
      </c>
      <c r="O290" s="64">
        <f>VLOOKUP($E290,Products!$B$2:$F$11,5,0)</f>
        <v>28</v>
      </c>
      <c r="P290" s="64">
        <f>PRODUCT(Table13[[#This Row],[Quantity]],Table13[[#This Row],[Unit_Cost]])</f>
        <v>1036</v>
      </c>
      <c r="Q290" s="65">
        <f>Table13[[#This Row],[Profit]]/Table13[[#This Row],[Total_Sales]]</f>
        <v>0.33563081153442603</v>
      </c>
      <c r="R290" s="1"/>
      <c r="S290" s="1"/>
      <c r="T290" s="1"/>
    </row>
    <row r="291" spans="1:20" x14ac:dyDescent="0.25">
      <c r="A291" s="22" t="s">
        <v>440</v>
      </c>
      <c r="B291" s="63">
        <v>45459</v>
      </c>
      <c r="C291" s="22" t="s">
        <v>306</v>
      </c>
      <c r="D291" s="22" t="str">
        <f>PROPER(TRIM(Raw_Data!D291))</f>
        <v>Germany</v>
      </c>
      <c r="E291" s="22" t="s">
        <v>60</v>
      </c>
      <c r="F291" s="22" t="s">
        <v>52</v>
      </c>
      <c r="G291" s="66">
        <v>11</v>
      </c>
      <c r="H291" s="2">
        <v>18.75</v>
      </c>
      <c r="I291" s="64">
        <f>PRODUCT(Table13[[#This Row],[Quantity]:[Unit_Price]])</f>
        <v>206.25</v>
      </c>
      <c r="J291" s="2">
        <v>11.67</v>
      </c>
      <c r="K291" s="2">
        <v>24.08</v>
      </c>
      <c r="L291" s="22" t="s">
        <v>19</v>
      </c>
      <c r="M291" s="22" t="s">
        <v>20</v>
      </c>
      <c r="N291" s="22" t="s">
        <v>28</v>
      </c>
      <c r="O291" s="64">
        <f>VLOOKUP($E291,Products!$B$2:$F$11,5,0)</f>
        <v>15.5</v>
      </c>
      <c r="P291" s="64">
        <f>PRODUCT(Table13[[#This Row],[Quantity]],Table13[[#This Row],[Unit_Cost]])</f>
        <v>170.5</v>
      </c>
      <c r="Q291" s="65">
        <f>Table13[[#This Row],[Profit]]/Table13[[#This Row],[Total_Sales]]</f>
        <v>0.11675151515151515</v>
      </c>
      <c r="R291" s="1"/>
      <c r="S291" s="1"/>
      <c r="T291" s="1"/>
    </row>
    <row r="292" spans="1:20" x14ac:dyDescent="0.25">
      <c r="A292" s="22" t="s">
        <v>441</v>
      </c>
      <c r="B292" s="63">
        <v>45335</v>
      </c>
      <c r="C292" s="22" t="s">
        <v>221</v>
      </c>
      <c r="D292" s="22" t="str">
        <f>PROPER(TRIM(Raw_Data!D292))</f>
        <v>Brazil</v>
      </c>
      <c r="E292" s="22" t="s">
        <v>48</v>
      </c>
      <c r="F292" s="22" t="s">
        <v>37</v>
      </c>
      <c r="G292" s="66">
        <v>37</v>
      </c>
      <c r="H292" s="2">
        <v>31.66</v>
      </c>
      <c r="I292" s="64">
        <f>PRODUCT(Table13[[#This Row],[Quantity]:[Unit_Price]])</f>
        <v>1171.42</v>
      </c>
      <c r="J292" s="2">
        <v>58.95</v>
      </c>
      <c r="K292" s="2">
        <v>372.47</v>
      </c>
      <c r="L292" s="22" t="s">
        <v>38</v>
      </c>
      <c r="M292" s="22" t="s">
        <v>20</v>
      </c>
      <c r="N292" s="22" t="s">
        <v>39</v>
      </c>
      <c r="O292" s="64">
        <f>VLOOKUP($E292,Products!$B$2:$F$11,5,0)</f>
        <v>20</v>
      </c>
      <c r="P292" s="64">
        <f>PRODUCT(Table13[[#This Row],[Quantity]],Table13[[#This Row],[Unit_Cost]])</f>
        <v>740</v>
      </c>
      <c r="Q292" s="65">
        <f>Table13[[#This Row],[Profit]]/Table13[[#This Row],[Total_Sales]]</f>
        <v>0.31796452169162215</v>
      </c>
      <c r="R292" s="1"/>
      <c r="S292" s="1"/>
      <c r="T292" s="1"/>
    </row>
    <row r="293" spans="1:20" x14ac:dyDescent="0.25">
      <c r="A293" s="22" t="s">
        <v>442</v>
      </c>
      <c r="B293" s="63">
        <v>45494</v>
      </c>
      <c r="C293" s="22" t="s">
        <v>300</v>
      </c>
      <c r="D293" s="22" t="str">
        <f>PROPER(TRIM(Raw_Data!D293))</f>
        <v>Uk</v>
      </c>
      <c r="E293" s="22" t="s">
        <v>48</v>
      </c>
      <c r="F293" s="22" t="s">
        <v>37</v>
      </c>
      <c r="G293" s="66">
        <v>17</v>
      </c>
      <c r="H293" s="2">
        <v>32.74</v>
      </c>
      <c r="I293" s="64">
        <f>PRODUCT(Table13[[#This Row],[Quantity]:[Unit_Price]])</f>
        <v>556.58000000000004</v>
      </c>
      <c r="J293" s="2">
        <v>14.68</v>
      </c>
      <c r="K293" s="2">
        <v>201.9</v>
      </c>
      <c r="L293" s="22" t="s">
        <v>26</v>
      </c>
      <c r="M293" s="22" t="s">
        <v>27</v>
      </c>
      <c r="N293" s="22" t="s">
        <v>28</v>
      </c>
      <c r="O293" s="64">
        <f>VLOOKUP($E293,Products!$B$2:$F$11,5,0)</f>
        <v>20</v>
      </c>
      <c r="P293" s="64">
        <f>PRODUCT(Table13[[#This Row],[Quantity]],Table13[[#This Row],[Unit_Cost]])</f>
        <v>340</v>
      </c>
      <c r="Q293" s="65">
        <f>Table13[[#This Row],[Profit]]/Table13[[#This Row],[Total_Sales]]</f>
        <v>0.36275108699558012</v>
      </c>
      <c r="R293" s="1"/>
      <c r="S293" s="1"/>
      <c r="T293" s="1"/>
    </row>
    <row r="294" spans="1:20" x14ac:dyDescent="0.25">
      <c r="A294" s="22" t="s">
        <v>443</v>
      </c>
      <c r="B294" s="63">
        <v>45401</v>
      </c>
      <c r="C294" s="22" t="s">
        <v>67</v>
      </c>
      <c r="D294" s="22" t="str">
        <f>PROPER(TRIM(Raw_Data!D294))</f>
        <v>Usa</v>
      </c>
      <c r="E294" s="22" t="s">
        <v>83</v>
      </c>
      <c r="F294" s="22" t="s">
        <v>52</v>
      </c>
      <c r="G294" s="66">
        <v>7</v>
      </c>
      <c r="H294" s="2">
        <v>46.64</v>
      </c>
      <c r="I294" s="64">
        <f>PRODUCT(Table13[[#This Row],[Quantity]:[Unit_Price]])</f>
        <v>326.48</v>
      </c>
      <c r="J294" s="2">
        <v>25.19</v>
      </c>
      <c r="K294" s="2">
        <v>105.29</v>
      </c>
      <c r="L294" s="22" t="s">
        <v>26</v>
      </c>
      <c r="M294" s="22" t="s">
        <v>32</v>
      </c>
      <c r="N294" s="22" t="s">
        <v>21</v>
      </c>
      <c r="O294" s="64">
        <f>VLOOKUP($E294,Products!$B$2:$F$11,5,0)</f>
        <v>28</v>
      </c>
      <c r="P294" s="64">
        <f>PRODUCT(Table13[[#This Row],[Quantity]],Table13[[#This Row],[Unit_Cost]])</f>
        <v>196</v>
      </c>
      <c r="Q294" s="65">
        <f>Table13[[#This Row],[Profit]]/Table13[[#This Row],[Total_Sales]]</f>
        <v>0.32250061259495222</v>
      </c>
      <c r="R294" s="1"/>
      <c r="S294" s="1"/>
      <c r="T294" s="1"/>
    </row>
    <row r="295" spans="1:20" x14ac:dyDescent="0.25">
      <c r="A295" s="22" t="s">
        <v>444</v>
      </c>
      <c r="B295" s="63">
        <v>45698</v>
      </c>
      <c r="C295" s="22" t="s">
        <v>135</v>
      </c>
      <c r="D295" s="22" t="str">
        <f>PROPER(TRIM(Raw_Data!D295))</f>
        <v>Uae</v>
      </c>
      <c r="E295" s="22" t="s">
        <v>25</v>
      </c>
      <c r="F295" s="22" t="s">
        <v>18</v>
      </c>
      <c r="G295" s="66">
        <v>16</v>
      </c>
      <c r="H295" s="2">
        <v>24.77</v>
      </c>
      <c r="I295" s="64">
        <f>PRODUCT(Table13[[#This Row],[Quantity]:[Unit_Price]])</f>
        <v>396.32</v>
      </c>
      <c r="J295" s="2">
        <v>15.6</v>
      </c>
      <c r="K295" s="2">
        <v>92.72</v>
      </c>
      <c r="L295" s="22" t="s">
        <v>19</v>
      </c>
      <c r="M295" s="22" t="s">
        <v>32</v>
      </c>
      <c r="N295" s="22" t="s">
        <v>58</v>
      </c>
      <c r="O295" s="64">
        <f>VLOOKUP($E295,Products!$B$2:$F$11,5,0)</f>
        <v>18</v>
      </c>
      <c r="P295" s="64">
        <f>PRODUCT(Table13[[#This Row],[Quantity]],Table13[[#This Row],[Unit_Cost]])</f>
        <v>288</v>
      </c>
      <c r="Q295" s="65">
        <f>Table13[[#This Row],[Profit]]/Table13[[#This Row],[Total_Sales]]</f>
        <v>0.23395236172789666</v>
      </c>
      <c r="R295" s="1"/>
      <c r="S295" s="1"/>
      <c r="T295" s="1"/>
    </row>
    <row r="296" spans="1:20" x14ac:dyDescent="0.25">
      <c r="A296" s="22" t="s">
        <v>445</v>
      </c>
      <c r="B296" s="63">
        <v>45763</v>
      </c>
      <c r="C296" s="22" t="s">
        <v>62</v>
      </c>
      <c r="D296" s="22" t="str">
        <f>PROPER(TRIM(Raw_Data!D296))</f>
        <v>Mexico</v>
      </c>
      <c r="E296" s="22" t="s">
        <v>43</v>
      </c>
      <c r="F296" s="22" t="s">
        <v>44</v>
      </c>
      <c r="G296" s="66">
        <v>39</v>
      </c>
      <c r="H296" s="2">
        <v>56.5</v>
      </c>
      <c r="I296" s="64">
        <f>PRODUCT(Table13[[#This Row],[Quantity]:[Unit_Price]])</f>
        <v>2203.5</v>
      </c>
      <c r="J296" s="2">
        <v>141.58000000000001</v>
      </c>
      <c r="K296" s="2">
        <v>501.92</v>
      </c>
      <c r="L296" s="22" t="s">
        <v>38</v>
      </c>
      <c r="M296" s="22" t="s">
        <v>20</v>
      </c>
      <c r="N296" s="22" t="s">
        <v>21</v>
      </c>
      <c r="O296" s="64">
        <f>VLOOKUP($E296,Products!$B$2:$F$11,5,0)</f>
        <v>40</v>
      </c>
      <c r="P296" s="64">
        <f>PRODUCT(Table13[[#This Row],[Quantity]],Table13[[#This Row],[Unit_Cost]])</f>
        <v>1560</v>
      </c>
      <c r="Q296" s="65">
        <f>Table13[[#This Row],[Profit]]/Table13[[#This Row],[Total_Sales]]</f>
        <v>0.2277830723848423</v>
      </c>
      <c r="R296" s="1"/>
      <c r="S296" s="1"/>
      <c r="T296" s="1"/>
    </row>
    <row r="297" spans="1:20" x14ac:dyDescent="0.25">
      <c r="A297" s="22" t="s">
        <v>446</v>
      </c>
      <c r="B297" s="63">
        <v>45562</v>
      </c>
      <c r="C297" s="22" t="s">
        <v>364</v>
      </c>
      <c r="D297" s="22" t="str">
        <f>PROPER(TRIM(Raw_Data!D297))</f>
        <v>India</v>
      </c>
      <c r="E297" s="22" t="s">
        <v>60</v>
      </c>
      <c r="F297" s="22" t="s">
        <v>52</v>
      </c>
      <c r="G297" s="66">
        <v>1</v>
      </c>
      <c r="H297" s="2">
        <v>24.01</v>
      </c>
      <c r="I297" s="64">
        <f>PRODUCT(Table13[[#This Row],[Quantity]:[Unit_Price]])</f>
        <v>24.01</v>
      </c>
      <c r="J297" s="2">
        <v>1.58</v>
      </c>
      <c r="K297" s="2">
        <v>6.93</v>
      </c>
      <c r="L297" s="22" t="s">
        <v>19</v>
      </c>
      <c r="M297" s="22" t="s">
        <v>20</v>
      </c>
      <c r="N297" s="22" t="s">
        <v>58</v>
      </c>
      <c r="O297" s="64">
        <f>VLOOKUP($E297,Products!$B$2:$F$11,5,0)</f>
        <v>15.5</v>
      </c>
      <c r="P297" s="64">
        <f>PRODUCT(Table13[[#This Row],[Quantity]],Table13[[#This Row],[Unit_Cost]])</f>
        <v>15.5</v>
      </c>
      <c r="Q297" s="65">
        <f>Table13[[#This Row],[Profit]]/Table13[[#This Row],[Total_Sales]]</f>
        <v>0.28862973760932942</v>
      </c>
      <c r="R297" s="1"/>
      <c r="S297" s="1"/>
      <c r="T297" s="1"/>
    </row>
    <row r="298" spans="1:20" x14ac:dyDescent="0.25">
      <c r="A298" s="22" t="s">
        <v>447</v>
      </c>
      <c r="B298" s="63">
        <v>45638</v>
      </c>
      <c r="C298" s="22" t="s">
        <v>100</v>
      </c>
      <c r="D298" s="22" t="str">
        <f>PROPER(TRIM(Raw_Data!D298))</f>
        <v>India</v>
      </c>
      <c r="E298" s="22" t="s">
        <v>56</v>
      </c>
      <c r="F298" s="22" t="s">
        <v>57</v>
      </c>
      <c r="G298" s="66">
        <v>45</v>
      </c>
      <c r="H298" s="2">
        <v>35.99</v>
      </c>
      <c r="I298" s="64">
        <f>PRODUCT(Table13[[#This Row],[Quantity]:[Unit_Price]])</f>
        <v>1619.5500000000002</v>
      </c>
      <c r="J298" s="2">
        <v>49.95</v>
      </c>
      <c r="K298" s="2">
        <v>444.6</v>
      </c>
      <c r="L298" s="22" t="s">
        <v>19</v>
      </c>
      <c r="M298" s="22" t="s">
        <v>27</v>
      </c>
      <c r="N298" s="22" t="s">
        <v>58</v>
      </c>
      <c r="O298" s="64">
        <f>VLOOKUP($E298,Products!$B$2:$F$11,5,0)</f>
        <v>25</v>
      </c>
      <c r="P298" s="64">
        <f>PRODUCT(Table13[[#This Row],[Quantity]],Table13[[#This Row],[Unit_Cost]])</f>
        <v>1125</v>
      </c>
      <c r="Q298" s="65">
        <f>Table13[[#This Row],[Profit]]/Table13[[#This Row],[Total_Sales]]</f>
        <v>0.27452070019449848</v>
      </c>
      <c r="R298" s="1"/>
      <c r="S298" s="1"/>
      <c r="T298" s="1"/>
    </row>
    <row r="299" spans="1:20" x14ac:dyDescent="0.25">
      <c r="A299" s="22" t="s">
        <v>448</v>
      </c>
      <c r="B299" s="63">
        <v>45716</v>
      </c>
      <c r="C299" s="22" t="s">
        <v>166</v>
      </c>
      <c r="D299" s="22" t="str">
        <f>PROPER(TRIM(Raw_Data!D299))</f>
        <v>Singapore</v>
      </c>
      <c r="E299" s="22" t="s">
        <v>48</v>
      </c>
      <c r="F299" s="22" t="s">
        <v>37</v>
      </c>
      <c r="G299" s="66">
        <v>5</v>
      </c>
      <c r="H299" s="2">
        <v>25.45</v>
      </c>
      <c r="I299" s="64">
        <f>PRODUCT(Table13[[#This Row],[Quantity]:[Unit_Price]])</f>
        <v>127.25</v>
      </c>
      <c r="J299" s="2">
        <v>7.22</v>
      </c>
      <c r="K299" s="2">
        <v>20.03</v>
      </c>
      <c r="L299" s="22" t="s">
        <v>38</v>
      </c>
      <c r="M299" s="22" t="s">
        <v>32</v>
      </c>
      <c r="N299" s="22" t="s">
        <v>58</v>
      </c>
      <c r="O299" s="64">
        <f>VLOOKUP($E299,Products!$B$2:$F$11,5,0)</f>
        <v>20</v>
      </c>
      <c r="P299" s="64">
        <f>PRODUCT(Table13[[#This Row],[Quantity]],Table13[[#This Row],[Unit_Cost]])</f>
        <v>100</v>
      </c>
      <c r="Q299" s="65">
        <f>Table13[[#This Row],[Profit]]/Table13[[#This Row],[Total_Sales]]</f>
        <v>0.15740667976424363</v>
      </c>
      <c r="R299" s="1"/>
      <c r="S299" s="1"/>
      <c r="T299" s="1"/>
    </row>
    <row r="300" spans="1:20" x14ac:dyDescent="0.25">
      <c r="A300" s="22" t="s">
        <v>449</v>
      </c>
      <c r="B300" s="63">
        <v>45682</v>
      </c>
      <c r="C300" s="22" t="s">
        <v>100</v>
      </c>
      <c r="D300" s="22" t="str">
        <f>PROPER(TRIM(Raw_Data!D300))</f>
        <v>Japan</v>
      </c>
      <c r="E300" s="22" t="s">
        <v>60</v>
      </c>
      <c r="F300" s="22" t="s">
        <v>52</v>
      </c>
      <c r="G300" s="66">
        <v>24</v>
      </c>
      <c r="H300" s="2">
        <v>19.53</v>
      </c>
      <c r="I300" s="64">
        <f>PRODUCT(Table13[[#This Row],[Quantity]:[Unit_Price]])</f>
        <v>468.72</v>
      </c>
      <c r="J300" s="2">
        <v>14.12</v>
      </c>
      <c r="K300" s="2">
        <v>82.6</v>
      </c>
      <c r="L300" s="22" t="s">
        <v>19</v>
      </c>
      <c r="M300" s="22" t="s">
        <v>20</v>
      </c>
      <c r="N300" s="22" t="s">
        <v>58</v>
      </c>
      <c r="O300" s="64">
        <f>VLOOKUP($E300,Products!$B$2:$F$11,5,0)</f>
        <v>15.5</v>
      </c>
      <c r="P300" s="64">
        <f>PRODUCT(Table13[[#This Row],[Quantity]],Table13[[#This Row],[Unit_Cost]])</f>
        <v>372</v>
      </c>
      <c r="Q300" s="65">
        <f>Table13[[#This Row],[Profit]]/Table13[[#This Row],[Total_Sales]]</f>
        <v>0.17622461170848266</v>
      </c>
      <c r="R300" s="1"/>
      <c r="S300" s="1"/>
      <c r="T300" s="1"/>
    </row>
    <row r="301" spans="1:20" x14ac:dyDescent="0.25">
      <c r="A301" s="22" t="s">
        <v>450</v>
      </c>
      <c r="B301" s="63">
        <v>45687</v>
      </c>
      <c r="C301" s="22" t="s">
        <v>23</v>
      </c>
      <c r="D301" s="22" t="str">
        <f>PROPER(TRIM(Raw_Data!D301))</f>
        <v>Canada</v>
      </c>
      <c r="E301" s="22" t="s">
        <v>63</v>
      </c>
      <c r="F301" s="22" t="s">
        <v>37</v>
      </c>
      <c r="G301" s="66">
        <v>28</v>
      </c>
      <c r="H301" s="2">
        <v>22.33</v>
      </c>
      <c r="I301" s="64">
        <f>PRODUCT(Table13[[#This Row],[Quantity]:[Unit_Price]])</f>
        <v>625.24</v>
      </c>
      <c r="J301" s="2">
        <v>44.24</v>
      </c>
      <c r="K301" s="2">
        <v>224</v>
      </c>
      <c r="L301" s="22" t="s">
        <v>19</v>
      </c>
      <c r="M301" s="22" t="s">
        <v>20</v>
      </c>
      <c r="N301" s="22" t="s">
        <v>21</v>
      </c>
      <c r="O301" s="64">
        <f>VLOOKUP($E301,Products!$B$2:$F$11,5,0)</f>
        <v>12.75</v>
      </c>
      <c r="P301" s="64">
        <f>PRODUCT(Table13[[#This Row],[Quantity]],Table13[[#This Row],[Unit_Cost]])</f>
        <v>357</v>
      </c>
      <c r="Q301" s="65">
        <f>Table13[[#This Row],[Profit]]/Table13[[#This Row],[Total_Sales]]</f>
        <v>0.35826242722794449</v>
      </c>
      <c r="R301" s="1"/>
      <c r="S301" s="1"/>
      <c r="T301" s="1"/>
    </row>
    <row r="302" spans="1:20" x14ac:dyDescent="0.25">
      <c r="A302" s="22" t="s">
        <v>451</v>
      </c>
      <c r="B302" s="63">
        <v>45612</v>
      </c>
      <c r="C302" s="22" t="s">
        <v>91</v>
      </c>
      <c r="D302" s="22" t="str">
        <f>PROPER(TRIM(Raw_Data!D302))</f>
        <v>Italy</v>
      </c>
      <c r="E302" s="22" t="s">
        <v>36</v>
      </c>
      <c r="F302" s="22" t="s">
        <v>37</v>
      </c>
      <c r="G302" s="66">
        <v>49</v>
      </c>
      <c r="H302" s="2">
        <v>39.31</v>
      </c>
      <c r="I302" s="64">
        <f>PRODUCT(Table13[[#This Row],[Quantity]:[Unit_Price]])</f>
        <v>1926.19</v>
      </c>
      <c r="J302" s="2">
        <v>69.7</v>
      </c>
      <c r="K302" s="2">
        <v>288.49</v>
      </c>
      <c r="L302" s="22" t="s">
        <v>26</v>
      </c>
      <c r="M302" s="22" t="s">
        <v>20</v>
      </c>
      <c r="N302" s="22" t="s">
        <v>28</v>
      </c>
      <c r="O302" s="64">
        <f>VLOOKUP($E302,Products!$B$2:$F$11,5,0)</f>
        <v>32</v>
      </c>
      <c r="P302" s="64">
        <f>PRODUCT(Table13[[#This Row],[Quantity]],Table13[[#This Row],[Unit_Cost]])</f>
        <v>1568</v>
      </c>
      <c r="Q302" s="65">
        <f>Table13[[#This Row],[Profit]]/Table13[[#This Row],[Total_Sales]]</f>
        <v>0.14977234852221225</v>
      </c>
      <c r="R302" s="1"/>
      <c r="S302" s="1"/>
      <c r="T302" s="1"/>
    </row>
    <row r="303" spans="1:20" x14ac:dyDescent="0.25">
      <c r="A303" s="22" t="s">
        <v>452</v>
      </c>
      <c r="B303" s="63">
        <v>45485</v>
      </c>
      <c r="C303" s="22" t="s">
        <v>183</v>
      </c>
      <c r="D303" s="22" t="str">
        <f>PROPER(TRIM(Raw_Data!D303))</f>
        <v>India</v>
      </c>
      <c r="E303" s="22" t="s">
        <v>60</v>
      </c>
      <c r="F303" s="22" t="s">
        <v>52</v>
      </c>
      <c r="G303" s="66">
        <v>6</v>
      </c>
      <c r="H303" s="2">
        <v>22.95</v>
      </c>
      <c r="I303" s="64">
        <f>PRODUCT(Table13[[#This Row],[Quantity]:[Unit_Price]])</f>
        <v>137.69999999999999</v>
      </c>
      <c r="J303" s="2">
        <v>5.63</v>
      </c>
      <c r="K303" s="2">
        <v>39.07</v>
      </c>
      <c r="L303" s="22" t="s">
        <v>26</v>
      </c>
      <c r="M303" s="22" t="s">
        <v>27</v>
      </c>
      <c r="N303" s="22" t="s">
        <v>58</v>
      </c>
      <c r="O303" s="64">
        <f>VLOOKUP($E303,Products!$B$2:$F$11,5,0)</f>
        <v>15.5</v>
      </c>
      <c r="P303" s="64">
        <f>PRODUCT(Table13[[#This Row],[Quantity]],Table13[[#This Row],[Unit_Cost]])</f>
        <v>93</v>
      </c>
      <c r="Q303" s="65">
        <f>Table13[[#This Row],[Profit]]/Table13[[#This Row],[Total_Sales]]</f>
        <v>0.28373275236020334</v>
      </c>
      <c r="R303" s="1"/>
      <c r="S303" s="1"/>
      <c r="T303" s="1"/>
    </row>
    <row r="304" spans="1:20" x14ac:dyDescent="0.25">
      <c r="A304" s="22" t="s">
        <v>453</v>
      </c>
      <c r="B304" s="63">
        <v>45457</v>
      </c>
      <c r="C304" s="22" t="s">
        <v>154</v>
      </c>
      <c r="D304" s="22" t="str">
        <f>PROPER(TRIM(Raw_Data!D304))</f>
        <v>Mexico</v>
      </c>
      <c r="E304" s="22" t="s">
        <v>48</v>
      </c>
      <c r="F304" s="22" t="s">
        <v>37</v>
      </c>
      <c r="G304" s="66">
        <v>35</v>
      </c>
      <c r="H304" s="2">
        <v>27.72</v>
      </c>
      <c r="I304" s="64">
        <f>PRODUCT(Table13[[#This Row],[Quantity]:[Unit_Price]])</f>
        <v>970.19999999999993</v>
      </c>
      <c r="J304" s="2">
        <v>61.74</v>
      </c>
      <c r="K304" s="2">
        <v>208.46</v>
      </c>
      <c r="L304" s="22" t="s">
        <v>19</v>
      </c>
      <c r="M304" s="22" t="s">
        <v>32</v>
      </c>
      <c r="N304" s="22" t="s">
        <v>21</v>
      </c>
      <c r="O304" s="64">
        <f>VLOOKUP($E304,Products!$B$2:$F$11,5,0)</f>
        <v>20</v>
      </c>
      <c r="P304" s="64">
        <f>PRODUCT(Table13[[#This Row],[Quantity]],Table13[[#This Row],[Unit_Cost]])</f>
        <v>700</v>
      </c>
      <c r="Q304" s="65">
        <f>Table13[[#This Row],[Profit]]/Table13[[#This Row],[Total_Sales]]</f>
        <v>0.21486291486291489</v>
      </c>
      <c r="R304" s="1"/>
      <c r="S304" s="1"/>
      <c r="T304" s="1"/>
    </row>
    <row r="305" spans="1:20" x14ac:dyDescent="0.25">
      <c r="A305" s="22" t="s">
        <v>454</v>
      </c>
      <c r="B305" s="63">
        <v>45579</v>
      </c>
      <c r="C305" s="22" t="s">
        <v>145</v>
      </c>
      <c r="D305" s="22" t="str">
        <f>PROPER(TRIM(Raw_Data!D305))</f>
        <v>China</v>
      </c>
      <c r="E305" s="22" t="s">
        <v>43</v>
      </c>
      <c r="F305" s="22" t="s">
        <v>44</v>
      </c>
      <c r="G305" s="66">
        <v>34</v>
      </c>
      <c r="H305" s="2">
        <v>64.75</v>
      </c>
      <c r="I305" s="64">
        <f>PRODUCT(Table13[[#This Row],[Quantity]:[Unit_Price]])</f>
        <v>2201.5</v>
      </c>
      <c r="J305" s="2">
        <v>68.05</v>
      </c>
      <c r="K305" s="2">
        <v>773.45</v>
      </c>
      <c r="L305" s="22" t="s">
        <v>38</v>
      </c>
      <c r="M305" s="22" t="s">
        <v>32</v>
      </c>
      <c r="N305" s="22" t="s">
        <v>58</v>
      </c>
      <c r="O305" s="64">
        <f>VLOOKUP($E305,Products!$B$2:$F$11,5,0)</f>
        <v>40</v>
      </c>
      <c r="P305" s="64">
        <f>PRODUCT(Table13[[#This Row],[Quantity]],Table13[[#This Row],[Unit_Cost]])</f>
        <v>1360</v>
      </c>
      <c r="Q305" s="65">
        <f>Table13[[#This Row],[Profit]]/Table13[[#This Row],[Total_Sales]]</f>
        <v>0.35132863956393368</v>
      </c>
      <c r="R305" s="1"/>
      <c r="S305" s="1"/>
      <c r="T305" s="1"/>
    </row>
    <row r="306" spans="1:20" x14ac:dyDescent="0.25">
      <c r="A306" s="22" t="s">
        <v>455</v>
      </c>
      <c r="B306" s="63">
        <v>45768</v>
      </c>
      <c r="C306" s="22" t="s">
        <v>119</v>
      </c>
      <c r="D306" s="22" t="str">
        <f>PROPER(TRIM(Raw_Data!D306))</f>
        <v>Australia</v>
      </c>
      <c r="E306" s="22" t="s">
        <v>48</v>
      </c>
      <c r="F306" s="22" t="s">
        <v>37</v>
      </c>
      <c r="G306" s="66">
        <v>49</v>
      </c>
      <c r="H306" s="2">
        <v>26.02</v>
      </c>
      <c r="I306" s="64">
        <f>PRODUCT(Table13[[#This Row],[Quantity]:[Unit_Price]])</f>
        <v>1274.98</v>
      </c>
      <c r="J306" s="2">
        <v>61.84</v>
      </c>
      <c r="K306" s="2">
        <v>233.14</v>
      </c>
      <c r="L306" s="22" t="s">
        <v>38</v>
      </c>
      <c r="M306" s="22" t="s">
        <v>27</v>
      </c>
      <c r="N306" s="22" t="s">
        <v>130</v>
      </c>
      <c r="O306" s="64">
        <f>VLOOKUP($E306,Products!$B$2:$F$11,5,0)</f>
        <v>20</v>
      </c>
      <c r="P306" s="64">
        <f>PRODUCT(Table13[[#This Row],[Quantity]],Table13[[#This Row],[Unit_Cost]])</f>
        <v>980</v>
      </c>
      <c r="Q306" s="65">
        <f>Table13[[#This Row],[Profit]]/Table13[[#This Row],[Total_Sales]]</f>
        <v>0.18285777031796577</v>
      </c>
      <c r="R306" s="1"/>
      <c r="S306" s="1"/>
      <c r="T306" s="1"/>
    </row>
    <row r="307" spans="1:20" x14ac:dyDescent="0.25">
      <c r="A307" s="22" t="s">
        <v>456</v>
      </c>
      <c r="B307" s="63">
        <v>45647</v>
      </c>
      <c r="C307" s="22" t="s">
        <v>246</v>
      </c>
      <c r="D307" s="22" t="str">
        <f>PROPER(TRIM(Raw_Data!D307))</f>
        <v>Brazil</v>
      </c>
      <c r="E307" s="22" t="s">
        <v>56</v>
      </c>
      <c r="F307" s="22" t="s">
        <v>57</v>
      </c>
      <c r="G307" s="66">
        <v>1</v>
      </c>
      <c r="H307" s="2">
        <v>32.979999999999997</v>
      </c>
      <c r="I307" s="64">
        <f>PRODUCT(Table13[[#This Row],[Quantity]:[Unit_Price]])</f>
        <v>32.979999999999997</v>
      </c>
      <c r="J307" s="2">
        <v>1.89</v>
      </c>
      <c r="K307" s="2">
        <v>6.09</v>
      </c>
      <c r="L307" s="22" t="s">
        <v>38</v>
      </c>
      <c r="M307" s="22" t="s">
        <v>27</v>
      </c>
      <c r="N307" s="22" t="s">
        <v>39</v>
      </c>
      <c r="O307" s="64">
        <f>VLOOKUP($E307,Products!$B$2:$F$11,5,0)</f>
        <v>25</v>
      </c>
      <c r="P307" s="64">
        <f>PRODUCT(Table13[[#This Row],[Quantity]],Table13[[#This Row],[Unit_Cost]])</f>
        <v>25</v>
      </c>
      <c r="Q307" s="65">
        <f>Table13[[#This Row],[Profit]]/Table13[[#This Row],[Total_Sales]]</f>
        <v>0.18465736810187994</v>
      </c>
      <c r="R307" s="1"/>
      <c r="S307" s="1"/>
      <c r="T307" s="1"/>
    </row>
    <row r="308" spans="1:20" x14ac:dyDescent="0.25">
      <c r="A308" s="22" t="s">
        <v>457</v>
      </c>
      <c r="B308" s="63">
        <v>45598</v>
      </c>
      <c r="C308" s="22" t="s">
        <v>315</v>
      </c>
      <c r="D308" s="22" t="str">
        <f>PROPER(TRIM(Raw_Data!D308))</f>
        <v>Brazil</v>
      </c>
      <c r="E308" s="22" t="s">
        <v>63</v>
      </c>
      <c r="F308" s="22" t="s">
        <v>37</v>
      </c>
      <c r="G308" s="66">
        <v>18</v>
      </c>
      <c r="H308" s="2">
        <v>20.09</v>
      </c>
      <c r="I308" s="64">
        <f>PRODUCT(Table13[[#This Row],[Quantity]:[Unit_Price]])</f>
        <v>361.62</v>
      </c>
      <c r="J308" s="2">
        <v>8.3800000000000008</v>
      </c>
      <c r="K308" s="2">
        <v>123.74</v>
      </c>
      <c r="L308" s="22" t="s">
        <v>19</v>
      </c>
      <c r="M308" s="22" t="s">
        <v>20</v>
      </c>
      <c r="N308" s="22" t="s">
        <v>39</v>
      </c>
      <c r="O308" s="64">
        <f>VLOOKUP($E308,Products!$B$2:$F$11,5,0)</f>
        <v>12.75</v>
      </c>
      <c r="P308" s="64">
        <f>PRODUCT(Table13[[#This Row],[Quantity]],Table13[[#This Row],[Unit_Cost]])</f>
        <v>229.5</v>
      </c>
      <c r="Q308" s="65">
        <f>Table13[[#This Row],[Profit]]/Table13[[#This Row],[Total_Sales]]</f>
        <v>0.34218240141585088</v>
      </c>
      <c r="R308" s="1"/>
      <c r="S308" s="1"/>
      <c r="T308" s="1"/>
    </row>
    <row r="309" spans="1:20" x14ac:dyDescent="0.25">
      <c r="A309" s="22" t="s">
        <v>458</v>
      </c>
      <c r="B309" s="63">
        <v>45447</v>
      </c>
      <c r="C309" s="22" t="s">
        <v>166</v>
      </c>
      <c r="D309" s="22" t="str">
        <f>PROPER(TRIM(Raw_Data!D309))</f>
        <v>India</v>
      </c>
      <c r="E309" s="22" t="s">
        <v>17</v>
      </c>
      <c r="F309" s="22" t="s">
        <v>18</v>
      </c>
      <c r="G309" s="66">
        <v>39</v>
      </c>
      <c r="H309" s="2">
        <v>49.59</v>
      </c>
      <c r="I309" s="64">
        <f>PRODUCT(Table13[[#This Row],[Quantity]:[Unit_Price]])</f>
        <v>1934.0100000000002</v>
      </c>
      <c r="J309" s="2">
        <v>62.79</v>
      </c>
      <c r="K309" s="2">
        <v>506.22</v>
      </c>
      <c r="L309" s="22" t="s">
        <v>26</v>
      </c>
      <c r="M309" s="22" t="s">
        <v>27</v>
      </c>
      <c r="N309" s="22" t="s">
        <v>58</v>
      </c>
      <c r="O309" s="64">
        <f>VLOOKUP($E309,Products!$B$2:$F$11,5,0)</f>
        <v>35</v>
      </c>
      <c r="P309" s="64">
        <f>PRODUCT(Table13[[#This Row],[Quantity]],Table13[[#This Row],[Unit_Cost]])</f>
        <v>1365</v>
      </c>
      <c r="Q309" s="65">
        <f>Table13[[#This Row],[Profit]]/Table13[[#This Row],[Total_Sales]]</f>
        <v>0.26174631982254487</v>
      </c>
      <c r="R309" s="1"/>
      <c r="S309" s="1"/>
      <c r="T309" s="1"/>
    </row>
    <row r="310" spans="1:20" x14ac:dyDescent="0.25">
      <c r="A310" s="22" t="s">
        <v>459</v>
      </c>
      <c r="B310" s="63">
        <v>45764</v>
      </c>
      <c r="C310" s="22" t="s">
        <v>291</v>
      </c>
      <c r="D310" s="22" t="str">
        <f>PROPER(TRIM(Raw_Data!D310))</f>
        <v>Canada</v>
      </c>
      <c r="E310" s="22" t="s">
        <v>36</v>
      </c>
      <c r="F310" s="22" t="s">
        <v>37</v>
      </c>
      <c r="G310" s="66">
        <v>6</v>
      </c>
      <c r="H310" s="2">
        <v>41.99</v>
      </c>
      <c r="I310" s="64">
        <f>PRODUCT(Table13[[#This Row],[Quantity]:[Unit_Price]])</f>
        <v>251.94</v>
      </c>
      <c r="J310" s="2">
        <v>10.76</v>
      </c>
      <c r="K310" s="2">
        <v>49.18</v>
      </c>
      <c r="L310" s="22" t="s">
        <v>19</v>
      </c>
      <c r="M310" s="22" t="s">
        <v>20</v>
      </c>
      <c r="N310" s="22" t="s">
        <v>21</v>
      </c>
      <c r="O310" s="64">
        <f>VLOOKUP($E310,Products!$B$2:$F$11,5,0)</f>
        <v>32</v>
      </c>
      <c r="P310" s="64">
        <f>PRODUCT(Table13[[#This Row],[Quantity]],Table13[[#This Row],[Unit_Cost]])</f>
        <v>192</v>
      </c>
      <c r="Q310" s="65">
        <f>Table13[[#This Row],[Profit]]/Table13[[#This Row],[Total_Sales]]</f>
        <v>0.19520520758910853</v>
      </c>
      <c r="R310" s="1"/>
      <c r="S310" s="1"/>
      <c r="T310" s="1"/>
    </row>
    <row r="311" spans="1:20" x14ac:dyDescent="0.25">
      <c r="A311" s="22" t="s">
        <v>460</v>
      </c>
      <c r="B311" s="63">
        <v>45425</v>
      </c>
      <c r="C311" s="22" t="s">
        <v>67</v>
      </c>
      <c r="D311" s="22" t="str">
        <f>PROPER(TRIM(Raw_Data!D311))</f>
        <v>Singapore</v>
      </c>
      <c r="E311" s="22" t="s">
        <v>17</v>
      </c>
      <c r="F311" s="22" t="s">
        <v>18</v>
      </c>
      <c r="G311" s="66">
        <v>12</v>
      </c>
      <c r="H311" s="2">
        <v>47.4</v>
      </c>
      <c r="I311" s="64">
        <f>PRODUCT(Table13[[#This Row],[Quantity]:[Unit_Price]])</f>
        <v>568.79999999999995</v>
      </c>
      <c r="J311" s="2">
        <v>23.31</v>
      </c>
      <c r="K311" s="2">
        <v>125.49</v>
      </c>
      <c r="L311" s="22" t="s">
        <v>38</v>
      </c>
      <c r="M311" s="22" t="s">
        <v>20</v>
      </c>
      <c r="N311" s="22" t="s">
        <v>58</v>
      </c>
      <c r="O311" s="64">
        <f>VLOOKUP($E311,Products!$B$2:$F$11,5,0)</f>
        <v>35</v>
      </c>
      <c r="P311" s="64">
        <f>PRODUCT(Table13[[#This Row],[Quantity]],Table13[[#This Row],[Unit_Cost]])</f>
        <v>420</v>
      </c>
      <c r="Q311" s="65">
        <f>Table13[[#This Row],[Profit]]/Table13[[#This Row],[Total_Sales]]</f>
        <v>0.22062236286919831</v>
      </c>
      <c r="R311" s="1"/>
      <c r="S311" s="1"/>
      <c r="T311" s="1"/>
    </row>
    <row r="312" spans="1:20" x14ac:dyDescent="0.25">
      <c r="A312" s="22" t="s">
        <v>461</v>
      </c>
      <c r="B312" s="63">
        <v>45482</v>
      </c>
      <c r="C312" s="22" t="s">
        <v>249</v>
      </c>
      <c r="D312" s="22" t="str">
        <f>PROPER(TRIM(Raw_Data!D312))</f>
        <v>Uae</v>
      </c>
      <c r="E312" s="22" t="s">
        <v>48</v>
      </c>
      <c r="F312" s="22" t="s">
        <v>37</v>
      </c>
      <c r="G312" s="66">
        <v>50</v>
      </c>
      <c r="H312" s="2">
        <v>34.28</v>
      </c>
      <c r="I312" s="64">
        <f>PRODUCT(Table13[[#This Row],[Quantity]:[Unit_Price]])</f>
        <v>1714</v>
      </c>
      <c r="J312" s="2">
        <v>59.84</v>
      </c>
      <c r="K312" s="2">
        <v>654.16</v>
      </c>
      <c r="L312" s="22" t="s">
        <v>19</v>
      </c>
      <c r="M312" s="22" t="s">
        <v>20</v>
      </c>
      <c r="N312" s="22" t="s">
        <v>58</v>
      </c>
      <c r="O312" s="64">
        <f>VLOOKUP($E312,Products!$B$2:$F$11,5,0)</f>
        <v>20</v>
      </c>
      <c r="P312" s="64">
        <f>PRODUCT(Table13[[#This Row],[Quantity]],Table13[[#This Row],[Unit_Cost]])</f>
        <v>1000</v>
      </c>
      <c r="Q312" s="65">
        <f>Table13[[#This Row],[Profit]]/Table13[[#This Row],[Total_Sales]]</f>
        <v>0.38165694282380397</v>
      </c>
      <c r="R312" s="1"/>
      <c r="S312" s="1"/>
      <c r="T312" s="1"/>
    </row>
    <row r="313" spans="1:20" x14ac:dyDescent="0.25">
      <c r="A313" s="22" t="s">
        <v>462</v>
      </c>
      <c r="B313" s="63">
        <v>45743</v>
      </c>
      <c r="C313" s="22" t="s">
        <v>204</v>
      </c>
      <c r="D313" s="22" t="str">
        <f>PROPER(TRIM(Raw_Data!D313))</f>
        <v>South Africa</v>
      </c>
      <c r="E313" s="22" t="s">
        <v>25</v>
      </c>
      <c r="F313" s="22" t="s">
        <v>18</v>
      </c>
      <c r="G313" s="66">
        <v>50</v>
      </c>
      <c r="H313" s="2">
        <v>29.39</v>
      </c>
      <c r="I313" s="64">
        <f>PRODUCT(Table13[[#This Row],[Quantity]:[Unit_Price]])</f>
        <v>1469.5</v>
      </c>
      <c r="J313" s="2">
        <v>101.51</v>
      </c>
      <c r="K313" s="2">
        <v>467.99</v>
      </c>
      <c r="L313" s="22" t="s">
        <v>38</v>
      </c>
      <c r="M313" s="22" t="s">
        <v>32</v>
      </c>
      <c r="N313" s="22" t="s">
        <v>87</v>
      </c>
      <c r="O313" s="64">
        <f>VLOOKUP($E313,Products!$B$2:$F$11,5,0)</f>
        <v>18</v>
      </c>
      <c r="P313" s="64">
        <f>PRODUCT(Table13[[#This Row],[Quantity]],Table13[[#This Row],[Unit_Cost]])</f>
        <v>900</v>
      </c>
      <c r="Q313" s="65">
        <f>Table13[[#This Row],[Profit]]/Table13[[#This Row],[Total_Sales]]</f>
        <v>0.31846886696155158</v>
      </c>
      <c r="R313" s="1"/>
      <c r="S313" s="1"/>
      <c r="T313" s="1"/>
    </row>
    <row r="314" spans="1:20" x14ac:dyDescent="0.25">
      <c r="A314" s="22" t="s">
        <v>463</v>
      </c>
      <c r="B314" s="63">
        <v>45526</v>
      </c>
      <c r="C314" s="22" t="s">
        <v>113</v>
      </c>
      <c r="D314" s="22" t="str">
        <f>PROPER(TRIM(Raw_Data!D314))</f>
        <v>Brazil</v>
      </c>
      <c r="E314" s="22" t="s">
        <v>25</v>
      </c>
      <c r="F314" s="22" t="s">
        <v>18</v>
      </c>
      <c r="G314" s="66">
        <v>46</v>
      </c>
      <c r="H314" s="2">
        <v>30.34</v>
      </c>
      <c r="I314" s="64">
        <f>PRODUCT(Table13[[#This Row],[Quantity]:[Unit_Price]])</f>
        <v>1395.64</v>
      </c>
      <c r="J314" s="2">
        <v>104.2</v>
      </c>
      <c r="K314" s="2">
        <v>463.44</v>
      </c>
      <c r="L314" s="22" t="s">
        <v>19</v>
      </c>
      <c r="M314" s="22" t="s">
        <v>27</v>
      </c>
      <c r="N314" s="22" t="s">
        <v>39</v>
      </c>
      <c r="O314" s="64">
        <f>VLOOKUP($E314,Products!$B$2:$F$11,5,0)</f>
        <v>18</v>
      </c>
      <c r="P314" s="64">
        <f>PRODUCT(Table13[[#This Row],[Quantity]],Table13[[#This Row],[Unit_Cost]])</f>
        <v>828</v>
      </c>
      <c r="Q314" s="65">
        <f>Table13[[#This Row],[Profit]]/Table13[[#This Row],[Total_Sales]]</f>
        <v>0.33206270958126732</v>
      </c>
      <c r="R314" s="1"/>
      <c r="S314" s="1"/>
      <c r="T314" s="1"/>
    </row>
    <row r="315" spans="1:20" x14ac:dyDescent="0.25">
      <c r="A315" s="22" t="s">
        <v>464</v>
      </c>
      <c r="B315" s="63">
        <v>45380</v>
      </c>
      <c r="C315" s="22" t="s">
        <v>465</v>
      </c>
      <c r="D315" s="22" t="str">
        <f>PROPER(TRIM(Raw_Data!D315))</f>
        <v>Singapore</v>
      </c>
      <c r="E315" s="22" t="s">
        <v>63</v>
      </c>
      <c r="F315" s="22" t="s">
        <v>37</v>
      </c>
      <c r="G315" s="66">
        <v>50</v>
      </c>
      <c r="H315" s="2">
        <v>18.809999999999999</v>
      </c>
      <c r="I315" s="64">
        <f>PRODUCT(Table13[[#This Row],[Quantity]:[Unit_Price]])</f>
        <v>940.49999999999989</v>
      </c>
      <c r="J315" s="2">
        <v>40.25</v>
      </c>
      <c r="K315" s="2">
        <v>262.75</v>
      </c>
      <c r="L315" s="22" t="s">
        <v>26</v>
      </c>
      <c r="M315" s="22" t="s">
        <v>27</v>
      </c>
      <c r="N315" s="22" t="s">
        <v>58</v>
      </c>
      <c r="O315" s="64">
        <f>VLOOKUP($E315,Products!$B$2:$F$11,5,0)</f>
        <v>12.75</v>
      </c>
      <c r="P315" s="64">
        <f>PRODUCT(Table13[[#This Row],[Quantity]],Table13[[#This Row],[Unit_Cost]])</f>
        <v>637.5</v>
      </c>
      <c r="Q315" s="65">
        <f>Table13[[#This Row],[Profit]]/Table13[[#This Row],[Total_Sales]]</f>
        <v>0.27937267410951627</v>
      </c>
      <c r="R315" s="1"/>
      <c r="S315" s="1"/>
      <c r="T315" s="1"/>
    </row>
    <row r="316" spans="1:20" x14ac:dyDescent="0.25">
      <c r="A316" s="22" t="s">
        <v>466</v>
      </c>
      <c r="B316" s="63">
        <v>45481</v>
      </c>
      <c r="C316" s="22" t="s">
        <v>204</v>
      </c>
      <c r="D316" s="22" t="str">
        <f>PROPER(TRIM(Raw_Data!D316))</f>
        <v>Australia</v>
      </c>
      <c r="E316" s="22" t="s">
        <v>51</v>
      </c>
      <c r="F316" s="22" t="s">
        <v>52</v>
      </c>
      <c r="G316" s="66">
        <v>2</v>
      </c>
      <c r="H316" s="2">
        <v>29.64</v>
      </c>
      <c r="I316" s="64">
        <f>PRODUCT(Table13[[#This Row],[Quantity]:[Unit_Price]])</f>
        <v>59.28</v>
      </c>
      <c r="J316" s="2">
        <v>4.59</v>
      </c>
      <c r="K316" s="2">
        <v>9.69</v>
      </c>
      <c r="L316" s="22" t="s">
        <v>26</v>
      </c>
      <c r="M316" s="22" t="s">
        <v>32</v>
      </c>
      <c r="N316" s="22" t="s">
        <v>130</v>
      </c>
      <c r="O316" s="64">
        <f>VLOOKUP($E316,Products!$B$2:$F$11,5,0)</f>
        <v>22.5</v>
      </c>
      <c r="P316" s="64">
        <f>PRODUCT(Table13[[#This Row],[Quantity]],Table13[[#This Row],[Unit_Cost]])</f>
        <v>45</v>
      </c>
      <c r="Q316" s="65">
        <f>Table13[[#This Row],[Profit]]/Table13[[#This Row],[Total_Sales]]</f>
        <v>0.16346153846153846</v>
      </c>
      <c r="R316" s="1"/>
      <c r="S316" s="1"/>
      <c r="T316" s="1"/>
    </row>
    <row r="317" spans="1:20" x14ac:dyDescent="0.25">
      <c r="A317" s="22" t="s">
        <v>467</v>
      </c>
      <c r="B317" s="63">
        <v>45311</v>
      </c>
      <c r="C317" s="22" t="s">
        <v>364</v>
      </c>
      <c r="D317" s="22" t="str">
        <f>PROPER(TRIM(Raw_Data!D317))</f>
        <v>Singapore</v>
      </c>
      <c r="E317" s="22" t="s">
        <v>51</v>
      </c>
      <c r="F317" s="22" t="s">
        <v>52</v>
      </c>
      <c r="G317" s="66">
        <v>48</v>
      </c>
      <c r="H317" s="2">
        <v>27.9</v>
      </c>
      <c r="I317" s="64">
        <f>PRODUCT(Table13[[#This Row],[Quantity]:[Unit_Price]])</f>
        <v>1339.1999999999998</v>
      </c>
      <c r="J317" s="2">
        <v>66.31</v>
      </c>
      <c r="K317" s="2">
        <v>192.89</v>
      </c>
      <c r="L317" s="22" t="s">
        <v>26</v>
      </c>
      <c r="M317" s="22" t="s">
        <v>32</v>
      </c>
      <c r="N317" s="22" t="s">
        <v>58</v>
      </c>
      <c r="O317" s="64">
        <f>VLOOKUP($E317,Products!$B$2:$F$11,5,0)</f>
        <v>22.5</v>
      </c>
      <c r="P317" s="64">
        <f>PRODUCT(Table13[[#This Row],[Quantity]],Table13[[#This Row],[Unit_Cost]])</f>
        <v>1080</v>
      </c>
      <c r="Q317" s="65">
        <f>Table13[[#This Row],[Profit]]/Table13[[#This Row],[Total_Sales]]</f>
        <v>0.14403375149342892</v>
      </c>
      <c r="R317" s="1"/>
      <c r="S317" s="1"/>
      <c r="T317" s="1"/>
    </row>
    <row r="318" spans="1:20" x14ac:dyDescent="0.25">
      <c r="A318" s="22" t="s">
        <v>468</v>
      </c>
      <c r="B318" s="63">
        <v>45644</v>
      </c>
      <c r="C318" s="22" t="s">
        <v>293</v>
      </c>
      <c r="D318" s="22" t="str">
        <f>PROPER(TRIM(Raw_Data!D318))</f>
        <v>France</v>
      </c>
      <c r="E318" s="22" t="s">
        <v>56</v>
      </c>
      <c r="F318" s="22" t="s">
        <v>57</v>
      </c>
      <c r="G318" s="66">
        <v>28</v>
      </c>
      <c r="H318" s="2">
        <v>38.520000000000003</v>
      </c>
      <c r="I318" s="64">
        <f>PRODUCT(Table13[[#This Row],[Quantity]:[Unit_Price]])</f>
        <v>1078.5600000000002</v>
      </c>
      <c r="J318" s="2">
        <v>64.510000000000005</v>
      </c>
      <c r="K318" s="2">
        <v>314.05</v>
      </c>
      <c r="L318" s="22" t="s">
        <v>19</v>
      </c>
      <c r="M318" s="22" t="s">
        <v>27</v>
      </c>
      <c r="N318" s="22" t="s">
        <v>28</v>
      </c>
      <c r="O318" s="64">
        <f>VLOOKUP($E318,Products!$B$2:$F$11,5,0)</f>
        <v>25</v>
      </c>
      <c r="P318" s="64">
        <f>PRODUCT(Table13[[#This Row],[Quantity]],Table13[[#This Row],[Unit_Cost]])</f>
        <v>700</v>
      </c>
      <c r="Q318" s="65">
        <f>Table13[[#This Row],[Profit]]/Table13[[#This Row],[Total_Sales]]</f>
        <v>0.29117527073134547</v>
      </c>
      <c r="R318" s="1"/>
      <c r="S318" s="1"/>
      <c r="T318" s="1"/>
    </row>
    <row r="319" spans="1:20" x14ac:dyDescent="0.25">
      <c r="A319" s="22" t="s">
        <v>469</v>
      </c>
      <c r="B319" s="63">
        <v>45377</v>
      </c>
      <c r="C319" s="22" t="s">
        <v>181</v>
      </c>
      <c r="D319" s="22" t="str">
        <f>PROPER(TRIM(Raw_Data!D319))</f>
        <v>Uk</v>
      </c>
      <c r="E319" s="22" t="s">
        <v>51</v>
      </c>
      <c r="F319" s="22" t="s">
        <v>52</v>
      </c>
      <c r="G319" s="66">
        <v>11</v>
      </c>
      <c r="H319" s="2">
        <v>31.08</v>
      </c>
      <c r="I319" s="64">
        <f>PRODUCT(Table13[[#This Row],[Quantity]:[Unit_Price]])</f>
        <v>341.88</v>
      </c>
      <c r="J319" s="2">
        <v>17.18</v>
      </c>
      <c r="K319" s="2">
        <v>77.2</v>
      </c>
      <c r="L319" s="22" t="s">
        <v>38</v>
      </c>
      <c r="M319" s="22" t="s">
        <v>32</v>
      </c>
      <c r="N319" s="22" t="s">
        <v>28</v>
      </c>
      <c r="O319" s="64">
        <f>VLOOKUP($E319,Products!$B$2:$F$11,5,0)</f>
        <v>22.5</v>
      </c>
      <c r="P319" s="64">
        <f>PRODUCT(Table13[[#This Row],[Quantity]],Table13[[#This Row],[Unit_Cost]])</f>
        <v>247.5</v>
      </c>
      <c r="Q319" s="65">
        <f>Table13[[#This Row],[Profit]]/Table13[[#This Row],[Total_Sales]]</f>
        <v>0.22581022581022583</v>
      </c>
      <c r="R319" s="1"/>
      <c r="S319" s="1"/>
      <c r="T319" s="1"/>
    </row>
    <row r="320" spans="1:20" x14ac:dyDescent="0.25">
      <c r="A320" s="22" t="s">
        <v>470</v>
      </c>
      <c r="B320" s="63">
        <v>45568</v>
      </c>
      <c r="C320" s="22" t="s">
        <v>246</v>
      </c>
      <c r="D320" s="22" t="str">
        <f>PROPER(TRIM(Raw_Data!D320))</f>
        <v>Mexico</v>
      </c>
      <c r="E320" s="22" t="s">
        <v>48</v>
      </c>
      <c r="F320" s="22" t="s">
        <v>37</v>
      </c>
      <c r="G320" s="66">
        <v>42</v>
      </c>
      <c r="H320" s="2">
        <v>25.95</v>
      </c>
      <c r="I320" s="64">
        <f>PRODUCT(Table13[[#This Row],[Quantity]:[Unit_Price]])</f>
        <v>1089.8999999999999</v>
      </c>
      <c r="J320" s="2">
        <v>27.5</v>
      </c>
      <c r="K320" s="2">
        <v>222.4</v>
      </c>
      <c r="L320" s="22" t="s">
        <v>38</v>
      </c>
      <c r="M320" s="22" t="s">
        <v>32</v>
      </c>
      <c r="N320" s="22" t="s">
        <v>21</v>
      </c>
      <c r="O320" s="64">
        <f>VLOOKUP($E320,Products!$B$2:$F$11,5,0)</f>
        <v>20</v>
      </c>
      <c r="P320" s="64">
        <f>PRODUCT(Table13[[#This Row],[Quantity]],Table13[[#This Row],[Unit_Cost]])</f>
        <v>840</v>
      </c>
      <c r="Q320" s="65">
        <f>Table13[[#This Row],[Profit]]/Table13[[#This Row],[Total_Sales]]</f>
        <v>0.20405541792825033</v>
      </c>
      <c r="R320" s="1"/>
      <c r="S320" s="1"/>
      <c r="T320" s="1"/>
    </row>
    <row r="321" spans="1:20" x14ac:dyDescent="0.25">
      <c r="A321" s="22" t="s">
        <v>471</v>
      </c>
      <c r="B321" s="63">
        <v>45535</v>
      </c>
      <c r="C321" s="22" t="s">
        <v>399</v>
      </c>
      <c r="D321" s="22" t="str">
        <f>PROPER(TRIM(Raw_Data!D321))</f>
        <v>Singapore</v>
      </c>
      <c r="E321" s="22" t="s">
        <v>56</v>
      </c>
      <c r="F321" s="22" t="s">
        <v>57</v>
      </c>
      <c r="G321" s="66">
        <v>30</v>
      </c>
      <c r="H321" s="2">
        <v>30.16</v>
      </c>
      <c r="I321" s="64">
        <f>PRODUCT(Table13[[#This Row],[Quantity]:[Unit_Price]])</f>
        <v>904.8</v>
      </c>
      <c r="J321" s="2">
        <v>70.13</v>
      </c>
      <c r="K321" s="2">
        <v>84.67</v>
      </c>
      <c r="L321" s="22" t="s">
        <v>26</v>
      </c>
      <c r="M321" s="22" t="s">
        <v>20</v>
      </c>
      <c r="N321" s="22" t="s">
        <v>58</v>
      </c>
      <c r="O321" s="64">
        <f>VLOOKUP($E321,Products!$B$2:$F$11,5,0)</f>
        <v>25</v>
      </c>
      <c r="P321" s="64">
        <f>PRODUCT(Table13[[#This Row],[Quantity]],Table13[[#This Row],[Unit_Cost]])</f>
        <v>750</v>
      </c>
      <c r="Q321" s="65">
        <f>Table13[[#This Row],[Profit]]/Table13[[#This Row],[Total_Sales]]</f>
        <v>9.3578691423519017E-2</v>
      </c>
      <c r="R321" s="1"/>
      <c r="S321" s="1"/>
      <c r="T321" s="1"/>
    </row>
    <row r="322" spans="1:20" x14ac:dyDescent="0.25">
      <c r="A322" s="22" t="s">
        <v>472</v>
      </c>
      <c r="B322" s="63">
        <v>45474</v>
      </c>
      <c r="C322" s="22" t="s">
        <v>473</v>
      </c>
      <c r="D322" s="22" t="str">
        <f>PROPER(TRIM(Raw_Data!D322))</f>
        <v>Brazil</v>
      </c>
      <c r="E322" s="22" t="s">
        <v>48</v>
      </c>
      <c r="F322" s="22" t="s">
        <v>37</v>
      </c>
      <c r="G322" s="66">
        <v>40</v>
      </c>
      <c r="H322" s="2">
        <v>30.03</v>
      </c>
      <c r="I322" s="64">
        <f>PRODUCT(Table13[[#This Row],[Quantity]:[Unit_Price]])</f>
        <v>1201.2</v>
      </c>
      <c r="J322" s="2">
        <v>71.97</v>
      </c>
      <c r="K322" s="2">
        <v>329.23</v>
      </c>
      <c r="L322" s="22" t="s">
        <v>26</v>
      </c>
      <c r="M322" s="22" t="s">
        <v>20</v>
      </c>
      <c r="N322" s="22" t="s">
        <v>39</v>
      </c>
      <c r="O322" s="64">
        <f>VLOOKUP($E322,Products!$B$2:$F$11,5,0)</f>
        <v>20</v>
      </c>
      <c r="P322" s="64">
        <f>PRODUCT(Table13[[#This Row],[Quantity]],Table13[[#This Row],[Unit_Cost]])</f>
        <v>800</v>
      </c>
      <c r="Q322" s="65">
        <f>Table13[[#This Row],[Profit]]/Table13[[#This Row],[Total_Sales]]</f>
        <v>0.27408424908424911</v>
      </c>
      <c r="R322" s="1"/>
      <c r="S322" s="1"/>
      <c r="T322" s="1"/>
    </row>
    <row r="323" spans="1:20" x14ac:dyDescent="0.25">
      <c r="A323" s="22" t="s">
        <v>474</v>
      </c>
      <c r="B323" s="63">
        <v>45584</v>
      </c>
      <c r="C323" s="22" t="s">
        <v>100</v>
      </c>
      <c r="D323" s="22" t="str">
        <f>PROPER(TRIM(Raw_Data!D323))</f>
        <v>South Africa</v>
      </c>
      <c r="E323" s="22" t="s">
        <v>48</v>
      </c>
      <c r="F323" s="22" t="s">
        <v>37</v>
      </c>
      <c r="G323" s="66">
        <v>15</v>
      </c>
      <c r="H323" s="2">
        <v>27.12</v>
      </c>
      <c r="I323" s="64">
        <f>PRODUCT(Table13[[#This Row],[Quantity]:[Unit_Price]])</f>
        <v>406.8</v>
      </c>
      <c r="J323" s="2">
        <v>24.28</v>
      </c>
      <c r="K323" s="2">
        <v>82.52</v>
      </c>
      <c r="L323" s="22" t="s">
        <v>26</v>
      </c>
      <c r="M323" s="22" t="s">
        <v>27</v>
      </c>
      <c r="N323" s="22" t="s">
        <v>87</v>
      </c>
      <c r="O323" s="64">
        <f>VLOOKUP($E323,Products!$B$2:$F$11,5,0)</f>
        <v>20</v>
      </c>
      <c r="P323" s="64">
        <f>PRODUCT(Table13[[#This Row],[Quantity]],Table13[[#This Row],[Unit_Cost]])</f>
        <v>300</v>
      </c>
      <c r="Q323" s="65">
        <f>Table13[[#This Row],[Profit]]/Table13[[#This Row],[Total_Sales]]</f>
        <v>0.20285152409046212</v>
      </c>
      <c r="R323" s="1"/>
      <c r="S323" s="1"/>
      <c r="T323" s="1"/>
    </row>
    <row r="324" spans="1:20" x14ac:dyDescent="0.25">
      <c r="A324" s="22" t="s">
        <v>475</v>
      </c>
      <c r="B324" s="63">
        <v>45567</v>
      </c>
      <c r="C324" s="22" t="s">
        <v>161</v>
      </c>
      <c r="D324" s="22" t="str">
        <f>PROPER(TRIM(Raw_Data!D324))</f>
        <v>France</v>
      </c>
      <c r="E324" s="22" t="s">
        <v>63</v>
      </c>
      <c r="F324" s="22" t="s">
        <v>37</v>
      </c>
      <c r="G324" s="66">
        <v>35</v>
      </c>
      <c r="H324" s="2">
        <v>18.350000000000001</v>
      </c>
      <c r="I324" s="64">
        <f>PRODUCT(Table13[[#This Row],[Quantity]:[Unit_Price]])</f>
        <v>642.25</v>
      </c>
      <c r="J324" s="2">
        <v>29.35</v>
      </c>
      <c r="K324" s="2">
        <v>166.65</v>
      </c>
      <c r="L324" s="22" t="s">
        <v>19</v>
      </c>
      <c r="M324" s="22" t="s">
        <v>27</v>
      </c>
      <c r="N324" s="22" t="s">
        <v>28</v>
      </c>
      <c r="O324" s="64">
        <f>VLOOKUP($E324,Products!$B$2:$F$11,5,0)</f>
        <v>12.75</v>
      </c>
      <c r="P324" s="64">
        <f>PRODUCT(Table13[[#This Row],[Quantity]],Table13[[#This Row],[Unit_Cost]])</f>
        <v>446.25</v>
      </c>
      <c r="Q324" s="65">
        <f>Table13[[#This Row],[Profit]]/Table13[[#This Row],[Total_Sales]]</f>
        <v>0.2594783962631374</v>
      </c>
      <c r="R324" s="1"/>
      <c r="S324" s="1"/>
      <c r="T324" s="1"/>
    </row>
    <row r="325" spans="1:20" x14ac:dyDescent="0.25">
      <c r="A325" s="22" t="s">
        <v>476</v>
      </c>
      <c r="B325" s="63">
        <v>45459</v>
      </c>
      <c r="C325" s="22" t="s">
        <v>410</v>
      </c>
      <c r="D325" s="22" t="str">
        <f>PROPER(TRIM(Raw_Data!D325))</f>
        <v>South Africa</v>
      </c>
      <c r="E325" s="22" t="s">
        <v>17</v>
      </c>
      <c r="F325" s="22" t="s">
        <v>18</v>
      </c>
      <c r="G325" s="66">
        <v>21</v>
      </c>
      <c r="H325" s="2">
        <v>52.59</v>
      </c>
      <c r="I325" s="64">
        <f>PRODUCT(Table13[[#This Row],[Quantity]:[Unit_Price]])</f>
        <v>1104.3900000000001</v>
      </c>
      <c r="J325" s="2">
        <v>57.06</v>
      </c>
      <c r="K325" s="2">
        <v>312.33</v>
      </c>
      <c r="L325" s="22" t="s">
        <v>26</v>
      </c>
      <c r="M325" s="22" t="s">
        <v>27</v>
      </c>
      <c r="N325" s="22" t="s">
        <v>87</v>
      </c>
      <c r="O325" s="64">
        <f>VLOOKUP($E325,Products!$B$2:$F$11,5,0)</f>
        <v>35</v>
      </c>
      <c r="P325" s="64">
        <f>PRODUCT(Table13[[#This Row],[Quantity]],Table13[[#This Row],[Unit_Cost]])</f>
        <v>735</v>
      </c>
      <c r="Q325" s="65">
        <f>Table13[[#This Row],[Profit]]/Table13[[#This Row],[Total_Sales]]</f>
        <v>0.28280770380028791</v>
      </c>
      <c r="R325" s="1"/>
      <c r="S325" s="1"/>
      <c r="T325" s="1"/>
    </row>
    <row r="326" spans="1:20" x14ac:dyDescent="0.25">
      <c r="A326" s="22" t="s">
        <v>477</v>
      </c>
      <c r="B326" s="63">
        <v>45538</v>
      </c>
      <c r="C326" s="22" t="s">
        <v>364</v>
      </c>
      <c r="D326" s="22" t="str">
        <f>PROPER(TRIM(Raw_Data!D326))</f>
        <v>China</v>
      </c>
      <c r="E326" s="22" t="s">
        <v>83</v>
      </c>
      <c r="F326" s="22" t="s">
        <v>52</v>
      </c>
      <c r="G326" s="66">
        <v>10</v>
      </c>
      <c r="H326" s="2">
        <v>44.2</v>
      </c>
      <c r="I326" s="64">
        <f>PRODUCT(Table13[[#This Row],[Quantity]:[Unit_Price]])</f>
        <v>442</v>
      </c>
      <c r="J326" s="2">
        <v>18.45</v>
      </c>
      <c r="K326" s="2">
        <v>143.55000000000001</v>
      </c>
      <c r="L326" s="22" t="s">
        <v>19</v>
      </c>
      <c r="M326" s="22" t="s">
        <v>20</v>
      </c>
      <c r="N326" s="22" t="s">
        <v>58</v>
      </c>
      <c r="O326" s="64">
        <f>VLOOKUP($E326,Products!$B$2:$F$11,5,0)</f>
        <v>28</v>
      </c>
      <c r="P326" s="64">
        <f>PRODUCT(Table13[[#This Row],[Quantity]],Table13[[#This Row],[Unit_Cost]])</f>
        <v>280</v>
      </c>
      <c r="Q326" s="65">
        <f>Table13[[#This Row],[Profit]]/Table13[[#This Row],[Total_Sales]]</f>
        <v>0.32477375565610861</v>
      </c>
      <c r="R326" s="1"/>
      <c r="S326" s="1"/>
      <c r="T326" s="1"/>
    </row>
    <row r="327" spans="1:20" x14ac:dyDescent="0.25">
      <c r="A327" s="22" t="s">
        <v>478</v>
      </c>
      <c r="B327" s="63">
        <v>45635</v>
      </c>
      <c r="C327" s="22" t="s">
        <v>209</v>
      </c>
      <c r="D327" s="22" t="str">
        <f>PROPER(TRIM(Raw_Data!D327))</f>
        <v>China</v>
      </c>
      <c r="E327" s="22" t="s">
        <v>17</v>
      </c>
      <c r="F327" s="22" t="s">
        <v>18</v>
      </c>
      <c r="G327" s="66">
        <v>11</v>
      </c>
      <c r="H327" s="2">
        <v>60.9</v>
      </c>
      <c r="I327" s="64">
        <f>PRODUCT(Table13[[#This Row],[Quantity]:[Unit_Price]])</f>
        <v>669.9</v>
      </c>
      <c r="J327" s="2">
        <v>26.28</v>
      </c>
      <c r="K327" s="2">
        <v>258.62</v>
      </c>
      <c r="L327" s="22" t="s">
        <v>26</v>
      </c>
      <c r="M327" s="22" t="s">
        <v>27</v>
      </c>
      <c r="N327" s="22" t="s">
        <v>58</v>
      </c>
      <c r="O327" s="64">
        <f>VLOOKUP($E327,Products!$B$2:$F$11,5,0)</f>
        <v>35</v>
      </c>
      <c r="P327" s="64">
        <f>PRODUCT(Table13[[#This Row],[Quantity]],Table13[[#This Row],[Unit_Cost]])</f>
        <v>385</v>
      </c>
      <c r="Q327" s="65">
        <f>Table13[[#This Row],[Profit]]/Table13[[#This Row],[Total_Sales]]</f>
        <v>0.38605762054037918</v>
      </c>
      <c r="R327" s="1"/>
      <c r="S327" s="1"/>
      <c r="T327" s="1"/>
    </row>
    <row r="328" spans="1:20" x14ac:dyDescent="0.25">
      <c r="A328" s="22" t="s">
        <v>479</v>
      </c>
      <c r="B328" s="63">
        <v>45545</v>
      </c>
      <c r="C328" s="22" t="s">
        <v>54</v>
      </c>
      <c r="D328" s="22" t="str">
        <f>PROPER(TRIM(Raw_Data!D328))</f>
        <v>Uae</v>
      </c>
      <c r="E328" s="22" t="s">
        <v>63</v>
      </c>
      <c r="F328" s="22" t="s">
        <v>37</v>
      </c>
      <c r="G328" s="66">
        <v>26</v>
      </c>
      <c r="H328" s="2">
        <v>22.32</v>
      </c>
      <c r="I328" s="64">
        <f>PRODUCT(Table13[[#This Row],[Quantity]:[Unit_Price]])</f>
        <v>580.32000000000005</v>
      </c>
      <c r="J328" s="2">
        <v>45.08</v>
      </c>
      <c r="K328" s="2">
        <v>203.74</v>
      </c>
      <c r="L328" s="22" t="s">
        <v>26</v>
      </c>
      <c r="M328" s="22" t="s">
        <v>27</v>
      </c>
      <c r="N328" s="22" t="s">
        <v>58</v>
      </c>
      <c r="O328" s="64">
        <f>VLOOKUP($E328,Products!$B$2:$F$11,5,0)</f>
        <v>12.75</v>
      </c>
      <c r="P328" s="64">
        <f>PRODUCT(Table13[[#This Row],[Quantity]],Table13[[#This Row],[Unit_Cost]])</f>
        <v>331.5</v>
      </c>
      <c r="Q328" s="65">
        <f>Table13[[#This Row],[Profit]]/Table13[[#This Row],[Total_Sales]]</f>
        <v>0.3510821615660325</v>
      </c>
      <c r="R328" s="1"/>
      <c r="S328" s="1"/>
      <c r="T328" s="1"/>
    </row>
    <row r="329" spans="1:20" x14ac:dyDescent="0.25">
      <c r="A329" s="22" t="s">
        <v>480</v>
      </c>
      <c r="B329" s="63">
        <v>45680</v>
      </c>
      <c r="C329" s="22" t="s">
        <v>261</v>
      </c>
      <c r="D329" s="22" t="str">
        <f>PROPER(TRIM(Raw_Data!D329))</f>
        <v>China</v>
      </c>
      <c r="E329" s="22" t="s">
        <v>83</v>
      </c>
      <c r="F329" s="22" t="s">
        <v>52</v>
      </c>
      <c r="G329" s="66">
        <v>46</v>
      </c>
      <c r="H329" s="2">
        <v>41.89</v>
      </c>
      <c r="I329" s="64">
        <f>PRODUCT(Table13[[#This Row],[Quantity]:[Unit_Price]])</f>
        <v>1926.94</v>
      </c>
      <c r="J329" s="2">
        <v>97.39</v>
      </c>
      <c r="K329" s="2">
        <v>541.54999999999995</v>
      </c>
      <c r="L329" s="22" t="s">
        <v>19</v>
      </c>
      <c r="M329" s="22" t="s">
        <v>32</v>
      </c>
      <c r="N329" s="22" t="s">
        <v>58</v>
      </c>
      <c r="O329" s="64">
        <f>VLOOKUP($E329,Products!$B$2:$F$11,5,0)</f>
        <v>28</v>
      </c>
      <c r="P329" s="64">
        <f>PRODUCT(Table13[[#This Row],[Quantity]],Table13[[#This Row],[Unit_Cost]])</f>
        <v>1288</v>
      </c>
      <c r="Q329" s="65">
        <f>Table13[[#This Row],[Profit]]/Table13[[#This Row],[Total_Sales]]</f>
        <v>0.28104144394739844</v>
      </c>
      <c r="R329" s="1"/>
      <c r="S329" s="1"/>
      <c r="T329" s="1"/>
    </row>
    <row r="330" spans="1:20" x14ac:dyDescent="0.25">
      <c r="A330" s="22" t="s">
        <v>481</v>
      </c>
      <c r="B330" s="63">
        <v>45592</v>
      </c>
      <c r="C330" s="22" t="s">
        <v>173</v>
      </c>
      <c r="D330" s="22" t="str">
        <f>PROPER(TRIM(Raw_Data!D330))</f>
        <v>Uk</v>
      </c>
      <c r="E330" s="22" t="s">
        <v>63</v>
      </c>
      <c r="F330" s="22" t="s">
        <v>37</v>
      </c>
      <c r="G330" s="66">
        <v>43</v>
      </c>
      <c r="H330" s="2">
        <v>21.24</v>
      </c>
      <c r="I330" s="64">
        <f>PRODUCT(Table13[[#This Row],[Quantity]:[Unit_Price]])</f>
        <v>913.31999999999994</v>
      </c>
      <c r="J330" s="2">
        <v>50.32</v>
      </c>
      <c r="K330" s="2">
        <v>314.75</v>
      </c>
      <c r="L330" s="22" t="s">
        <v>26</v>
      </c>
      <c r="M330" s="22" t="s">
        <v>20</v>
      </c>
      <c r="N330" s="22" t="s">
        <v>28</v>
      </c>
      <c r="O330" s="64">
        <f>VLOOKUP($E330,Products!$B$2:$F$11,5,0)</f>
        <v>12.75</v>
      </c>
      <c r="P330" s="64">
        <f>PRODUCT(Table13[[#This Row],[Quantity]],Table13[[#This Row],[Unit_Cost]])</f>
        <v>548.25</v>
      </c>
      <c r="Q330" s="65">
        <f>Table13[[#This Row],[Profit]]/Table13[[#This Row],[Total_Sales]]</f>
        <v>0.3446218192966321</v>
      </c>
      <c r="R330" s="1"/>
      <c r="S330" s="1"/>
      <c r="T330" s="1"/>
    </row>
    <row r="331" spans="1:20" x14ac:dyDescent="0.25">
      <c r="A331" s="22" t="s">
        <v>482</v>
      </c>
      <c r="B331" s="63">
        <v>45360</v>
      </c>
      <c r="C331" s="22" t="s">
        <v>483</v>
      </c>
      <c r="D331" s="22" t="str">
        <f>PROPER(TRIM(Raw_Data!D331))</f>
        <v>Germany</v>
      </c>
      <c r="E331" s="22" t="s">
        <v>51</v>
      </c>
      <c r="F331" s="22" t="s">
        <v>52</v>
      </c>
      <c r="G331" s="66">
        <v>28</v>
      </c>
      <c r="H331" s="2">
        <v>33.700000000000003</v>
      </c>
      <c r="I331" s="64">
        <f>PRODUCT(Table13[[#This Row],[Quantity]:[Unit_Price]])</f>
        <v>943.60000000000014</v>
      </c>
      <c r="J331" s="2">
        <v>20.170000000000002</v>
      </c>
      <c r="K331" s="2">
        <v>293.43</v>
      </c>
      <c r="L331" s="22" t="s">
        <v>19</v>
      </c>
      <c r="M331" s="22" t="s">
        <v>27</v>
      </c>
      <c r="N331" s="22" t="s">
        <v>28</v>
      </c>
      <c r="O331" s="64">
        <f>VLOOKUP($E331,Products!$B$2:$F$11,5,0)</f>
        <v>22.5</v>
      </c>
      <c r="P331" s="64">
        <f>PRODUCT(Table13[[#This Row],[Quantity]],Table13[[#This Row],[Unit_Cost]])</f>
        <v>630</v>
      </c>
      <c r="Q331" s="65">
        <f>Table13[[#This Row],[Profit]]/Table13[[#This Row],[Total_Sales]]</f>
        <v>0.31096863077575237</v>
      </c>
      <c r="R331" s="1"/>
      <c r="S331" s="1"/>
      <c r="T331" s="1"/>
    </row>
    <row r="332" spans="1:20" x14ac:dyDescent="0.25">
      <c r="A332" s="22" t="s">
        <v>484</v>
      </c>
      <c r="B332" s="63">
        <v>45519</v>
      </c>
      <c r="C332" s="22" t="s">
        <v>211</v>
      </c>
      <c r="D332" s="22" t="str">
        <f>PROPER(TRIM(Raw_Data!D332))</f>
        <v>India</v>
      </c>
      <c r="E332" s="22" t="s">
        <v>17</v>
      </c>
      <c r="F332" s="22" t="s">
        <v>18</v>
      </c>
      <c r="G332" s="66">
        <v>41</v>
      </c>
      <c r="H332" s="2">
        <v>42.74</v>
      </c>
      <c r="I332" s="64">
        <f>PRODUCT(Table13[[#This Row],[Quantity]:[Unit_Price]])</f>
        <v>1752.3400000000001</v>
      </c>
      <c r="J332" s="2">
        <v>92.09</v>
      </c>
      <c r="K332" s="2">
        <v>225.25</v>
      </c>
      <c r="L332" s="22" t="s">
        <v>38</v>
      </c>
      <c r="M332" s="22" t="s">
        <v>20</v>
      </c>
      <c r="N332" s="22" t="s">
        <v>58</v>
      </c>
      <c r="O332" s="64">
        <f>VLOOKUP($E332,Products!$B$2:$F$11,5,0)</f>
        <v>35</v>
      </c>
      <c r="P332" s="64">
        <f>PRODUCT(Table13[[#This Row],[Quantity]],Table13[[#This Row],[Unit_Cost]])</f>
        <v>1435</v>
      </c>
      <c r="Q332" s="65">
        <f>Table13[[#This Row],[Profit]]/Table13[[#This Row],[Total_Sales]]</f>
        <v>0.12854240615405685</v>
      </c>
      <c r="R332" s="1"/>
      <c r="S332" s="1"/>
      <c r="T332" s="1"/>
    </row>
    <row r="333" spans="1:20" x14ac:dyDescent="0.25">
      <c r="A333" s="22" t="s">
        <v>485</v>
      </c>
      <c r="B333" s="63">
        <v>45559</v>
      </c>
      <c r="C333" s="22" t="s">
        <v>410</v>
      </c>
      <c r="D333" s="22" t="str">
        <f>PROPER(TRIM(Raw_Data!D333))</f>
        <v>Uk</v>
      </c>
      <c r="E333" s="22" t="s">
        <v>48</v>
      </c>
      <c r="F333" s="22" t="s">
        <v>37</v>
      </c>
      <c r="G333" s="66">
        <v>24</v>
      </c>
      <c r="H333" s="2">
        <v>30.18</v>
      </c>
      <c r="I333" s="64">
        <f>PRODUCT(Table13[[#This Row],[Quantity]:[Unit_Price]])</f>
        <v>724.31999999999994</v>
      </c>
      <c r="J333" s="2">
        <v>44.97</v>
      </c>
      <c r="K333" s="2">
        <v>199.35</v>
      </c>
      <c r="L333" s="22" t="s">
        <v>19</v>
      </c>
      <c r="M333" s="22" t="s">
        <v>20</v>
      </c>
      <c r="N333" s="22" t="s">
        <v>28</v>
      </c>
      <c r="O333" s="64">
        <f>VLOOKUP($E333,Products!$B$2:$F$11,5,0)</f>
        <v>20</v>
      </c>
      <c r="P333" s="64">
        <f>PRODUCT(Table13[[#This Row],[Quantity]],Table13[[#This Row],[Unit_Cost]])</f>
        <v>480</v>
      </c>
      <c r="Q333" s="65">
        <f>Table13[[#This Row],[Profit]]/Table13[[#This Row],[Total_Sales]]</f>
        <v>0.27522365805168986</v>
      </c>
      <c r="R333" s="1"/>
      <c r="S333" s="1"/>
      <c r="T333" s="1"/>
    </row>
    <row r="334" spans="1:20" x14ac:dyDescent="0.25">
      <c r="A334" s="22" t="s">
        <v>486</v>
      </c>
      <c r="B334" s="63">
        <v>45692</v>
      </c>
      <c r="C334" s="22" t="s">
        <v>110</v>
      </c>
      <c r="D334" s="22" t="str">
        <f>PROPER(TRIM(Raw_Data!D334))</f>
        <v>Japan</v>
      </c>
      <c r="E334" s="22" t="s">
        <v>60</v>
      </c>
      <c r="F334" s="22" t="s">
        <v>52</v>
      </c>
      <c r="G334" s="66">
        <v>44</v>
      </c>
      <c r="H334" s="2">
        <v>20.02</v>
      </c>
      <c r="I334" s="64">
        <f>PRODUCT(Table13[[#This Row],[Quantity]:[Unit_Price]])</f>
        <v>880.88</v>
      </c>
      <c r="J334" s="2">
        <v>60.27</v>
      </c>
      <c r="K334" s="2">
        <v>138.61000000000001</v>
      </c>
      <c r="L334" s="22" t="s">
        <v>26</v>
      </c>
      <c r="M334" s="22" t="s">
        <v>27</v>
      </c>
      <c r="N334" s="22" t="s">
        <v>58</v>
      </c>
      <c r="O334" s="64">
        <f>VLOOKUP($E334,Products!$B$2:$F$11,5,0)</f>
        <v>15.5</v>
      </c>
      <c r="P334" s="64">
        <f>PRODUCT(Table13[[#This Row],[Quantity]],Table13[[#This Row],[Unit_Cost]])</f>
        <v>682</v>
      </c>
      <c r="Q334" s="65">
        <f>Table13[[#This Row],[Profit]]/Table13[[#This Row],[Total_Sales]]</f>
        <v>0.15735400962673693</v>
      </c>
      <c r="R334" s="1"/>
      <c r="S334" s="1"/>
      <c r="T334" s="1"/>
    </row>
    <row r="335" spans="1:20" x14ac:dyDescent="0.25">
      <c r="A335" s="22" t="s">
        <v>487</v>
      </c>
      <c r="B335" s="63">
        <v>45522</v>
      </c>
      <c r="C335" s="22" t="s">
        <v>108</v>
      </c>
      <c r="D335" s="22" t="str">
        <f>PROPER(TRIM(Raw_Data!D335))</f>
        <v>Uk</v>
      </c>
      <c r="E335" s="22" t="s">
        <v>48</v>
      </c>
      <c r="F335" s="22" t="s">
        <v>37</v>
      </c>
      <c r="G335" s="66">
        <v>12</v>
      </c>
      <c r="H335" s="2">
        <v>27.45</v>
      </c>
      <c r="I335" s="64">
        <f>PRODUCT(Table13[[#This Row],[Quantity]:[Unit_Price]])</f>
        <v>329.4</v>
      </c>
      <c r="J335" s="2">
        <v>13.22</v>
      </c>
      <c r="K335" s="2">
        <v>76.180000000000007</v>
      </c>
      <c r="L335" s="22" t="s">
        <v>38</v>
      </c>
      <c r="M335" s="22" t="s">
        <v>32</v>
      </c>
      <c r="N335" s="22" t="s">
        <v>28</v>
      </c>
      <c r="O335" s="64">
        <f>VLOOKUP($E335,Products!$B$2:$F$11,5,0)</f>
        <v>20</v>
      </c>
      <c r="P335" s="64">
        <f>PRODUCT(Table13[[#This Row],[Quantity]],Table13[[#This Row],[Unit_Cost]])</f>
        <v>240</v>
      </c>
      <c r="Q335" s="65">
        <f>Table13[[#This Row],[Profit]]/Table13[[#This Row],[Total_Sales]]</f>
        <v>0.23126897389192475</v>
      </c>
      <c r="R335" s="1"/>
      <c r="S335" s="1"/>
      <c r="T335" s="1"/>
    </row>
    <row r="336" spans="1:20" x14ac:dyDescent="0.25">
      <c r="A336" s="22" t="s">
        <v>488</v>
      </c>
      <c r="B336" s="63">
        <v>45614</v>
      </c>
      <c r="C336" s="22" t="s">
        <v>89</v>
      </c>
      <c r="D336" s="22" t="str">
        <f>PROPER(TRIM(Raw_Data!D336))</f>
        <v>South Africa</v>
      </c>
      <c r="E336" s="22" t="s">
        <v>48</v>
      </c>
      <c r="F336" s="22" t="s">
        <v>37</v>
      </c>
      <c r="G336" s="66">
        <v>26</v>
      </c>
      <c r="H336" s="2">
        <v>30.57</v>
      </c>
      <c r="I336" s="64">
        <f>PRODUCT(Table13[[#This Row],[Quantity]:[Unit_Price]])</f>
        <v>794.82</v>
      </c>
      <c r="J336" s="2">
        <v>19.45</v>
      </c>
      <c r="K336" s="2">
        <v>255.37</v>
      </c>
      <c r="L336" s="22" t="s">
        <v>38</v>
      </c>
      <c r="M336" s="22" t="s">
        <v>27</v>
      </c>
      <c r="N336" s="22" t="s">
        <v>87</v>
      </c>
      <c r="O336" s="64">
        <f>VLOOKUP($E336,Products!$B$2:$F$11,5,0)</f>
        <v>20</v>
      </c>
      <c r="P336" s="64">
        <f>PRODUCT(Table13[[#This Row],[Quantity]],Table13[[#This Row],[Unit_Cost]])</f>
        <v>520</v>
      </c>
      <c r="Q336" s="65">
        <f>Table13[[#This Row],[Profit]]/Table13[[#This Row],[Total_Sales]]</f>
        <v>0.32129287134193907</v>
      </c>
      <c r="R336" s="1"/>
      <c r="S336" s="1"/>
      <c r="T336" s="1"/>
    </row>
    <row r="337" spans="1:20" x14ac:dyDescent="0.25">
      <c r="A337" s="22" t="s">
        <v>489</v>
      </c>
      <c r="B337" s="63">
        <v>45539</v>
      </c>
      <c r="C337" s="22" t="s">
        <v>115</v>
      </c>
      <c r="D337" s="22" t="str">
        <f>PROPER(TRIM(Raw_Data!D337))</f>
        <v>Japan</v>
      </c>
      <c r="E337" s="22" t="s">
        <v>56</v>
      </c>
      <c r="F337" s="22" t="s">
        <v>57</v>
      </c>
      <c r="G337" s="66">
        <v>46</v>
      </c>
      <c r="H337" s="2">
        <v>32.19</v>
      </c>
      <c r="I337" s="64">
        <f>PRODUCT(Table13[[#This Row],[Quantity]:[Unit_Price]])</f>
        <v>1480.7399999999998</v>
      </c>
      <c r="J337" s="2">
        <v>111.13</v>
      </c>
      <c r="K337" s="2">
        <v>219.61</v>
      </c>
      <c r="L337" s="22" t="s">
        <v>38</v>
      </c>
      <c r="M337" s="22" t="s">
        <v>27</v>
      </c>
      <c r="N337" s="22" t="s">
        <v>58</v>
      </c>
      <c r="O337" s="64">
        <f>VLOOKUP($E337,Products!$B$2:$F$11,5,0)</f>
        <v>25</v>
      </c>
      <c r="P337" s="64">
        <f>PRODUCT(Table13[[#This Row],[Quantity]],Table13[[#This Row],[Unit_Cost]])</f>
        <v>1150</v>
      </c>
      <c r="Q337" s="65">
        <f>Table13[[#This Row],[Profit]]/Table13[[#This Row],[Total_Sales]]</f>
        <v>0.14831097964531251</v>
      </c>
      <c r="R337" s="1"/>
      <c r="S337" s="1"/>
      <c r="T337" s="1"/>
    </row>
    <row r="338" spans="1:20" x14ac:dyDescent="0.25">
      <c r="A338" s="22" t="s">
        <v>490</v>
      </c>
      <c r="B338" s="63">
        <v>45734</v>
      </c>
      <c r="C338" s="22" t="s">
        <v>85</v>
      </c>
      <c r="D338" s="22" t="str">
        <f>PROPER(TRIM(Raw_Data!D338))</f>
        <v>Singapore</v>
      </c>
      <c r="E338" s="22" t="s">
        <v>25</v>
      </c>
      <c r="F338" s="22" t="s">
        <v>18</v>
      </c>
      <c r="G338" s="66">
        <v>20</v>
      </c>
      <c r="H338" s="2">
        <v>31.79</v>
      </c>
      <c r="I338" s="64">
        <f>PRODUCT(Table13[[#This Row],[Quantity]:[Unit_Price]])</f>
        <v>635.79999999999995</v>
      </c>
      <c r="J338" s="2">
        <v>38.43</v>
      </c>
      <c r="K338" s="2">
        <v>237.37</v>
      </c>
      <c r="L338" s="22" t="s">
        <v>19</v>
      </c>
      <c r="M338" s="22" t="s">
        <v>27</v>
      </c>
      <c r="N338" s="22" t="s">
        <v>58</v>
      </c>
      <c r="O338" s="64">
        <f>VLOOKUP($E338,Products!$B$2:$F$11,5,0)</f>
        <v>18</v>
      </c>
      <c r="P338" s="64">
        <f>PRODUCT(Table13[[#This Row],[Quantity]],Table13[[#This Row],[Unit_Cost]])</f>
        <v>360</v>
      </c>
      <c r="Q338" s="65">
        <f>Table13[[#This Row],[Profit]]/Table13[[#This Row],[Total_Sales]]</f>
        <v>0.37334067316766284</v>
      </c>
      <c r="R338" s="1"/>
      <c r="S338" s="1"/>
      <c r="T338" s="1"/>
    </row>
    <row r="339" spans="1:20" x14ac:dyDescent="0.25">
      <c r="A339" s="22" t="s">
        <v>491</v>
      </c>
      <c r="B339" s="63">
        <v>45735</v>
      </c>
      <c r="C339" s="22" t="s">
        <v>15</v>
      </c>
      <c r="D339" s="22" t="str">
        <f>PROPER(TRIM(Raw_Data!D339))</f>
        <v>Australia</v>
      </c>
      <c r="E339" s="22" t="s">
        <v>25</v>
      </c>
      <c r="F339" s="22" t="s">
        <v>18</v>
      </c>
      <c r="G339" s="66">
        <v>8</v>
      </c>
      <c r="H339" s="2">
        <v>28.94</v>
      </c>
      <c r="I339" s="64">
        <f>PRODUCT(Table13[[#This Row],[Quantity]:[Unit_Price]])</f>
        <v>231.52</v>
      </c>
      <c r="J339" s="2">
        <v>7</v>
      </c>
      <c r="K339" s="2">
        <v>80.52</v>
      </c>
      <c r="L339" s="22" t="s">
        <v>38</v>
      </c>
      <c r="M339" s="22" t="s">
        <v>27</v>
      </c>
      <c r="N339" s="22" t="s">
        <v>130</v>
      </c>
      <c r="O339" s="64">
        <f>VLOOKUP($E339,Products!$B$2:$F$11,5,0)</f>
        <v>18</v>
      </c>
      <c r="P339" s="64">
        <f>PRODUCT(Table13[[#This Row],[Quantity]],Table13[[#This Row],[Unit_Cost]])</f>
        <v>144</v>
      </c>
      <c r="Q339" s="65">
        <f>Table13[[#This Row],[Profit]]/Table13[[#This Row],[Total_Sales]]</f>
        <v>0.34778852798894261</v>
      </c>
      <c r="R339" s="1"/>
      <c r="S339" s="1"/>
      <c r="T339" s="1"/>
    </row>
    <row r="340" spans="1:20" x14ac:dyDescent="0.25">
      <c r="A340" s="22" t="s">
        <v>492</v>
      </c>
      <c r="B340" s="63">
        <v>45577</v>
      </c>
      <c r="C340" s="22" t="s">
        <v>211</v>
      </c>
      <c r="D340" s="22" t="str">
        <f>PROPER(TRIM(Raw_Data!D340))</f>
        <v>France</v>
      </c>
      <c r="E340" s="22" t="s">
        <v>25</v>
      </c>
      <c r="F340" s="22" t="s">
        <v>18</v>
      </c>
      <c r="G340" s="66">
        <v>40</v>
      </c>
      <c r="H340" s="2">
        <v>30.66</v>
      </c>
      <c r="I340" s="64">
        <f>PRODUCT(Table13[[#This Row],[Quantity]:[Unit_Price]])</f>
        <v>1226.4000000000001</v>
      </c>
      <c r="J340" s="2">
        <v>85.24</v>
      </c>
      <c r="K340" s="2">
        <v>421.16</v>
      </c>
      <c r="L340" s="22" t="s">
        <v>19</v>
      </c>
      <c r="M340" s="22" t="s">
        <v>20</v>
      </c>
      <c r="N340" s="22" t="s">
        <v>28</v>
      </c>
      <c r="O340" s="64">
        <f>VLOOKUP($E340,Products!$B$2:$F$11,5,0)</f>
        <v>18</v>
      </c>
      <c r="P340" s="64">
        <f>PRODUCT(Table13[[#This Row],[Quantity]],Table13[[#This Row],[Unit_Cost]])</f>
        <v>720</v>
      </c>
      <c r="Q340" s="65">
        <f>Table13[[#This Row],[Profit]]/Table13[[#This Row],[Total_Sales]]</f>
        <v>0.34341161121983038</v>
      </c>
      <c r="R340" s="1"/>
      <c r="S340" s="1"/>
      <c r="T340" s="1"/>
    </row>
    <row r="341" spans="1:20" x14ac:dyDescent="0.25">
      <c r="A341" s="22" t="s">
        <v>493</v>
      </c>
      <c r="B341" s="63">
        <v>45724</v>
      </c>
      <c r="C341" s="22" t="s">
        <v>342</v>
      </c>
      <c r="D341" s="22" t="str">
        <f>PROPER(TRIM(Raw_Data!D341))</f>
        <v>Australia</v>
      </c>
      <c r="E341" s="22" t="s">
        <v>36</v>
      </c>
      <c r="F341" s="22" t="s">
        <v>37</v>
      </c>
      <c r="G341" s="66">
        <v>44</v>
      </c>
      <c r="H341" s="2">
        <v>54.09</v>
      </c>
      <c r="I341" s="64">
        <f>PRODUCT(Table13[[#This Row],[Quantity]:[Unit_Price]])</f>
        <v>2379.96</v>
      </c>
      <c r="J341" s="2">
        <v>106.39</v>
      </c>
      <c r="K341" s="2">
        <v>865.57</v>
      </c>
      <c r="L341" s="22" t="s">
        <v>19</v>
      </c>
      <c r="M341" s="22" t="s">
        <v>27</v>
      </c>
      <c r="N341" s="22" t="s">
        <v>130</v>
      </c>
      <c r="O341" s="64">
        <f>VLOOKUP($E341,Products!$B$2:$F$11,5,0)</f>
        <v>32</v>
      </c>
      <c r="P341" s="64">
        <f>PRODUCT(Table13[[#This Row],[Quantity]],Table13[[#This Row],[Unit_Cost]])</f>
        <v>1408</v>
      </c>
      <c r="Q341" s="65">
        <f>Table13[[#This Row],[Profit]]/Table13[[#This Row],[Total_Sales]]</f>
        <v>0.36369098640313285</v>
      </c>
      <c r="R341" s="1"/>
      <c r="S341" s="1"/>
      <c r="T341" s="1"/>
    </row>
    <row r="342" spans="1:20" x14ac:dyDescent="0.25">
      <c r="A342" s="22" t="s">
        <v>494</v>
      </c>
      <c r="B342" s="63">
        <v>45707</v>
      </c>
      <c r="C342" s="22" t="s">
        <v>110</v>
      </c>
      <c r="D342" s="22" t="str">
        <f>PROPER(TRIM(Raw_Data!D342))</f>
        <v>Singapore</v>
      </c>
      <c r="E342" s="22" t="s">
        <v>43</v>
      </c>
      <c r="F342" s="22" t="s">
        <v>44</v>
      </c>
      <c r="G342" s="66">
        <v>32</v>
      </c>
      <c r="H342" s="2">
        <v>68.89</v>
      </c>
      <c r="I342" s="64">
        <f>PRODUCT(Table13[[#This Row],[Quantity]:[Unit_Price]])</f>
        <v>2204.48</v>
      </c>
      <c r="J342" s="2">
        <v>152.05000000000001</v>
      </c>
      <c r="K342" s="2">
        <v>772.43</v>
      </c>
      <c r="L342" s="22" t="s">
        <v>19</v>
      </c>
      <c r="M342" s="22" t="s">
        <v>27</v>
      </c>
      <c r="N342" s="22" t="s">
        <v>58</v>
      </c>
      <c r="O342" s="64">
        <f>VLOOKUP($E342,Products!$B$2:$F$11,5,0)</f>
        <v>40</v>
      </c>
      <c r="P342" s="64">
        <f>PRODUCT(Table13[[#This Row],[Quantity]],Table13[[#This Row],[Unit_Cost]])</f>
        <v>1280</v>
      </c>
      <c r="Q342" s="65">
        <f>Table13[[#This Row],[Profit]]/Table13[[#This Row],[Total_Sales]]</f>
        <v>0.35039102191900129</v>
      </c>
      <c r="R342" s="1"/>
      <c r="S342" s="1"/>
      <c r="T342" s="1"/>
    </row>
    <row r="343" spans="1:20" x14ac:dyDescent="0.25">
      <c r="A343" s="22" t="s">
        <v>495</v>
      </c>
      <c r="B343" s="63">
        <v>45423</v>
      </c>
      <c r="C343" s="22" t="s">
        <v>465</v>
      </c>
      <c r="D343" s="22" t="str">
        <f>PROPER(TRIM(Raw_Data!D343))</f>
        <v>India</v>
      </c>
      <c r="E343" s="22" t="s">
        <v>17</v>
      </c>
      <c r="F343" s="22" t="s">
        <v>18</v>
      </c>
      <c r="G343" s="66">
        <v>44</v>
      </c>
      <c r="H343" s="2">
        <v>43.35</v>
      </c>
      <c r="I343" s="64">
        <f>PRODUCT(Table13[[#This Row],[Quantity]:[Unit_Price]])</f>
        <v>1907.4</v>
      </c>
      <c r="J343" s="2">
        <v>99.05</v>
      </c>
      <c r="K343" s="2">
        <v>268.35000000000002</v>
      </c>
      <c r="L343" s="22" t="s">
        <v>38</v>
      </c>
      <c r="M343" s="22" t="s">
        <v>27</v>
      </c>
      <c r="N343" s="22" t="s">
        <v>58</v>
      </c>
      <c r="O343" s="64">
        <f>VLOOKUP($E343,Products!$B$2:$F$11,5,0)</f>
        <v>35</v>
      </c>
      <c r="P343" s="64">
        <f>PRODUCT(Table13[[#This Row],[Quantity]],Table13[[#This Row],[Unit_Cost]])</f>
        <v>1540</v>
      </c>
      <c r="Q343" s="65">
        <f>Table13[[#This Row],[Profit]]/Table13[[#This Row],[Total_Sales]]</f>
        <v>0.1406888958792073</v>
      </c>
      <c r="R343" s="1"/>
      <c r="S343" s="1"/>
      <c r="T343" s="1"/>
    </row>
    <row r="344" spans="1:20" x14ac:dyDescent="0.25">
      <c r="A344" s="22" t="s">
        <v>496</v>
      </c>
      <c r="B344" s="63">
        <v>45490</v>
      </c>
      <c r="C344" s="22" t="s">
        <v>23</v>
      </c>
      <c r="D344" s="22" t="str">
        <f>PROPER(TRIM(Raw_Data!D344))</f>
        <v>Mexico</v>
      </c>
      <c r="E344" s="22" t="s">
        <v>83</v>
      </c>
      <c r="F344" s="22" t="s">
        <v>52</v>
      </c>
      <c r="G344" s="66">
        <v>24</v>
      </c>
      <c r="H344" s="2">
        <v>34</v>
      </c>
      <c r="I344" s="64">
        <f>PRODUCT(Table13[[#This Row],[Quantity]:[Unit_Price]])</f>
        <v>816</v>
      </c>
      <c r="J344" s="2">
        <v>42.15</v>
      </c>
      <c r="K344" s="2">
        <v>101.85</v>
      </c>
      <c r="L344" s="22" t="s">
        <v>38</v>
      </c>
      <c r="M344" s="22" t="s">
        <v>20</v>
      </c>
      <c r="N344" s="22" t="s">
        <v>21</v>
      </c>
      <c r="O344" s="64">
        <f>VLOOKUP($E344,Products!$B$2:$F$11,5,0)</f>
        <v>28</v>
      </c>
      <c r="P344" s="64">
        <f>PRODUCT(Table13[[#This Row],[Quantity]],Table13[[#This Row],[Unit_Cost]])</f>
        <v>672</v>
      </c>
      <c r="Q344" s="65">
        <f>Table13[[#This Row],[Profit]]/Table13[[#This Row],[Total_Sales]]</f>
        <v>0.12481617647058822</v>
      </c>
      <c r="R344" s="1"/>
      <c r="S344" s="1"/>
      <c r="T344" s="1"/>
    </row>
    <row r="345" spans="1:20" x14ac:dyDescent="0.25">
      <c r="A345" s="22" t="s">
        <v>497</v>
      </c>
      <c r="B345" s="63">
        <v>45347</v>
      </c>
      <c r="C345" s="22" t="s">
        <v>149</v>
      </c>
      <c r="D345" s="22" t="str">
        <f>PROPER(TRIM(Raw_Data!D345))</f>
        <v>China</v>
      </c>
      <c r="E345" s="22" t="s">
        <v>25</v>
      </c>
      <c r="F345" s="22" t="s">
        <v>18</v>
      </c>
      <c r="G345" s="66">
        <v>41</v>
      </c>
      <c r="H345" s="2">
        <v>30.25</v>
      </c>
      <c r="I345" s="64">
        <f>PRODUCT(Table13[[#This Row],[Quantity]:[Unit_Price]])</f>
        <v>1240.25</v>
      </c>
      <c r="J345" s="2">
        <v>92.86</v>
      </c>
      <c r="K345" s="2">
        <v>409.39</v>
      </c>
      <c r="L345" s="22" t="s">
        <v>19</v>
      </c>
      <c r="M345" s="22" t="s">
        <v>20</v>
      </c>
      <c r="N345" s="22" t="s">
        <v>58</v>
      </c>
      <c r="O345" s="64">
        <f>VLOOKUP($E345,Products!$B$2:$F$11,5,0)</f>
        <v>18</v>
      </c>
      <c r="P345" s="64">
        <f>PRODUCT(Table13[[#This Row],[Quantity]],Table13[[#This Row],[Unit_Cost]])</f>
        <v>738</v>
      </c>
      <c r="Q345" s="65">
        <f>Table13[[#This Row],[Profit]]/Table13[[#This Row],[Total_Sales]]</f>
        <v>0.33008667607337228</v>
      </c>
      <c r="R345" s="1"/>
      <c r="S345" s="1"/>
      <c r="T345" s="1"/>
    </row>
    <row r="346" spans="1:20" x14ac:dyDescent="0.25">
      <c r="A346" s="22" t="s">
        <v>498</v>
      </c>
      <c r="B346" s="63">
        <v>45740</v>
      </c>
      <c r="C346" s="22" t="s">
        <v>15</v>
      </c>
      <c r="D346" s="22" t="str">
        <f>PROPER(TRIM(Raw_Data!D346))</f>
        <v>South Africa</v>
      </c>
      <c r="E346" s="22" t="s">
        <v>60</v>
      </c>
      <c r="F346" s="22" t="s">
        <v>52</v>
      </c>
      <c r="G346" s="66">
        <v>15</v>
      </c>
      <c r="H346" s="2">
        <v>23.71</v>
      </c>
      <c r="I346" s="64">
        <f>PRODUCT(Table13[[#This Row],[Quantity]:[Unit_Price]])</f>
        <v>355.65000000000003</v>
      </c>
      <c r="J346" s="2">
        <v>7.22</v>
      </c>
      <c r="K346" s="2">
        <v>115.93</v>
      </c>
      <c r="L346" s="22" t="s">
        <v>26</v>
      </c>
      <c r="M346" s="22" t="s">
        <v>27</v>
      </c>
      <c r="N346" s="22" t="s">
        <v>87</v>
      </c>
      <c r="O346" s="64">
        <f>VLOOKUP($E346,Products!$B$2:$F$11,5,0)</f>
        <v>15.5</v>
      </c>
      <c r="P346" s="64">
        <f>PRODUCT(Table13[[#This Row],[Quantity]],Table13[[#This Row],[Unit_Cost]])</f>
        <v>232.5</v>
      </c>
      <c r="Q346" s="65">
        <f>Table13[[#This Row],[Profit]]/Table13[[#This Row],[Total_Sales]]</f>
        <v>0.32596654013777587</v>
      </c>
      <c r="R346" s="1"/>
      <c r="S346" s="1"/>
      <c r="T346" s="1"/>
    </row>
    <row r="347" spans="1:20" x14ac:dyDescent="0.25">
      <c r="A347" s="22" t="s">
        <v>499</v>
      </c>
      <c r="B347" s="63">
        <v>45518</v>
      </c>
      <c r="C347" s="22" t="s">
        <v>123</v>
      </c>
      <c r="D347" s="22" t="str">
        <f>PROPER(TRIM(Raw_Data!D347))</f>
        <v>Singapore</v>
      </c>
      <c r="E347" s="22" t="s">
        <v>36</v>
      </c>
      <c r="F347" s="22" t="s">
        <v>37</v>
      </c>
      <c r="G347" s="66">
        <v>33</v>
      </c>
      <c r="H347" s="2">
        <v>48.64</v>
      </c>
      <c r="I347" s="64">
        <f>PRODUCT(Table13[[#This Row],[Quantity]:[Unit_Price]])</f>
        <v>1605.1200000000001</v>
      </c>
      <c r="J347" s="2">
        <v>98.71</v>
      </c>
      <c r="K347" s="2">
        <v>450.41</v>
      </c>
      <c r="L347" s="22" t="s">
        <v>19</v>
      </c>
      <c r="M347" s="22" t="s">
        <v>27</v>
      </c>
      <c r="N347" s="22" t="s">
        <v>58</v>
      </c>
      <c r="O347" s="64">
        <f>VLOOKUP($E347,Products!$B$2:$F$11,5,0)</f>
        <v>32</v>
      </c>
      <c r="P347" s="64">
        <f>PRODUCT(Table13[[#This Row],[Quantity]],Table13[[#This Row],[Unit_Cost]])</f>
        <v>1056</v>
      </c>
      <c r="Q347" s="65">
        <f>Table13[[#This Row],[Profit]]/Table13[[#This Row],[Total_Sales]]</f>
        <v>0.28060830342902709</v>
      </c>
      <c r="R347" s="1"/>
      <c r="S347" s="1"/>
      <c r="T347" s="1"/>
    </row>
    <row r="348" spans="1:20" x14ac:dyDescent="0.25">
      <c r="A348" s="22" t="s">
        <v>500</v>
      </c>
      <c r="B348" s="63">
        <v>45387</v>
      </c>
      <c r="C348" s="22" t="s">
        <v>34</v>
      </c>
      <c r="D348" s="22" t="str">
        <f>PROPER(TRIM(Raw_Data!D348))</f>
        <v>Germany</v>
      </c>
      <c r="E348" s="22" t="s">
        <v>17</v>
      </c>
      <c r="F348" s="22" t="s">
        <v>18</v>
      </c>
      <c r="G348" s="66">
        <v>7</v>
      </c>
      <c r="H348" s="2">
        <v>50.94</v>
      </c>
      <c r="I348" s="64">
        <f>PRODUCT(Table13[[#This Row],[Quantity]:[Unit_Price]])</f>
        <v>356.58</v>
      </c>
      <c r="J348" s="2">
        <v>11.19</v>
      </c>
      <c r="K348" s="2">
        <v>100.39</v>
      </c>
      <c r="L348" s="22" t="s">
        <v>26</v>
      </c>
      <c r="M348" s="22" t="s">
        <v>20</v>
      </c>
      <c r="N348" s="22" t="s">
        <v>28</v>
      </c>
      <c r="O348" s="64">
        <f>VLOOKUP($E348,Products!$B$2:$F$11,5,0)</f>
        <v>35</v>
      </c>
      <c r="P348" s="64">
        <f>PRODUCT(Table13[[#This Row],[Quantity]],Table13[[#This Row],[Unit_Cost]])</f>
        <v>245</v>
      </c>
      <c r="Q348" s="65">
        <f>Table13[[#This Row],[Profit]]/Table13[[#This Row],[Total_Sales]]</f>
        <v>0.28153570026361546</v>
      </c>
      <c r="R348" s="1"/>
      <c r="S348" s="1"/>
      <c r="T348" s="1"/>
    </row>
    <row r="349" spans="1:20" x14ac:dyDescent="0.25">
      <c r="A349" s="22" t="s">
        <v>501</v>
      </c>
      <c r="B349" s="63">
        <v>45669</v>
      </c>
      <c r="C349" s="22" t="s">
        <v>204</v>
      </c>
      <c r="D349" s="22" t="str">
        <f>PROPER(TRIM(Raw_Data!D349))</f>
        <v>Australia</v>
      </c>
      <c r="E349" s="22" t="s">
        <v>48</v>
      </c>
      <c r="F349" s="22" t="s">
        <v>37</v>
      </c>
      <c r="G349" s="66">
        <v>1</v>
      </c>
      <c r="H349" s="2">
        <v>31.4</v>
      </c>
      <c r="I349" s="64">
        <f>PRODUCT(Table13[[#This Row],[Quantity]:[Unit_Price]])</f>
        <v>31.4</v>
      </c>
      <c r="J349" s="2">
        <v>1.1399999999999999</v>
      </c>
      <c r="K349" s="2">
        <v>10.26</v>
      </c>
      <c r="L349" s="22" t="s">
        <v>38</v>
      </c>
      <c r="M349" s="22" t="s">
        <v>27</v>
      </c>
      <c r="N349" s="22" t="s">
        <v>130</v>
      </c>
      <c r="O349" s="64">
        <f>VLOOKUP($E349,Products!$B$2:$F$11,5,0)</f>
        <v>20</v>
      </c>
      <c r="P349" s="64">
        <f>PRODUCT(Table13[[#This Row],[Quantity]],Table13[[#This Row],[Unit_Cost]])</f>
        <v>20</v>
      </c>
      <c r="Q349" s="65">
        <f>Table13[[#This Row],[Profit]]/Table13[[#This Row],[Total_Sales]]</f>
        <v>0.32675159235668788</v>
      </c>
      <c r="R349" s="1"/>
      <c r="S349" s="1"/>
      <c r="T349" s="1"/>
    </row>
    <row r="350" spans="1:20" x14ac:dyDescent="0.25">
      <c r="A350" s="22" t="s">
        <v>502</v>
      </c>
      <c r="B350" s="63">
        <v>45484</v>
      </c>
      <c r="C350" s="22" t="s">
        <v>199</v>
      </c>
      <c r="D350" s="22" t="str">
        <f>PROPER(TRIM(Raw_Data!D350))</f>
        <v>Italy</v>
      </c>
      <c r="E350" s="22" t="s">
        <v>63</v>
      </c>
      <c r="F350" s="22" t="s">
        <v>37</v>
      </c>
      <c r="G350" s="66">
        <v>28</v>
      </c>
      <c r="H350" s="2">
        <v>18.59</v>
      </c>
      <c r="I350" s="64">
        <f>PRODUCT(Table13[[#This Row],[Quantity]:[Unit_Price]])</f>
        <v>520.52</v>
      </c>
      <c r="J350" s="2">
        <v>14.08</v>
      </c>
      <c r="K350" s="2">
        <v>149.44</v>
      </c>
      <c r="L350" s="22" t="s">
        <v>19</v>
      </c>
      <c r="M350" s="22" t="s">
        <v>20</v>
      </c>
      <c r="N350" s="22" t="s">
        <v>28</v>
      </c>
      <c r="O350" s="64">
        <f>VLOOKUP($E350,Products!$B$2:$F$11,5,0)</f>
        <v>12.75</v>
      </c>
      <c r="P350" s="64">
        <f>PRODUCT(Table13[[#This Row],[Quantity]],Table13[[#This Row],[Unit_Cost]])</f>
        <v>357</v>
      </c>
      <c r="Q350" s="65">
        <f>Table13[[#This Row],[Profit]]/Table13[[#This Row],[Total_Sales]]</f>
        <v>0.28709751786674864</v>
      </c>
      <c r="R350" s="1"/>
      <c r="S350" s="1"/>
      <c r="T350" s="1"/>
    </row>
    <row r="351" spans="1:20" x14ac:dyDescent="0.25">
      <c r="A351" s="22" t="s">
        <v>503</v>
      </c>
      <c r="B351" s="63">
        <v>45722</v>
      </c>
      <c r="C351" s="22" t="s">
        <v>504</v>
      </c>
      <c r="D351" s="22" t="str">
        <f>PROPER(TRIM(Raw_Data!D351))</f>
        <v>France</v>
      </c>
      <c r="E351" s="22" t="s">
        <v>60</v>
      </c>
      <c r="F351" s="22" t="s">
        <v>52</v>
      </c>
      <c r="G351" s="66">
        <v>50</v>
      </c>
      <c r="H351" s="2">
        <v>20.66</v>
      </c>
      <c r="I351" s="64">
        <f>PRODUCT(Table13[[#This Row],[Quantity]:[Unit_Price]])</f>
        <v>1033</v>
      </c>
      <c r="J351" s="2">
        <v>34.130000000000003</v>
      </c>
      <c r="K351" s="2">
        <v>223.87</v>
      </c>
      <c r="L351" s="22" t="s">
        <v>38</v>
      </c>
      <c r="M351" s="22" t="s">
        <v>27</v>
      </c>
      <c r="N351" s="22" t="s">
        <v>28</v>
      </c>
      <c r="O351" s="64">
        <f>VLOOKUP($E351,Products!$B$2:$F$11,5,0)</f>
        <v>15.5</v>
      </c>
      <c r="P351" s="64">
        <f>PRODUCT(Table13[[#This Row],[Quantity]],Table13[[#This Row],[Unit_Cost]])</f>
        <v>775</v>
      </c>
      <c r="Q351" s="65">
        <f>Table13[[#This Row],[Profit]]/Table13[[#This Row],[Total_Sales]]</f>
        <v>0.21671829622458857</v>
      </c>
      <c r="R351" s="1"/>
      <c r="S351" s="1"/>
      <c r="T351" s="1"/>
    </row>
    <row r="352" spans="1:20" x14ac:dyDescent="0.25">
      <c r="A352" s="22" t="s">
        <v>505</v>
      </c>
      <c r="B352" s="63">
        <v>45685</v>
      </c>
      <c r="C352" s="22" t="s">
        <v>156</v>
      </c>
      <c r="D352" s="22" t="str">
        <f>PROPER(TRIM(Raw_Data!D352))</f>
        <v>China</v>
      </c>
      <c r="E352" s="22" t="s">
        <v>17</v>
      </c>
      <c r="F352" s="22" t="s">
        <v>18</v>
      </c>
      <c r="G352" s="66">
        <v>4</v>
      </c>
      <c r="H352" s="2">
        <v>46.62</v>
      </c>
      <c r="I352" s="64">
        <f>PRODUCT(Table13[[#This Row],[Quantity]:[Unit_Price]])</f>
        <v>186.48</v>
      </c>
      <c r="J352" s="2">
        <v>13.29</v>
      </c>
      <c r="K352" s="2">
        <v>33.19</v>
      </c>
      <c r="L352" s="22" t="s">
        <v>26</v>
      </c>
      <c r="M352" s="22" t="s">
        <v>20</v>
      </c>
      <c r="N352" s="22" t="s">
        <v>58</v>
      </c>
      <c r="O352" s="64">
        <f>VLOOKUP($E352,Products!$B$2:$F$11,5,0)</f>
        <v>35</v>
      </c>
      <c r="P352" s="64">
        <f>PRODUCT(Table13[[#This Row],[Quantity]],Table13[[#This Row],[Unit_Cost]])</f>
        <v>140</v>
      </c>
      <c r="Q352" s="65">
        <f>Table13[[#This Row],[Profit]]/Table13[[#This Row],[Total_Sales]]</f>
        <v>0.17798155298155299</v>
      </c>
      <c r="R352" s="1"/>
      <c r="S352" s="1"/>
      <c r="T352" s="1"/>
    </row>
    <row r="353" spans="1:20" x14ac:dyDescent="0.25">
      <c r="A353" s="22" t="s">
        <v>506</v>
      </c>
      <c r="B353" s="63">
        <v>45685</v>
      </c>
      <c r="C353" s="22" t="s">
        <v>465</v>
      </c>
      <c r="D353" s="22" t="str">
        <f>PROPER(TRIM(Raw_Data!D353))</f>
        <v>South Africa</v>
      </c>
      <c r="E353" s="22" t="s">
        <v>60</v>
      </c>
      <c r="F353" s="22" t="s">
        <v>52</v>
      </c>
      <c r="G353" s="66">
        <v>37</v>
      </c>
      <c r="H353" s="2">
        <v>21.81</v>
      </c>
      <c r="I353" s="64">
        <f>PRODUCT(Table13[[#This Row],[Quantity]:[Unit_Price]])</f>
        <v>806.96999999999991</v>
      </c>
      <c r="J353" s="2">
        <v>19.63</v>
      </c>
      <c r="K353" s="2">
        <v>213.84</v>
      </c>
      <c r="L353" s="22" t="s">
        <v>38</v>
      </c>
      <c r="M353" s="22" t="s">
        <v>32</v>
      </c>
      <c r="N353" s="22" t="s">
        <v>87</v>
      </c>
      <c r="O353" s="64">
        <f>VLOOKUP($E353,Products!$B$2:$F$11,5,0)</f>
        <v>15.5</v>
      </c>
      <c r="P353" s="64">
        <f>PRODUCT(Table13[[#This Row],[Quantity]],Table13[[#This Row],[Unit_Cost]])</f>
        <v>573.5</v>
      </c>
      <c r="Q353" s="65">
        <f>Table13[[#This Row],[Profit]]/Table13[[#This Row],[Total_Sales]]</f>
        <v>0.26499126361574782</v>
      </c>
      <c r="R353" s="1"/>
      <c r="S353" s="1"/>
      <c r="T353" s="1"/>
    </row>
    <row r="354" spans="1:20" x14ac:dyDescent="0.25">
      <c r="A354" s="22" t="s">
        <v>507</v>
      </c>
      <c r="B354" s="63">
        <v>45411</v>
      </c>
      <c r="C354" s="22" t="s">
        <v>135</v>
      </c>
      <c r="D354" s="22" t="str">
        <f>PROPER(TRIM(Raw_Data!D354))</f>
        <v>China</v>
      </c>
      <c r="E354" s="22" t="s">
        <v>60</v>
      </c>
      <c r="F354" s="22" t="s">
        <v>52</v>
      </c>
      <c r="G354" s="66">
        <v>48</v>
      </c>
      <c r="H354" s="2">
        <v>26.68</v>
      </c>
      <c r="I354" s="64">
        <f>PRODUCT(Table13[[#This Row],[Quantity]:[Unit_Price]])</f>
        <v>1280.6399999999999</v>
      </c>
      <c r="J354" s="2">
        <v>55.36</v>
      </c>
      <c r="K354" s="2">
        <v>481.28</v>
      </c>
      <c r="L354" s="22" t="s">
        <v>19</v>
      </c>
      <c r="M354" s="22" t="s">
        <v>27</v>
      </c>
      <c r="N354" s="22" t="s">
        <v>58</v>
      </c>
      <c r="O354" s="64">
        <f>VLOOKUP($E354,Products!$B$2:$F$11,5,0)</f>
        <v>15.5</v>
      </c>
      <c r="P354" s="64">
        <f>PRODUCT(Table13[[#This Row],[Quantity]],Table13[[#This Row],[Unit_Cost]])</f>
        <v>744</v>
      </c>
      <c r="Q354" s="65">
        <f>Table13[[#This Row],[Profit]]/Table13[[#This Row],[Total_Sales]]</f>
        <v>0.37581209395302351</v>
      </c>
      <c r="R354" s="1"/>
      <c r="S354" s="1"/>
      <c r="T354" s="1"/>
    </row>
    <row r="355" spans="1:20" x14ac:dyDescent="0.25">
      <c r="A355" s="22" t="s">
        <v>508</v>
      </c>
      <c r="B355" s="63">
        <v>45785</v>
      </c>
      <c r="C355" s="22" t="s">
        <v>119</v>
      </c>
      <c r="D355" s="22" t="str">
        <f>PROPER(TRIM(Raw_Data!D355))</f>
        <v>Brazil</v>
      </c>
      <c r="E355" s="22" t="s">
        <v>56</v>
      </c>
      <c r="F355" s="22" t="s">
        <v>57</v>
      </c>
      <c r="G355" s="66">
        <v>24</v>
      </c>
      <c r="H355" s="2">
        <v>42.82</v>
      </c>
      <c r="I355" s="64">
        <f>PRODUCT(Table13[[#This Row],[Quantity]:[Unit_Price]])</f>
        <v>1027.68</v>
      </c>
      <c r="J355" s="2">
        <v>69.95</v>
      </c>
      <c r="K355" s="2">
        <v>357.73</v>
      </c>
      <c r="L355" s="22" t="s">
        <v>19</v>
      </c>
      <c r="M355" s="22" t="s">
        <v>20</v>
      </c>
      <c r="N355" s="22" t="s">
        <v>39</v>
      </c>
      <c r="O355" s="64">
        <f>VLOOKUP($E355,Products!$B$2:$F$11,5,0)</f>
        <v>25</v>
      </c>
      <c r="P355" s="64">
        <f>PRODUCT(Table13[[#This Row],[Quantity]],Table13[[#This Row],[Unit_Cost]])</f>
        <v>600</v>
      </c>
      <c r="Q355" s="65">
        <f>Table13[[#This Row],[Profit]]/Table13[[#This Row],[Total_Sales]]</f>
        <v>0.34809473766152887</v>
      </c>
      <c r="R355" s="1"/>
      <c r="S355" s="1"/>
      <c r="T355" s="1"/>
    </row>
    <row r="356" spans="1:20" x14ac:dyDescent="0.25">
      <c r="A356" s="22" t="s">
        <v>509</v>
      </c>
      <c r="B356" s="63">
        <v>45668</v>
      </c>
      <c r="C356" s="22" t="s">
        <v>121</v>
      </c>
      <c r="D356" s="22" t="str">
        <f>PROPER(TRIM(Raw_Data!D356))</f>
        <v>Australia</v>
      </c>
      <c r="E356" s="22" t="s">
        <v>51</v>
      </c>
      <c r="F356" s="22" t="s">
        <v>52</v>
      </c>
      <c r="G356" s="66">
        <v>26</v>
      </c>
      <c r="H356" s="2">
        <v>34.4</v>
      </c>
      <c r="I356" s="64">
        <f>PRODUCT(Table13[[#This Row],[Quantity]:[Unit_Price]])</f>
        <v>894.4</v>
      </c>
      <c r="J356" s="2">
        <v>40.42</v>
      </c>
      <c r="K356" s="2">
        <v>268.98</v>
      </c>
      <c r="L356" s="22" t="s">
        <v>19</v>
      </c>
      <c r="M356" s="22" t="s">
        <v>20</v>
      </c>
      <c r="N356" s="22" t="s">
        <v>130</v>
      </c>
      <c r="O356" s="64">
        <f>VLOOKUP($E356,Products!$B$2:$F$11,5,0)</f>
        <v>22.5</v>
      </c>
      <c r="P356" s="64">
        <f>PRODUCT(Table13[[#This Row],[Quantity]],Table13[[#This Row],[Unit_Cost]])</f>
        <v>585</v>
      </c>
      <c r="Q356" s="65">
        <f>Table13[[#This Row],[Profit]]/Table13[[#This Row],[Total_Sales]]</f>
        <v>0.3007379248658319</v>
      </c>
      <c r="R356" s="1"/>
      <c r="S356" s="1"/>
      <c r="T356" s="1"/>
    </row>
    <row r="357" spans="1:20" x14ac:dyDescent="0.25">
      <c r="A357" s="22" t="s">
        <v>510</v>
      </c>
      <c r="B357" s="63">
        <v>45454</v>
      </c>
      <c r="C357" s="22" t="s">
        <v>202</v>
      </c>
      <c r="D357" s="22" t="str">
        <f>PROPER(TRIM(Raw_Data!D357))</f>
        <v>Italy</v>
      </c>
      <c r="E357" s="22" t="s">
        <v>17</v>
      </c>
      <c r="F357" s="22" t="s">
        <v>18</v>
      </c>
      <c r="G357" s="66">
        <v>47</v>
      </c>
      <c r="H357" s="2">
        <v>44.89</v>
      </c>
      <c r="I357" s="64">
        <f>PRODUCT(Table13[[#This Row],[Quantity]:[Unit_Price]])</f>
        <v>2109.83</v>
      </c>
      <c r="J357" s="2">
        <v>45.91</v>
      </c>
      <c r="K357" s="2">
        <v>418.92</v>
      </c>
      <c r="L357" s="22" t="s">
        <v>19</v>
      </c>
      <c r="M357" s="22" t="s">
        <v>27</v>
      </c>
      <c r="N357" s="22" t="s">
        <v>28</v>
      </c>
      <c r="O357" s="64">
        <f>VLOOKUP($E357,Products!$B$2:$F$11,5,0)</f>
        <v>35</v>
      </c>
      <c r="P357" s="64">
        <f>PRODUCT(Table13[[#This Row],[Quantity]],Table13[[#This Row],[Unit_Cost]])</f>
        <v>1645</v>
      </c>
      <c r="Q357" s="65">
        <f>Table13[[#This Row],[Profit]]/Table13[[#This Row],[Total_Sales]]</f>
        <v>0.19855628178573631</v>
      </c>
      <c r="R357" s="1"/>
      <c r="S357" s="1"/>
      <c r="T357" s="1"/>
    </row>
    <row r="358" spans="1:20" x14ac:dyDescent="0.25">
      <c r="A358" s="22" t="s">
        <v>511</v>
      </c>
      <c r="B358" s="63">
        <v>45656</v>
      </c>
      <c r="C358" s="22" t="s">
        <v>179</v>
      </c>
      <c r="D358" s="22" t="str">
        <f>PROPER(TRIM(Raw_Data!D358))</f>
        <v>China</v>
      </c>
      <c r="E358" s="22" t="s">
        <v>60</v>
      </c>
      <c r="F358" s="22" t="s">
        <v>52</v>
      </c>
      <c r="G358" s="66">
        <v>1</v>
      </c>
      <c r="H358" s="2">
        <v>18.739999999999998</v>
      </c>
      <c r="I358" s="64">
        <f>PRODUCT(Table13[[#This Row],[Quantity]:[Unit_Price]])</f>
        <v>18.739999999999998</v>
      </c>
      <c r="J358" s="2">
        <v>0.5</v>
      </c>
      <c r="K358" s="2">
        <v>2.74</v>
      </c>
      <c r="L358" s="22" t="s">
        <v>38</v>
      </c>
      <c r="M358" s="22" t="s">
        <v>27</v>
      </c>
      <c r="N358" s="22" t="s">
        <v>58</v>
      </c>
      <c r="O358" s="64">
        <f>VLOOKUP($E358,Products!$B$2:$F$11,5,0)</f>
        <v>15.5</v>
      </c>
      <c r="P358" s="64">
        <f>PRODUCT(Table13[[#This Row],[Quantity]],Table13[[#This Row],[Unit_Cost]])</f>
        <v>15.5</v>
      </c>
      <c r="Q358" s="65">
        <f>Table13[[#This Row],[Profit]]/Table13[[#This Row],[Total_Sales]]</f>
        <v>0.14621131270010676</v>
      </c>
      <c r="R358" s="1"/>
      <c r="S358" s="1"/>
      <c r="T358" s="1"/>
    </row>
    <row r="359" spans="1:20" x14ac:dyDescent="0.25">
      <c r="A359" s="22" t="s">
        <v>512</v>
      </c>
      <c r="B359" s="63">
        <v>45648</v>
      </c>
      <c r="C359" s="22" t="s">
        <v>170</v>
      </c>
      <c r="D359" s="22" t="str">
        <f>PROPER(TRIM(Raw_Data!D359))</f>
        <v>Singapore</v>
      </c>
      <c r="E359" s="22" t="s">
        <v>51</v>
      </c>
      <c r="F359" s="22" t="s">
        <v>52</v>
      </c>
      <c r="G359" s="66">
        <v>27</v>
      </c>
      <c r="H359" s="2">
        <v>36.270000000000003</v>
      </c>
      <c r="I359" s="64">
        <f>PRODUCT(Table13[[#This Row],[Quantity]:[Unit_Price]])</f>
        <v>979.29000000000008</v>
      </c>
      <c r="J359" s="2">
        <v>54.58</v>
      </c>
      <c r="K359" s="2">
        <v>317.20999999999998</v>
      </c>
      <c r="L359" s="22" t="s">
        <v>26</v>
      </c>
      <c r="M359" s="22" t="s">
        <v>27</v>
      </c>
      <c r="N359" s="22" t="s">
        <v>58</v>
      </c>
      <c r="O359" s="64">
        <f>VLOOKUP($E359,Products!$B$2:$F$11,5,0)</f>
        <v>22.5</v>
      </c>
      <c r="P359" s="64">
        <f>PRODUCT(Table13[[#This Row],[Quantity]],Table13[[#This Row],[Unit_Cost]])</f>
        <v>607.5</v>
      </c>
      <c r="Q359" s="65">
        <f>Table13[[#This Row],[Profit]]/Table13[[#This Row],[Total_Sales]]</f>
        <v>0.32391834900795469</v>
      </c>
      <c r="R359" s="1"/>
      <c r="S359" s="1"/>
      <c r="T359" s="1"/>
    </row>
    <row r="360" spans="1:20" x14ac:dyDescent="0.25">
      <c r="A360" s="22" t="s">
        <v>513</v>
      </c>
      <c r="B360" s="63">
        <v>45579</v>
      </c>
      <c r="C360" s="22" t="s">
        <v>93</v>
      </c>
      <c r="D360" s="22" t="str">
        <f>PROPER(TRIM(Raw_Data!D360))</f>
        <v>Germany</v>
      </c>
      <c r="E360" s="22" t="s">
        <v>63</v>
      </c>
      <c r="F360" s="22" t="s">
        <v>37</v>
      </c>
      <c r="G360" s="66">
        <v>13</v>
      </c>
      <c r="H360" s="2">
        <v>18.82</v>
      </c>
      <c r="I360" s="64">
        <f>PRODUCT(Table13[[#This Row],[Quantity]:[Unit_Price]])</f>
        <v>244.66</v>
      </c>
      <c r="J360" s="2">
        <v>6.49</v>
      </c>
      <c r="K360" s="2">
        <v>72.42</v>
      </c>
      <c r="L360" s="22" t="s">
        <v>38</v>
      </c>
      <c r="M360" s="22" t="s">
        <v>27</v>
      </c>
      <c r="N360" s="22" t="s">
        <v>28</v>
      </c>
      <c r="O360" s="64">
        <f>VLOOKUP($E360,Products!$B$2:$F$11,5,0)</f>
        <v>12.75</v>
      </c>
      <c r="P360" s="64">
        <f>PRODUCT(Table13[[#This Row],[Quantity]],Table13[[#This Row],[Unit_Cost]])</f>
        <v>165.75</v>
      </c>
      <c r="Q360" s="65">
        <f>Table13[[#This Row],[Profit]]/Table13[[#This Row],[Total_Sales]]</f>
        <v>0.29600261587509197</v>
      </c>
      <c r="R360" s="1"/>
      <c r="S360" s="1"/>
      <c r="T360" s="1"/>
    </row>
    <row r="361" spans="1:20" x14ac:dyDescent="0.25">
      <c r="A361" s="22" t="s">
        <v>514</v>
      </c>
      <c r="B361" s="63">
        <v>45715</v>
      </c>
      <c r="C361" s="22" t="s">
        <v>342</v>
      </c>
      <c r="D361" s="22" t="str">
        <f>PROPER(TRIM(Raw_Data!D361))</f>
        <v>Australia</v>
      </c>
      <c r="E361" s="22" t="s">
        <v>83</v>
      </c>
      <c r="F361" s="22" t="s">
        <v>52</v>
      </c>
      <c r="G361" s="66">
        <v>41</v>
      </c>
      <c r="H361" s="2">
        <v>43.19</v>
      </c>
      <c r="I361" s="64">
        <f>PRODUCT(Table13[[#This Row],[Quantity]:[Unit_Price]])</f>
        <v>1770.79</v>
      </c>
      <c r="J361" s="2">
        <v>83.28</v>
      </c>
      <c r="K361" s="2">
        <v>539.51</v>
      </c>
      <c r="L361" s="22" t="s">
        <v>26</v>
      </c>
      <c r="M361" s="22" t="s">
        <v>20</v>
      </c>
      <c r="N361" s="22" t="s">
        <v>130</v>
      </c>
      <c r="O361" s="64">
        <f>VLOOKUP($E361,Products!$B$2:$F$11,5,0)</f>
        <v>28</v>
      </c>
      <c r="P361" s="64">
        <f>PRODUCT(Table13[[#This Row],[Quantity]],Table13[[#This Row],[Unit_Cost]])</f>
        <v>1148</v>
      </c>
      <c r="Q361" s="65">
        <f>Table13[[#This Row],[Profit]]/Table13[[#This Row],[Total_Sales]]</f>
        <v>0.30467192608948551</v>
      </c>
      <c r="R361" s="1"/>
      <c r="S361" s="1"/>
      <c r="T361" s="1"/>
    </row>
    <row r="362" spans="1:20" x14ac:dyDescent="0.25">
      <c r="A362" s="22" t="s">
        <v>515</v>
      </c>
      <c r="B362" s="63">
        <v>45368</v>
      </c>
      <c r="C362" s="22" t="s">
        <v>65</v>
      </c>
      <c r="D362" s="22" t="str">
        <f>PROPER(TRIM(Raw_Data!D362))</f>
        <v>China</v>
      </c>
      <c r="E362" s="22" t="s">
        <v>83</v>
      </c>
      <c r="F362" s="22" t="s">
        <v>52</v>
      </c>
      <c r="G362" s="66">
        <v>40</v>
      </c>
      <c r="H362" s="2">
        <v>42.31</v>
      </c>
      <c r="I362" s="64">
        <f>PRODUCT(Table13[[#This Row],[Quantity]:[Unit_Price]])</f>
        <v>1692.4</v>
      </c>
      <c r="J362" s="2">
        <v>118.59</v>
      </c>
      <c r="K362" s="2">
        <v>453.81</v>
      </c>
      <c r="L362" s="22" t="s">
        <v>26</v>
      </c>
      <c r="M362" s="22" t="s">
        <v>32</v>
      </c>
      <c r="N362" s="22" t="s">
        <v>58</v>
      </c>
      <c r="O362" s="64">
        <f>VLOOKUP($E362,Products!$B$2:$F$11,5,0)</f>
        <v>28</v>
      </c>
      <c r="P362" s="64">
        <f>PRODUCT(Table13[[#This Row],[Quantity]],Table13[[#This Row],[Unit_Cost]])</f>
        <v>1120</v>
      </c>
      <c r="Q362" s="65">
        <f>Table13[[#This Row],[Profit]]/Table13[[#This Row],[Total_Sales]]</f>
        <v>0.26814582840935947</v>
      </c>
      <c r="R362" s="1"/>
      <c r="S362" s="1"/>
      <c r="T362" s="1"/>
    </row>
    <row r="363" spans="1:20" x14ac:dyDescent="0.25">
      <c r="A363" s="22" t="s">
        <v>516</v>
      </c>
      <c r="B363" s="63">
        <v>45782</v>
      </c>
      <c r="C363" s="22" t="s">
        <v>276</v>
      </c>
      <c r="D363" s="22" t="str">
        <f>PROPER(TRIM(Raw_Data!D363))</f>
        <v>India</v>
      </c>
      <c r="E363" s="22" t="s">
        <v>36</v>
      </c>
      <c r="F363" s="22" t="s">
        <v>37</v>
      </c>
      <c r="G363" s="66">
        <v>1</v>
      </c>
      <c r="H363" s="2">
        <v>57.15</v>
      </c>
      <c r="I363" s="64">
        <f>PRODUCT(Table13[[#This Row],[Quantity]:[Unit_Price]])</f>
        <v>57.15</v>
      </c>
      <c r="J363" s="2">
        <v>4.1100000000000003</v>
      </c>
      <c r="K363" s="2">
        <v>21.04</v>
      </c>
      <c r="L363" s="22" t="s">
        <v>26</v>
      </c>
      <c r="M363" s="22" t="s">
        <v>20</v>
      </c>
      <c r="N363" s="22" t="s">
        <v>58</v>
      </c>
      <c r="O363" s="64">
        <f>VLOOKUP($E363,Products!$B$2:$F$11,5,0)</f>
        <v>32</v>
      </c>
      <c r="P363" s="64">
        <f>PRODUCT(Table13[[#This Row],[Quantity]],Table13[[#This Row],[Unit_Cost]])</f>
        <v>32</v>
      </c>
      <c r="Q363" s="65">
        <f>Table13[[#This Row],[Profit]]/Table13[[#This Row],[Total_Sales]]</f>
        <v>0.36815398075240596</v>
      </c>
      <c r="R363" s="1"/>
      <c r="S363" s="1"/>
      <c r="T363" s="1"/>
    </row>
    <row r="364" spans="1:20" x14ac:dyDescent="0.25">
      <c r="A364" s="22" t="s">
        <v>517</v>
      </c>
      <c r="B364" s="63">
        <v>45414</v>
      </c>
      <c r="C364" s="22" t="s">
        <v>168</v>
      </c>
      <c r="D364" s="22" t="str">
        <f>PROPER(TRIM(Raw_Data!D364))</f>
        <v>Canada</v>
      </c>
      <c r="E364" s="22" t="s">
        <v>48</v>
      </c>
      <c r="F364" s="22" t="s">
        <v>37</v>
      </c>
      <c r="G364" s="66">
        <v>15</v>
      </c>
      <c r="H364" s="2">
        <v>30.03</v>
      </c>
      <c r="I364" s="64">
        <f>PRODUCT(Table13[[#This Row],[Quantity]:[Unit_Price]])</f>
        <v>450.45000000000005</v>
      </c>
      <c r="J364" s="2">
        <v>29.99</v>
      </c>
      <c r="K364" s="2">
        <v>120.46</v>
      </c>
      <c r="L364" s="22" t="s">
        <v>38</v>
      </c>
      <c r="M364" s="22" t="s">
        <v>27</v>
      </c>
      <c r="N364" s="22" t="s">
        <v>21</v>
      </c>
      <c r="O364" s="64">
        <f>VLOOKUP($E364,Products!$B$2:$F$11,5,0)</f>
        <v>20</v>
      </c>
      <c r="P364" s="64">
        <f>PRODUCT(Table13[[#This Row],[Quantity]],Table13[[#This Row],[Unit_Cost]])</f>
        <v>300</v>
      </c>
      <c r="Q364" s="65">
        <f>Table13[[#This Row],[Profit]]/Table13[[#This Row],[Total_Sales]]</f>
        <v>0.26742146742146738</v>
      </c>
      <c r="R364" s="1"/>
      <c r="S364" s="1"/>
      <c r="T364" s="1"/>
    </row>
    <row r="365" spans="1:20" x14ac:dyDescent="0.25">
      <c r="A365" s="22" t="s">
        <v>518</v>
      </c>
      <c r="B365" s="63">
        <v>45437</v>
      </c>
      <c r="C365" s="22" t="s">
        <v>161</v>
      </c>
      <c r="D365" s="22" t="str">
        <f>PROPER(TRIM(Raw_Data!D365))</f>
        <v>Brazil</v>
      </c>
      <c r="E365" s="22" t="s">
        <v>48</v>
      </c>
      <c r="F365" s="22" t="s">
        <v>37</v>
      </c>
      <c r="G365" s="66">
        <v>48</v>
      </c>
      <c r="H365" s="2">
        <v>30.91</v>
      </c>
      <c r="I365" s="64">
        <f>PRODUCT(Table13[[#This Row],[Quantity]:[Unit_Price]])</f>
        <v>1483.68</v>
      </c>
      <c r="J365" s="2">
        <v>85.5</v>
      </c>
      <c r="K365" s="2">
        <v>438.18</v>
      </c>
      <c r="L365" s="22" t="s">
        <v>19</v>
      </c>
      <c r="M365" s="22" t="s">
        <v>27</v>
      </c>
      <c r="N365" s="22" t="s">
        <v>39</v>
      </c>
      <c r="O365" s="64">
        <f>VLOOKUP($E365,Products!$B$2:$F$11,5,0)</f>
        <v>20</v>
      </c>
      <c r="P365" s="64">
        <f>PRODUCT(Table13[[#This Row],[Quantity]],Table13[[#This Row],[Unit_Cost]])</f>
        <v>960</v>
      </c>
      <c r="Q365" s="65">
        <f>Table13[[#This Row],[Profit]]/Table13[[#This Row],[Total_Sales]]</f>
        <v>0.29533322549336782</v>
      </c>
      <c r="R365" s="1"/>
      <c r="S365" s="1"/>
      <c r="T365" s="1"/>
    </row>
    <row r="366" spans="1:20" x14ac:dyDescent="0.25">
      <c r="A366" s="22" t="s">
        <v>519</v>
      </c>
      <c r="B366" s="63">
        <v>45292</v>
      </c>
      <c r="C366" s="22" t="s">
        <v>323</v>
      </c>
      <c r="D366" s="22" t="str">
        <f>PROPER(TRIM(Raw_Data!D366))</f>
        <v>Mexico</v>
      </c>
      <c r="E366" s="22" t="s">
        <v>51</v>
      </c>
      <c r="F366" s="22" t="s">
        <v>52</v>
      </c>
      <c r="G366" s="66">
        <v>8</v>
      </c>
      <c r="H366" s="2">
        <v>32.19</v>
      </c>
      <c r="I366" s="64">
        <f>PRODUCT(Table13[[#This Row],[Quantity]:[Unit_Price]])</f>
        <v>257.52</v>
      </c>
      <c r="J366" s="2">
        <v>11.85</v>
      </c>
      <c r="K366" s="2">
        <v>65.67</v>
      </c>
      <c r="L366" s="22" t="s">
        <v>19</v>
      </c>
      <c r="M366" s="22" t="s">
        <v>20</v>
      </c>
      <c r="N366" s="22" t="s">
        <v>21</v>
      </c>
      <c r="O366" s="64">
        <f>VLOOKUP($E366,Products!$B$2:$F$11,5,0)</f>
        <v>22.5</v>
      </c>
      <c r="P366" s="64">
        <f>PRODUCT(Table13[[#This Row],[Quantity]],Table13[[#This Row],[Unit_Cost]])</f>
        <v>180</v>
      </c>
      <c r="Q366" s="65">
        <f>Table13[[#This Row],[Profit]]/Table13[[#This Row],[Total_Sales]]</f>
        <v>0.25500931966449208</v>
      </c>
      <c r="R366" s="1"/>
      <c r="S366" s="1"/>
      <c r="T366" s="1"/>
    </row>
    <row r="367" spans="1:20" x14ac:dyDescent="0.25">
      <c r="A367" s="22" t="s">
        <v>520</v>
      </c>
      <c r="B367" s="63">
        <v>45511</v>
      </c>
      <c r="C367" s="22" t="s">
        <v>147</v>
      </c>
      <c r="D367" s="22" t="str">
        <f>PROPER(TRIM(Raw_Data!D367))</f>
        <v>Uae</v>
      </c>
      <c r="E367" s="22" t="s">
        <v>43</v>
      </c>
      <c r="F367" s="22" t="s">
        <v>44</v>
      </c>
      <c r="G367" s="66">
        <v>22</v>
      </c>
      <c r="H367" s="2">
        <v>60.75</v>
      </c>
      <c r="I367" s="64">
        <f>PRODUCT(Table13[[#This Row],[Quantity]:[Unit_Price]])</f>
        <v>1336.5</v>
      </c>
      <c r="J367" s="2">
        <v>38.340000000000003</v>
      </c>
      <c r="K367" s="2">
        <v>418.16</v>
      </c>
      <c r="L367" s="22" t="s">
        <v>19</v>
      </c>
      <c r="M367" s="22" t="s">
        <v>27</v>
      </c>
      <c r="N367" s="22" t="s">
        <v>58</v>
      </c>
      <c r="O367" s="64">
        <f>VLOOKUP($E367,Products!$B$2:$F$11,5,0)</f>
        <v>40</v>
      </c>
      <c r="P367" s="64">
        <f>PRODUCT(Table13[[#This Row],[Quantity]],Table13[[#This Row],[Unit_Cost]])</f>
        <v>880</v>
      </c>
      <c r="Q367" s="65">
        <f>Table13[[#This Row],[Profit]]/Table13[[#This Row],[Total_Sales]]</f>
        <v>0.3128769173213618</v>
      </c>
      <c r="R367" s="1"/>
      <c r="S367" s="1"/>
      <c r="T367" s="1"/>
    </row>
    <row r="368" spans="1:20" x14ac:dyDescent="0.25">
      <c r="A368" s="22" t="s">
        <v>521</v>
      </c>
      <c r="B368" s="63">
        <v>45731</v>
      </c>
      <c r="C368" s="22" t="s">
        <v>119</v>
      </c>
      <c r="D368" s="22" t="str">
        <f>PROPER(TRIM(Raw_Data!D368))</f>
        <v>Italy</v>
      </c>
      <c r="E368" s="22" t="s">
        <v>43</v>
      </c>
      <c r="F368" s="22" t="s">
        <v>44</v>
      </c>
      <c r="G368" s="66">
        <v>38</v>
      </c>
      <c r="H368" s="2">
        <v>66.06</v>
      </c>
      <c r="I368" s="64">
        <f>PRODUCT(Table13[[#This Row],[Quantity]:[Unit_Price]])</f>
        <v>2510.2800000000002</v>
      </c>
      <c r="J368" s="2">
        <v>50.37</v>
      </c>
      <c r="K368" s="2">
        <v>939.91</v>
      </c>
      <c r="L368" s="22" t="s">
        <v>19</v>
      </c>
      <c r="M368" s="22" t="s">
        <v>20</v>
      </c>
      <c r="N368" s="22" t="s">
        <v>28</v>
      </c>
      <c r="O368" s="64">
        <f>VLOOKUP($E368,Products!$B$2:$F$11,5,0)</f>
        <v>40</v>
      </c>
      <c r="P368" s="64">
        <f>PRODUCT(Table13[[#This Row],[Quantity]],Table13[[#This Row],[Unit_Cost]])</f>
        <v>1520</v>
      </c>
      <c r="Q368" s="65">
        <f>Table13[[#This Row],[Profit]]/Table13[[#This Row],[Total_Sales]]</f>
        <v>0.37442436700288412</v>
      </c>
      <c r="R368" s="1"/>
      <c r="S368" s="1"/>
      <c r="T368" s="1"/>
    </row>
    <row r="369" spans="1:20" x14ac:dyDescent="0.25">
      <c r="A369" s="22" t="s">
        <v>522</v>
      </c>
      <c r="B369" s="63">
        <v>45542</v>
      </c>
      <c r="C369" s="22" t="s">
        <v>97</v>
      </c>
      <c r="D369" s="22" t="str">
        <f>PROPER(TRIM(Raw_Data!D369))</f>
        <v>Usa</v>
      </c>
      <c r="E369" s="22" t="s">
        <v>17</v>
      </c>
      <c r="F369" s="22" t="s">
        <v>18</v>
      </c>
      <c r="G369" s="66">
        <v>33</v>
      </c>
      <c r="H369" s="2">
        <v>50.88</v>
      </c>
      <c r="I369" s="64">
        <f>PRODUCT(Table13[[#This Row],[Quantity]:[Unit_Price]])</f>
        <v>1679.0400000000002</v>
      </c>
      <c r="J369" s="2">
        <v>61.48</v>
      </c>
      <c r="K369" s="2">
        <v>462.56</v>
      </c>
      <c r="L369" s="22" t="s">
        <v>19</v>
      </c>
      <c r="M369" s="22" t="s">
        <v>27</v>
      </c>
      <c r="N369" s="22" t="s">
        <v>21</v>
      </c>
      <c r="O369" s="64">
        <f>VLOOKUP($E369,Products!$B$2:$F$11,5,0)</f>
        <v>35</v>
      </c>
      <c r="P369" s="64">
        <f>PRODUCT(Table13[[#This Row],[Quantity]],Table13[[#This Row],[Unit_Cost]])</f>
        <v>1155</v>
      </c>
      <c r="Q369" s="65">
        <f>Table13[[#This Row],[Profit]]/Table13[[#This Row],[Total_Sales]]</f>
        <v>0.27549075662283207</v>
      </c>
      <c r="R369" s="1"/>
      <c r="S369" s="1"/>
      <c r="T369" s="1"/>
    </row>
    <row r="370" spans="1:20" x14ac:dyDescent="0.25">
      <c r="A370" s="22" t="s">
        <v>523</v>
      </c>
      <c r="B370" s="63">
        <v>45487</v>
      </c>
      <c r="C370" s="22" t="s">
        <v>261</v>
      </c>
      <c r="D370" s="22" t="str">
        <f>PROPER(TRIM(Raw_Data!D370))</f>
        <v>China</v>
      </c>
      <c r="E370" s="22" t="s">
        <v>83</v>
      </c>
      <c r="F370" s="22" t="s">
        <v>52</v>
      </c>
      <c r="G370" s="66">
        <v>49</v>
      </c>
      <c r="H370" s="2">
        <v>34.479999999999997</v>
      </c>
      <c r="I370" s="64">
        <f>PRODUCT(Table13[[#This Row],[Quantity]:[Unit_Price]])</f>
        <v>1689.5199999999998</v>
      </c>
      <c r="J370" s="2">
        <v>53.06</v>
      </c>
      <c r="K370" s="2">
        <v>264.45999999999998</v>
      </c>
      <c r="L370" s="22" t="s">
        <v>38</v>
      </c>
      <c r="M370" s="22" t="s">
        <v>32</v>
      </c>
      <c r="N370" s="22" t="s">
        <v>58</v>
      </c>
      <c r="O370" s="64">
        <f>VLOOKUP($E370,Products!$B$2:$F$11,5,0)</f>
        <v>28</v>
      </c>
      <c r="P370" s="64">
        <f>PRODUCT(Table13[[#This Row],[Quantity]],Table13[[#This Row],[Unit_Cost]])</f>
        <v>1372</v>
      </c>
      <c r="Q370" s="65">
        <f>Table13[[#This Row],[Profit]]/Table13[[#This Row],[Total_Sales]]</f>
        <v>0.1565296652303613</v>
      </c>
      <c r="R370" s="1"/>
      <c r="S370" s="1"/>
      <c r="T370" s="1"/>
    </row>
    <row r="371" spans="1:20" x14ac:dyDescent="0.25">
      <c r="A371" s="22" t="s">
        <v>524</v>
      </c>
      <c r="B371" s="63">
        <v>45311</v>
      </c>
      <c r="C371" s="22" t="s">
        <v>168</v>
      </c>
      <c r="D371" s="22" t="str">
        <f>PROPER(TRIM(Raw_Data!D371))</f>
        <v>Japan</v>
      </c>
      <c r="E371" s="22" t="s">
        <v>48</v>
      </c>
      <c r="F371" s="22" t="s">
        <v>37</v>
      </c>
      <c r="G371" s="66">
        <v>31</v>
      </c>
      <c r="H371" s="2">
        <v>25.43</v>
      </c>
      <c r="I371" s="64">
        <f>PRODUCT(Table13[[#This Row],[Quantity]:[Unit_Price]])</f>
        <v>788.33</v>
      </c>
      <c r="J371" s="2">
        <v>57.81</v>
      </c>
      <c r="K371" s="2">
        <v>110.52</v>
      </c>
      <c r="L371" s="22" t="s">
        <v>19</v>
      </c>
      <c r="M371" s="22" t="s">
        <v>27</v>
      </c>
      <c r="N371" s="22" t="s">
        <v>58</v>
      </c>
      <c r="O371" s="64">
        <f>VLOOKUP($E371,Products!$B$2:$F$11,5,0)</f>
        <v>20</v>
      </c>
      <c r="P371" s="64">
        <f>PRODUCT(Table13[[#This Row],[Quantity]],Table13[[#This Row],[Unit_Cost]])</f>
        <v>620</v>
      </c>
      <c r="Q371" s="65">
        <f>Table13[[#This Row],[Profit]]/Table13[[#This Row],[Total_Sales]]</f>
        <v>0.14019509596235077</v>
      </c>
      <c r="R371" s="1"/>
      <c r="S371" s="1"/>
      <c r="T371" s="1"/>
    </row>
    <row r="372" spans="1:20" x14ac:dyDescent="0.25">
      <c r="A372" s="22" t="s">
        <v>525</v>
      </c>
      <c r="B372" s="63">
        <v>45323</v>
      </c>
      <c r="C372" s="22" t="s">
        <v>226</v>
      </c>
      <c r="D372" s="22" t="str">
        <f>PROPER(TRIM(Raw_Data!D372))</f>
        <v>Germany</v>
      </c>
      <c r="E372" s="22" t="s">
        <v>48</v>
      </c>
      <c r="F372" s="22" t="s">
        <v>37</v>
      </c>
      <c r="G372" s="66">
        <v>29</v>
      </c>
      <c r="H372" s="2">
        <v>31.68</v>
      </c>
      <c r="I372" s="64">
        <f>PRODUCT(Table13[[#This Row],[Quantity]:[Unit_Price]])</f>
        <v>918.72</v>
      </c>
      <c r="J372" s="2">
        <v>22.22</v>
      </c>
      <c r="K372" s="2">
        <v>316.5</v>
      </c>
      <c r="L372" s="22" t="s">
        <v>38</v>
      </c>
      <c r="M372" s="22" t="s">
        <v>20</v>
      </c>
      <c r="N372" s="22" t="s">
        <v>28</v>
      </c>
      <c r="O372" s="64">
        <f>VLOOKUP($E372,Products!$B$2:$F$11,5,0)</f>
        <v>20</v>
      </c>
      <c r="P372" s="64">
        <f>PRODUCT(Table13[[#This Row],[Quantity]],Table13[[#This Row],[Unit_Cost]])</f>
        <v>580</v>
      </c>
      <c r="Q372" s="65">
        <f>Table13[[#This Row],[Profit]]/Table13[[#This Row],[Total_Sales]]</f>
        <v>0.34450104493207939</v>
      </c>
      <c r="R372" s="1"/>
      <c r="S372" s="1"/>
      <c r="T372" s="1"/>
    </row>
    <row r="373" spans="1:20" x14ac:dyDescent="0.25">
      <c r="A373" s="22" t="s">
        <v>526</v>
      </c>
      <c r="B373" s="63">
        <v>45718</v>
      </c>
      <c r="C373" s="22" t="s">
        <v>354</v>
      </c>
      <c r="D373" s="22" t="str">
        <f>PROPER(TRIM(Raw_Data!D373))</f>
        <v>Singapore</v>
      </c>
      <c r="E373" s="22" t="s">
        <v>83</v>
      </c>
      <c r="F373" s="22" t="s">
        <v>52</v>
      </c>
      <c r="G373" s="66">
        <v>42</v>
      </c>
      <c r="H373" s="2">
        <v>33.89</v>
      </c>
      <c r="I373" s="64">
        <f>PRODUCT(Table13[[#This Row],[Quantity]:[Unit_Price]])</f>
        <v>1423.38</v>
      </c>
      <c r="J373" s="2">
        <v>85.4</v>
      </c>
      <c r="K373" s="2">
        <v>161.97999999999999</v>
      </c>
      <c r="L373" s="22" t="s">
        <v>38</v>
      </c>
      <c r="M373" s="22" t="s">
        <v>20</v>
      </c>
      <c r="N373" s="22" t="s">
        <v>58</v>
      </c>
      <c r="O373" s="64">
        <f>VLOOKUP($E373,Products!$B$2:$F$11,5,0)</f>
        <v>28</v>
      </c>
      <c r="P373" s="64">
        <f>PRODUCT(Table13[[#This Row],[Quantity]],Table13[[#This Row],[Unit_Cost]])</f>
        <v>1176</v>
      </c>
      <c r="Q373" s="65">
        <f>Table13[[#This Row],[Profit]]/Table13[[#This Row],[Total_Sales]]</f>
        <v>0.11379954755581782</v>
      </c>
      <c r="R373" s="1"/>
      <c r="S373" s="1"/>
      <c r="T373" s="1"/>
    </row>
    <row r="374" spans="1:20" x14ac:dyDescent="0.25">
      <c r="A374" s="22" t="s">
        <v>527</v>
      </c>
      <c r="B374" s="63">
        <v>45560</v>
      </c>
      <c r="C374" s="22" t="s">
        <v>50</v>
      </c>
      <c r="D374" s="22" t="str">
        <f>PROPER(TRIM(Raw_Data!D374))</f>
        <v>Singapore</v>
      </c>
      <c r="E374" s="22" t="s">
        <v>25</v>
      </c>
      <c r="F374" s="22" t="s">
        <v>18</v>
      </c>
      <c r="G374" s="66">
        <v>13</v>
      </c>
      <c r="H374" s="2">
        <v>21.75</v>
      </c>
      <c r="I374" s="64">
        <f>PRODUCT(Table13[[#This Row],[Quantity]:[Unit_Price]])</f>
        <v>282.75</v>
      </c>
      <c r="J374" s="2">
        <v>12.5</v>
      </c>
      <c r="K374" s="2">
        <v>36.25</v>
      </c>
      <c r="L374" s="22" t="s">
        <v>38</v>
      </c>
      <c r="M374" s="22" t="s">
        <v>27</v>
      </c>
      <c r="N374" s="22" t="s">
        <v>58</v>
      </c>
      <c r="O374" s="64">
        <f>VLOOKUP($E374,Products!$B$2:$F$11,5,0)</f>
        <v>18</v>
      </c>
      <c r="P374" s="64">
        <f>PRODUCT(Table13[[#This Row],[Quantity]],Table13[[#This Row],[Unit_Cost]])</f>
        <v>234</v>
      </c>
      <c r="Q374" s="65">
        <f>Table13[[#This Row],[Profit]]/Table13[[#This Row],[Total_Sales]]</f>
        <v>0.12820512820512819</v>
      </c>
      <c r="R374" s="1"/>
      <c r="S374" s="1"/>
      <c r="T374" s="1"/>
    </row>
    <row r="375" spans="1:20" x14ac:dyDescent="0.25">
      <c r="A375" s="22" t="s">
        <v>528</v>
      </c>
      <c r="B375" s="63">
        <v>45365</v>
      </c>
      <c r="C375" s="22" t="s">
        <v>100</v>
      </c>
      <c r="D375" s="22" t="str">
        <f>PROPER(TRIM(Raw_Data!D375))</f>
        <v>Japan</v>
      </c>
      <c r="E375" s="22" t="s">
        <v>51</v>
      </c>
      <c r="F375" s="22" t="s">
        <v>52</v>
      </c>
      <c r="G375" s="66">
        <v>25</v>
      </c>
      <c r="H375" s="2">
        <v>37.58</v>
      </c>
      <c r="I375" s="64">
        <f>PRODUCT(Table13[[#This Row],[Quantity]:[Unit_Price]])</f>
        <v>939.5</v>
      </c>
      <c r="J375" s="2">
        <v>48.44</v>
      </c>
      <c r="K375" s="2">
        <v>328.56</v>
      </c>
      <c r="L375" s="22" t="s">
        <v>38</v>
      </c>
      <c r="M375" s="22" t="s">
        <v>32</v>
      </c>
      <c r="N375" s="22" t="s">
        <v>58</v>
      </c>
      <c r="O375" s="64">
        <f>VLOOKUP($E375,Products!$B$2:$F$11,5,0)</f>
        <v>22.5</v>
      </c>
      <c r="P375" s="64">
        <f>PRODUCT(Table13[[#This Row],[Quantity]],Table13[[#This Row],[Unit_Cost]])</f>
        <v>562.5</v>
      </c>
      <c r="Q375" s="65">
        <f>Table13[[#This Row],[Profit]]/Table13[[#This Row],[Total_Sales]]</f>
        <v>0.34971793507184673</v>
      </c>
      <c r="R375" s="1"/>
      <c r="S375" s="1"/>
      <c r="T375" s="1"/>
    </row>
    <row r="376" spans="1:20" x14ac:dyDescent="0.25">
      <c r="A376" s="22" t="s">
        <v>529</v>
      </c>
      <c r="B376" s="63">
        <v>45704</v>
      </c>
      <c r="C376" s="22" t="s">
        <v>303</v>
      </c>
      <c r="D376" s="22" t="str">
        <f>PROPER(TRIM(Raw_Data!D376))</f>
        <v>Germany</v>
      </c>
      <c r="E376" s="22" t="s">
        <v>48</v>
      </c>
      <c r="F376" s="22" t="s">
        <v>37</v>
      </c>
      <c r="G376" s="66">
        <v>16</v>
      </c>
      <c r="H376" s="2">
        <v>25.25</v>
      </c>
      <c r="I376" s="64">
        <f>PRODUCT(Table13[[#This Row],[Quantity]:[Unit_Price]])</f>
        <v>404</v>
      </c>
      <c r="J376" s="2">
        <v>18.75</v>
      </c>
      <c r="K376" s="2">
        <v>65.25</v>
      </c>
      <c r="L376" s="22" t="s">
        <v>26</v>
      </c>
      <c r="M376" s="22" t="s">
        <v>32</v>
      </c>
      <c r="N376" s="22" t="s">
        <v>28</v>
      </c>
      <c r="O376" s="64">
        <f>VLOOKUP($E376,Products!$B$2:$F$11,5,0)</f>
        <v>20</v>
      </c>
      <c r="P376" s="64">
        <f>PRODUCT(Table13[[#This Row],[Quantity]],Table13[[#This Row],[Unit_Cost]])</f>
        <v>320</v>
      </c>
      <c r="Q376" s="65">
        <f>Table13[[#This Row],[Profit]]/Table13[[#This Row],[Total_Sales]]</f>
        <v>0.16150990099009901</v>
      </c>
      <c r="R376" s="1"/>
      <c r="S376" s="1"/>
      <c r="T376" s="1"/>
    </row>
    <row r="377" spans="1:20" x14ac:dyDescent="0.25">
      <c r="A377" s="22" t="s">
        <v>530</v>
      </c>
      <c r="B377" s="63">
        <v>45564</v>
      </c>
      <c r="C377" s="22" t="s">
        <v>240</v>
      </c>
      <c r="D377" s="22" t="str">
        <f>PROPER(TRIM(Raw_Data!D377))</f>
        <v>Japan</v>
      </c>
      <c r="E377" s="22" t="s">
        <v>60</v>
      </c>
      <c r="F377" s="22" t="s">
        <v>52</v>
      </c>
      <c r="G377" s="66">
        <v>37</v>
      </c>
      <c r="H377" s="2">
        <v>25.85</v>
      </c>
      <c r="I377" s="64">
        <f>PRODUCT(Table13[[#This Row],[Quantity]:[Unit_Price]])</f>
        <v>956.45</v>
      </c>
      <c r="J377" s="2">
        <v>31.7</v>
      </c>
      <c r="K377" s="2">
        <v>351.25</v>
      </c>
      <c r="L377" s="22" t="s">
        <v>38</v>
      </c>
      <c r="M377" s="22" t="s">
        <v>32</v>
      </c>
      <c r="N377" s="22" t="s">
        <v>58</v>
      </c>
      <c r="O377" s="64">
        <f>VLOOKUP($E377,Products!$B$2:$F$11,5,0)</f>
        <v>15.5</v>
      </c>
      <c r="P377" s="64">
        <f>PRODUCT(Table13[[#This Row],[Quantity]],Table13[[#This Row],[Unit_Cost]])</f>
        <v>573.5</v>
      </c>
      <c r="Q377" s="65">
        <f>Table13[[#This Row],[Profit]]/Table13[[#This Row],[Total_Sales]]</f>
        <v>0.3672434523498353</v>
      </c>
      <c r="R377" s="1"/>
      <c r="S377" s="1"/>
      <c r="T377" s="1"/>
    </row>
    <row r="378" spans="1:20" x14ac:dyDescent="0.25">
      <c r="A378" s="22" t="s">
        <v>531</v>
      </c>
      <c r="B378" s="63">
        <v>45671</v>
      </c>
      <c r="C378" s="22" t="s">
        <v>54</v>
      </c>
      <c r="D378" s="22" t="str">
        <f>PROPER(TRIM(Raw_Data!D378))</f>
        <v>Singapore</v>
      </c>
      <c r="E378" s="22" t="s">
        <v>48</v>
      </c>
      <c r="F378" s="22" t="s">
        <v>37</v>
      </c>
      <c r="G378" s="66">
        <v>1</v>
      </c>
      <c r="H378" s="2">
        <v>25.72</v>
      </c>
      <c r="I378" s="64">
        <f>PRODUCT(Table13[[#This Row],[Quantity]:[Unit_Price]])</f>
        <v>25.72</v>
      </c>
      <c r="J378" s="2">
        <v>2.04</v>
      </c>
      <c r="K378" s="2">
        <v>3.68</v>
      </c>
      <c r="L378" s="22" t="s">
        <v>38</v>
      </c>
      <c r="M378" s="22" t="s">
        <v>32</v>
      </c>
      <c r="N378" s="22" t="s">
        <v>58</v>
      </c>
      <c r="O378" s="64">
        <f>VLOOKUP($E378,Products!$B$2:$F$11,5,0)</f>
        <v>20</v>
      </c>
      <c r="P378" s="64">
        <f>PRODUCT(Table13[[#This Row],[Quantity]],Table13[[#This Row],[Unit_Cost]])</f>
        <v>20</v>
      </c>
      <c r="Q378" s="65">
        <f>Table13[[#This Row],[Profit]]/Table13[[#This Row],[Total_Sales]]</f>
        <v>0.14307931570762053</v>
      </c>
      <c r="R378" s="1"/>
      <c r="S378" s="1"/>
      <c r="T378" s="1"/>
    </row>
    <row r="379" spans="1:20" x14ac:dyDescent="0.25">
      <c r="A379" s="22" t="s">
        <v>532</v>
      </c>
      <c r="B379" s="63">
        <v>45599</v>
      </c>
      <c r="C379" s="22" t="s">
        <v>342</v>
      </c>
      <c r="D379" s="22" t="str">
        <f>PROPER(TRIM(Raw_Data!D379))</f>
        <v>Singapore</v>
      </c>
      <c r="E379" s="22" t="s">
        <v>83</v>
      </c>
      <c r="F379" s="22" t="s">
        <v>52</v>
      </c>
      <c r="G379" s="66">
        <v>48</v>
      </c>
      <c r="H379" s="2">
        <v>47.05</v>
      </c>
      <c r="I379" s="64">
        <f>PRODUCT(Table13[[#This Row],[Quantity]:[Unit_Price]])</f>
        <v>2258.3999999999996</v>
      </c>
      <c r="J379" s="2">
        <v>179.44</v>
      </c>
      <c r="K379" s="2">
        <v>734.96</v>
      </c>
      <c r="L379" s="22" t="s">
        <v>26</v>
      </c>
      <c r="M379" s="22" t="s">
        <v>27</v>
      </c>
      <c r="N379" s="22" t="s">
        <v>58</v>
      </c>
      <c r="O379" s="64">
        <f>VLOOKUP($E379,Products!$B$2:$F$11,5,0)</f>
        <v>28</v>
      </c>
      <c r="P379" s="64">
        <f>PRODUCT(Table13[[#This Row],[Quantity]],Table13[[#This Row],[Unit_Cost]])</f>
        <v>1344</v>
      </c>
      <c r="Q379" s="65">
        <f>Table13[[#This Row],[Profit]]/Table13[[#This Row],[Total_Sales]]</f>
        <v>0.32543393552957856</v>
      </c>
      <c r="R379" s="1"/>
      <c r="S379" s="1"/>
      <c r="T379" s="1"/>
    </row>
    <row r="380" spans="1:20" x14ac:dyDescent="0.25">
      <c r="A380" s="22" t="s">
        <v>533</v>
      </c>
      <c r="B380" s="63">
        <v>45363</v>
      </c>
      <c r="C380" s="22" t="s">
        <v>123</v>
      </c>
      <c r="D380" s="22" t="str">
        <f>PROPER(TRIM(Raw_Data!D380))</f>
        <v>Brazil</v>
      </c>
      <c r="E380" s="22" t="s">
        <v>48</v>
      </c>
      <c r="F380" s="22" t="s">
        <v>37</v>
      </c>
      <c r="G380" s="66">
        <v>48</v>
      </c>
      <c r="H380" s="2">
        <v>29.94</v>
      </c>
      <c r="I380" s="64">
        <f>PRODUCT(Table13[[#This Row],[Quantity]:[Unit_Price]])</f>
        <v>1437.1200000000001</v>
      </c>
      <c r="J380" s="2">
        <v>30.14</v>
      </c>
      <c r="K380" s="2">
        <v>446.98</v>
      </c>
      <c r="L380" s="22" t="s">
        <v>26</v>
      </c>
      <c r="M380" s="22" t="s">
        <v>27</v>
      </c>
      <c r="N380" s="22" t="s">
        <v>39</v>
      </c>
      <c r="O380" s="64">
        <f>VLOOKUP($E380,Products!$B$2:$F$11,5,0)</f>
        <v>20</v>
      </c>
      <c r="P380" s="64">
        <f>PRODUCT(Table13[[#This Row],[Quantity]],Table13[[#This Row],[Unit_Cost]])</f>
        <v>960</v>
      </c>
      <c r="Q380" s="65">
        <f>Table13[[#This Row],[Profit]]/Table13[[#This Row],[Total_Sales]]</f>
        <v>0.31102482743264304</v>
      </c>
      <c r="R380" s="1"/>
      <c r="S380" s="1"/>
      <c r="T380" s="1"/>
    </row>
    <row r="381" spans="1:20" x14ac:dyDescent="0.25">
      <c r="A381" s="22" t="s">
        <v>534</v>
      </c>
      <c r="B381" s="63">
        <v>45533</v>
      </c>
      <c r="C381" s="22" t="s">
        <v>371</v>
      </c>
      <c r="D381" s="22" t="str">
        <f>PROPER(TRIM(Raw_Data!D381))</f>
        <v>Italy</v>
      </c>
      <c r="E381" s="22" t="s">
        <v>51</v>
      </c>
      <c r="F381" s="22" t="s">
        <v>52</v>
      </c>
      <c r="G381" s="66">
        <v>12</v>
      </c>
      <c r="H381" s="2">
        <v>35.68</v>
      </c>
      <c r="I381" s="64">
        <f>PRODUCT(Table13[[#This Row],[Quantity]:[Unit_Price]])</f>
        <v>428.15999999999997</v>
      </c>
      <c r="J381" s="2">
        <v>13.07</v>
      </c>
      <c r="K381" s="2">
        <v>145.09</v>
      </c>
      <c r="L381" s="22" t="s">
        <v>26</v>
      </c>
      <c r="M381" s="22" t="s">
        <v>32</v>
      </c>
      <c r="N381" s="22" t="s">
        <v>28</v>
      </c>
      <c r="O381" s="64">
        <f>VLOOKUP($E381,Products!$B$2:$F$11,5,0)</f>
        <v>22.5</v>
      </c>
      <c r="P381" s="64">
        <f>PRODUCT(Table13[[#This Row],[Quantity]],Table13[[#This Row],[Unit_Cost]])</f>
        <v>270</v>
      </c>
      <c r="Q381" s="65">
        <f>Table13[[#This Row],[Profit]]/Table13[[#This Row],[Total_Sales]]</f>
        <v>0.33886864723467863</v>
      </c>
      <c r="R381" s="1"/>
      <c r="S381" s="1"/>
      <c r="T381" s="1"/>
    </row>
    <row r="382" spans="1:20" x14ac:dyDescent="0.25">
      <c r="A382" s="22" t="s">
        <v>535</v>
      </c>
      <c r="B382" s="63">
        <v>45562</v>
      </c>
      <c r="C382" s="22" t="s">
        <v>286</v>
      </c>
      <c r="D382" s="22" t="str">
        <f>PROPER(TRIM(Raw_Data!D382))</f>
        <v>Usa</v>
      </c>
      <c r="E382" s="22" t="s">
        <v>36</v>
      </c>
      <c r="F382" s="22" t="s">
        <v>37</v>
      </c>
      <c r="G382" s="66">
        <v>30</v>
      </c>
      <c r="H382" s="2">
        <v>49.32</v>
      </c>
      <c r="I382" s="64">
        <f>PRODUCT(Table13[[#This Row],[Quantity]:[Unit_Price]])</f>
        <v>1479.6</v>
      </c>
      <c r="J382" s="2">
        <v>105.97</v>
      </c>
      <c r="K382" s="2">
        <v>413.63</v>
      </c>
      <c r="L382" s="22" t="s">
        <v>26</v>
      </c>
      <c r="M382" s="22" t="s">
        <v>27</v>
      </c>
      <c r="N382" s="22" t="s">
        <v>21</v>
      </c>
      <c r="O382" s="64">
        <f>VLOOKUP($E382,Products!$B$2:$F$11,5,0)</f>
        <v>32</v>
      </c>
      <c r="P382" s="64">
        <f>PRODUCT(Table13[[#This Row],[Quantity]],Table13[[#This Row],[Unit_Cost]])</f>
        <v>960</v>
      </c>
      <c r="Q382" s="65">
        <f>Table13[[#This Row],[Profit]]/Table13[[#This Row],[Total_Sales]]</f>
        <v>0.27955528521221951</v>
      </c>
      <c r="R382" s="1"/>
      <c r="S382" s="1"/>
      <c r="T382" s="1"/>
    </row>
    <row r="383" spans="1:20" x14ac:dyDescent="0.25">
      <c r="A383" s="22" t="s">
        <v>536</v>
      </c>
      <c r="B383" s="63">
        <v>45306</v>
      </c>
      <c r="C383" s="22" t="s">
        <v>300</v>
      </c>
      <c r="D383" s="22" t="str">
        <f>PROPER(TRIM(Raw_Data!D383))</f>
        <v>France</v>
      </c>
      <c r="E383" s="22" t="s">
        <v>83</v>
      </c>
      <c r="F383" s="22" t="s">
        <v>52</v>
      </c>
      <c r="G383" s="66">
        <v>27</v>
      </c>
      <c r="H383" s="2">
        <v>37.68</v>
      </c>
      <c r="I383" s="64">
        <f>PRODUCT(Table13[[#This Row],[Quantity]:[Unit_Price]])</f>
        <v>1017.36</v>
      </c>
      <c r="J383" s="2">
        <v>80.739999999999995</v>
      </c>
      <c r="K383" s="2">
        <v>180.62</v>
      </c>
      <c r="L383" s="22" t="s">
        <v>38</v>
      </c>
      <c r="M383" s="22" t="s">
        <v>20</v>
      </c>
      <c r="N383" s="22" t="s">
        <v>28</v>
      </c>
      <c r="O383" s="64">
        <f>VLOOKUP($E383,Products!$B$2:$F$11,5,0)</f>
        <v>28</v>
      </c>
      <c r="P383" s="64">
        <f>PRODUCT(Table13[[#This Row],[Quantity]],Table13[[#This Row],[Unit_Cost]])</f>
        <v>756</v>
      </c>
      <c r="Q383" s="65">
        <f>Table13[[#This Row],[Profit]]/Table13[[#This Row],[Total_Sales]]</f>
        <v>0.17753794133836598</v>
      </c>
      <c r="R383" s="1"/>
      <c r="S383" s="1"/>
      <c r="T383" s="1"/>
    </row>
    <row r="384" spans="1:20" x14ac:dyDescent="0.25">
      <c r="A384" s="22" t="s">
        <v>537</v>
      </c>
      <c r="B384" s="63">
        <v>45732</v>
      </c>
      <c r="C384" s="22" t="s">
        <v>173</v>
      </c>
      <c r="D384" s="22" t="str">
        <f>PROPER(TRIM(Raw_Data!D384))</f>
        <v>Italy</v>
      </c>
      <c r="E384" s="22" t="s">
        <v>56</v>
      </c>
      <c r="F384" s="22" t="s">
        <v>57</v>
      </c>
      <c r="G384" s="66">
        <v>39</v>
      </c>
      <c r="H384" s="2">
        <v>36.340000000000003</v>
      </c>
      <c r="I384" s="64">
        <f>PRODUCT(Table13[[#This Row],[Quantity]:[Unit_Price]])</f>
        <v>1417.2600000000002</v>
      </c>
      <c r="J384" s="2">
        <v>67</v>
      </c>
      <c r="K384" s="2">
        <v>375.26</v>
      </c>
      <c r="L384" s="22" t="s">
        <v>38</v>
      </c>
      <c r="M384" s="22" t="s">
        <v>27</v>
      </c>
      <c r="N384" s="22" t="s">
        <v>28</v>
      </c>
      <c r="O384" s="64">
        <f>VLOOKUP($E384,Products!$B$2:$F$11,5,0)</f>
        <v>25</v>
      </c>
      <c r="P384" s="64">
        <f>PRODUCT(Table13[[#This Row],[Quantity]],Table13[[#This Row],[Unit_Cost]])</f>
        <v>975</v>
      </c>
      <c r="Q384" s="65">
        <f>Table13[[#This Row],[Profit]]/Table13[[#This Row],[Total_Sales]]</f>
        <v>0.264778516292</v>
      </c>
      <c r="R384" s="1"/>
      <c r="S384" s="1"/>
      <c r="T384" s="1"/>
    </row>
    <row r="385" spans="1:20" x14ac:dyDescent="0.25">
      <c r="A385" s="22" t="s">
        <v>538</v>
      </c>
      <c r="B385" s="63">
        <v>45428</v>
      </c>
      <c r="C385" s="22" t="s">
        <v>54</v>
      </c>
      <c r="D385" s="22" t="str">
        <f>PROPER(TRIM(Raw_Data!D385))</f>
        <v>China</v>
      </c>
      <c r="E385" s="22" t="s">
        <v>60</v>
      </c>
      <c r="F385" s="22" t="s">
        <v>52</v>
      </c>
      <c r="G385" s="66">
        <v>16</v>
      </c>
      <c r="H385" s="2">
        <v>24.33</v>
      </c>
      <c r="I385" s="64">
        <f>PRODUCT(Table13[[#This Row],[Quantity]:[Unit_Price]])</f>
        <v>389.28</v>
      </c>
      <c r="J385" s="2">
        <v>22.33</v>
      </c>
      <c r="K385" s="2">
        <v>118.95</v>
      </c>
      <c r="L385" s="22" t="s">
        <v>19</v>
      </c>
      <c r="M385" s="22" t="s">
        <v>32</v>
      </c>
      <c r="N385" s="22" t="s">
        <v>58</v>
      </c>
      <c r="O385" s="64">
        <f>VLOOKUP($E385,Products!$B$2:$F$11,5,0)</f>
        <v>15.5</v>
      </c>
      <c r="P385" s="64">
        <f>PRODUCT(Table13[[#This Row],[Quantity]],Table13[[#This Row],[Unit_Cost]])</f>
        <v>248</v>
      </c>
      <c r="Q385" s="65">
        <f>Table13[[#This Row],[Profit]]/Table13[[#This Row],[Total_Sales]]</f>
        <v>0.30556411837237979</v>
      </c>
      <c r="R385" s="1"/>
      <c r="S385" s="1"/>
      <c r="T385" s="1"/>
    </row>
    <row r="386" spans="1:20" x14ac:dyDescent="0.25">
      <c r="A386" s="22" t="s">
        <v>539</v>
      </c>
      <c r="B386" s="63">
        <v>45685</v>
      </c>
      <c r="C386" s="22" t="s">
        <v>300</v>
      </c>
      <c r="D386" s="22" t="str">
        <f>PROPER(TRIM(Raw_Data!D386))</f>
        <v>Uae</v>
      </c>
      <c r="E386" s="22" t="s">
        <v>60</v>
      </c>
      <c r="F386" s="22" t="s">
        <v>52</v>
      </c>
      <c r="G386" s="66">
        <v>40</v>
      </c>
      <c r="H386" s="2">
        <v>22.28</v>
      </c>
      <c r="I386" s="64">
        <f>PRODUCT(Table13[[#This Row],[Quantity]:[Unit_Price]])</f>
        <v>891.2</v>
      </c>
      <c r="J386" s="2">
        <v>32.729999999999997</v>
      </c>
      <c r="K386" s="2">
        <v>238.47</v>
      </c>
      <c r="L386" s="22" t="s">
        <v>19</v>
      </c>
      <c r="M386" s="22" t="s">
        <v>27</v>
      </c>
      <c r="N386" s="22" t="s">
        <v>58</v>
      </c>
      <c r="O386" s="64">
        <f>VLOOKUP($E386,Products!$B$2:$F$11,5,0)</f>
        <v>15.5</v>
      </c>
      <c r="P386" s="64">
        <f>PRODUCT(Table13[[#This Row],[Quantity]],Table13[[#This Row],[Unit_Cost]])</f>
        <v>620</v>
      </c>
      <c r="Q386" s="65">
        <f>Table13[[#This Row],[Profit]]/Table13[[#This Row],[Total_Sales]]</f>
        <v>0.26758303411131057</v>
      </c>
      <c r="R386" s="1"/>
      <c r="S386" s="1"/>
      <c r="T386" s="1"/>
    </row>
    <row r="387" spans="1:20" x14ac:dyDescent="0.25">
      <c r="A387" s="22" t="s">
        <v>540</v>
      </c>
      <c r="B387" s="63">
        <v>45506</v>
      </c>
      <c r="C387" s="22" t="s">
        <v>105</v>
      </c>
      <c r="D387" s="22" t="str">
        <f>PROPER(TRIM(Raw_Data!D387))</f>
        <v>Japan</v>
      </c>
      <c r="E387" s="22" t="s">
        <v>63</v>
      </c>
      <c r="F387" s="22" t="s">
        <v>37</v>
      </c>
      <c r="G387" s="66">
        <v>45</v>
      </c>
      <c r="H387" s="2">
        <v>21.71</v>
      </c>
      <c r="I387" s="64">
        <f>PRODUCT(Table13[[#This Row],[Quantity]:[Unit_Price]])</f>
        <v>976.95</v>
      </c>
      <c r="J387" s="2">
        <v>51.6</v>
      </c>
      <c r="K387" s="2">
        <v>351.6</v>
      </c>
      <c r="L387" s="22" t="s">
        <v>19</v>
      </c>
      <c r="M387" s="22" t="s">
        <v>20</v>
      </c>
      <c r="N387" s="22" t="s">
        <v>58</v>
      </c>
      <c r="O387" s="64">
        <f>VLOOKUP($E387,Products!$B$2:$F$11,5,0)</f>
        <v>12.75</v>
      </c>
      <c r="P387" s="64">
        <f>PRODUCT(Table13[[#This Row],[Quantity]],Table13[[#This Row],[Unit_Cost]])</f>
        <v>573.75</v>
      </c>
      <c r="Q387" s="65">
        <f>Table13[[#This Row],[Profit]]/Table13[[#This Row],[Total_Sales]]</f>
        <v>0.35989559342852756</v>
      </c>
      <c r="R387" s="1"/>
      <c r="S387" s="1"/>
      <c r="T387" s="1"/>
    </row>
    <row r="388" spans="1:20" x14ac:dyDescent="0.25">
      <c r="A388" s="22" t="s">
        <v>541</v>
      </c>
      <c r="B388" s="63">
        <v>45525</v>
      </c>
      <c r="C388" s="22" t="s">
        <v>181</v>
      </c>
      <c r="D388" s="22" t="str">
        <f>PROPER(TRIM(Raw_Data!D388))</f>
        <v>Germany</v>
      </c>
      <c r="E388" s="22" t="s">
        <v>56</v>
      </c>
      <c r="F388" s="22" t="s">
        <v>57</v>
      </c>
      <c r="G388" s="66">
        <v>8</v>
      </c>
      <c r="H388" s="2">
        <v>31.07</v>
      </c>
      <c r="I388" s="64">
        <f>PRODUCT(Table13[[#This Row],[Quantity]:[Unit_Price]])</f>
        <v>248.56</v>
      </c>
      <c r="J388" s="2">
        <v>10.97</v>
      </c>
      <c r="K388" s="2">
        <v>37.590000000000003</v>
      </c>
      <c r="L388" s="22" t="s">
        <v>19</v>
      </c>
      <c r="M388" s="22" t="s">
        <v>27</v>
      </c>
      <c r="N388" s="22" t="s">
        <v>28</v>
      </c>
      <c r="O388" s="64">
        <f>VLOOKUP($E388,Products!$B$2:$F$11,5,0)</f>
        <v>25</v>
      </c>
      <c r="P388" s="64">
        <f>PRODUCT(Table13[[#This Row],[Quantity]],Table13[[#This Row],[Unit_Cost]])</f>
        <v>200</v>
      </c>
      <c r="Q388" s="65">
        <f>Table13[[#This Row],[Profit]]/Table13[[#This Row],[Total_Sales]]</f>
        <v>0.15123109108464758</v>
      </c>
      <c r="R388" s="1"/>
      <c r="S388" s="1"/>
      <c r="T388" s="1"/>
    </row>
    <row r="389" spans="1:20" x14ac:dyDescent="0.25">
      <c r="A389" s="22" t="s">
        <v>542</v>
      </c>
      <c r="B389" s="63">
        <v>45339</v>
      </c>
      <c r="C389" s="22" t="s">
        <v>231</v>
      </c>
      <c r="D389" s="22" t="str">
        <f>PROPER(TRIM(Raw_Data!D389))</f>
        <v>France</v>
      </c>
      <c r="E389" s="22" t="s">
        <v>63</v>
      </c>
      <c r="F389" s="22" t="s">
        <v>37</v>
      </c>
      <c r="G389" s="66">
        <v>47</v>
      </c>
      <c r="H389" s="2">
        <v>21.93</v>
      </c>
      <c r="I389" s="64">
        <f>PRODUCT(Table13[[#This Row],[Quantity]:[Unit_Price]])</f>
        <v>1030.71</v>
      </c>
      <c r="J389" s="2">
        <v>70.989999999999995</v>
      </c>
      <c r="K389" s="2">
        <v>360.47</v>
      </c>
      <c r="L389" s="22" t="s">
        <v>38</v>
      </c>
      <c r="M389" s="22" t="s">
        <v>20</v>
      </c>
      <c r="N389" s="22" t="s">
        <v>28</v>
      </c>
      <c r="O389" s="64">
        <f>VLOOKUP($E389,Products!$B$2:$F$11,5,0)</f>
        <v>12.75</v>
      </c>
      <c r="P389" s="64">
        <f>PRODUCT(Table13[[#This Row],[Quantity]],Table13[[#This Row],[Unit_Cost]])</f>
        <v>599.25</v>
      </c>
      <c r="Q389" s="65">
        <f>Table13[[#This Row],[Profit]]/Table13[[#This Row],[Total_Sales]]</f>
        <v>0.3497297979062976</v>
      </c>
      <c r="R389" s="1"/>
      <c r="S389" s="1"/>
      <c r="T389" s="1"/>
    </row>
    <row r="390" spans="1:20" x14ac:dyDescent="0.25">
      <c r="A390" s="22" t="s">
        <v>543</v>
      </c>
      <c r="B390" s="63">
        <v>45486</v>
      </c>
      <c r="C390" s="22" t="s">
        <v>102</v>
      </c>
      <c r="D390" s="22" t="str">
        <f>PROPER(TRIM(Raw_Data!D390))</f>
        <v>France</v>
      </c>
      <c r="E390" s="22" t="s">
        <v>63</v>
      </c>
      <c r="F390" s="22" t="s">
        <v>37</v>
      </c>
      <c r="G390" s="66">
        <v>46</v>
      </c>
      <c r="H390" s="2">
        <v>21.46</v>
      </c>
      <c r="I390" s="64">
        <f>PRODUCT(Table13[[#This Row],[Quantity]:[Unit_Price]])</f>
        <v>987.16000000000008</v>
      </c>
      <c r="J390" s="2">
        <v>21.64</v>
      </c>
      <c r="K390" s="2">
        <v>379.02</v>
      </c>
      <c r="L390" s="22" t="s">
        <v>26</v>
      </c>
      <c r="M390" s="22" t="s">
        <v>20</v>
      </c>
      <c r="N390" s="22" t="s">
        <v>28</v>
      </c>
      <c r="O390" s="64">
        <f>VLOOKUP($E390,Products!$B$2:$F$11,5,0)</f>
        <v>12.75</v>
      </c>
      <c r="P390" s="64">
        <f>PRODUCT(Table13[[#This Row],[Quantity]],Table13[[#This Row],[Unit_Cost]])</f>
        <v>586.5</v>
      </c>
      <c r="Q390" s="65">
        <f>Table13[[#This Row],[Profit]]/Table13[[#This Row],[Total_Sales]]</f>
        <v>0.38394991693342512</v>
      </c>
      <c r="R390" s="1"/>
      <c r="S390" s="1"/>
      <c r="T390" s="1"/>
    </row>
    <row r="391" spans="1:20" x14ac:dyDescent="0.25">
      <c r="A391" s="22" t="s">
        <v>544</v>
      </c>
      <c r="B391" s="63">
        <v>45701</v>
      </c>
      <c r="C391" s="22" t="s">
        <v>76</v>
      </c>
      <c r="D391" s="22" t="str">
        <f>PROPER(TRIM(Raw_Data!D391))</f>
        <v>Usa</v>
      </c>
      <c r="E391" s="22" t="s">
        <v>83</v>
      </c>
      <c r="F391" s="22" t="s">
        <v>52</v>
      </c>
      <c r="G391" s="66">
        <v>45</v>
      </c>
      <c r="H391" s="2">
        <v>47.1</v>
      </c>
      <c r="I391" s="64">
        <f>PRODUCT(Table13[[#This Row],[Quantity]:[Unit_Price]])</f>
        <v>2119.5</v>
      </c>
      <c r="J391" s="2">
        <v>120.16</v>
      </c>
      <c r="K391" s="2">
        <v>739.34</v>
      </c>
      <c r="L391" s="22" t="s">
        <v>26</v>
      </c>
      <c r="M391" s="22" t="s">
        <v>27</v>
      </c>
      <c r="N391" s="22" t="s">
        <v>21</v>
      </c>
      <c r="O391" s="64">
        <f>VLOOKUP($E391,Products!$B$2:$F$11,5,0)</f>
        <v>28</v>
      </c>
      <c r="P391" s="64">
        <f>PRODUCT(Table13[[#This Row],[Quantity]],Table13[[#This Row],[Unit_Cost]])</f>
        <v>1260</v>
      </c>
      <c r="Q391" s="65">
        <f>Table13[[#This Row],[Profit]]/Table13[[#This Row],[Total_Sales]]</f>
        <v>0.34882755366831802</v>
      </c>
      <c r="R391" s="1"/>
      <c r="S391" s="1"/>
      <c r="T391" s="1"/>
    </row>
    <row r="392" spans="1:20" x14ac:dyDescent="0.25">
      <c r="A392" s="22" t="s">
        <v>545</v>
      </c>
      <c r="B392" s="63">
        <v>45731</v>
      </c>
      <c r="C392" s="22" t="s">
        <v>15</v>
      </c>
      <c r="D392" s="22" t="str">
        <f>PROPER(TRIM(Raw_Data!D392))</f>
        <v>India</v>
      </c>
      <c r="E392" s="22" t="s">
        <v>17</v>
      </c>
      <c r="F392" s="22" t="s">
        <v>18</v>
      </c>
      <c r="G392" s="66">
        <v>2</v>
      </c>
      <c r="H392" s="2">
        <v>58.32</v>
      </c>
      <c r="I392" s="64">
        <f>PRODUCT(Table13[[#This Row],[Quantity]:[Unit_Price]])</f>
        <v>116.64</v>
      </c>
      <c r="J392" s="2">
        <v>8.99</v>
      </c>
      <c r="K392" s="2">
        <v>37.65</v>
      </c>
      <c r="L392" s="22" t="s">
        <v>19</v>
      </c>
      <c r="M392" s="22" t="s">
        <v>27</v>
      </c>
      <c r="N392" s="22" t="s">
        <v>58</v>
      </c>
      <c r="O392" s="64">
        <f>VLOOKUP($E392,Products!$B$2:$F$11,5,0)</f>
        <v>35</v>
      </c>
      <c r="P392" s="64">
        <f>PRODUCT(Table13[[#This Row],[Quantity]],Table13[[#This Row],[Unit_Cost]])</f>
        <v>70</v>
      </c>
      <c r="Q392" s="65">
        <f>Table13[[#This Row],[Profit]]/Table13[[#This Row],[Total_Sales]]</f>
        <v>0.32278806584362141</v>
      </c>
      <c r="R392" s="1"/>
      <c r="S392" s="1"/>
      <c r="T392" s="1"/>
    </row>
    <row r="393" spans="1:20" x14ac:dyDescent="0.25">
      <c r="A393" s="22" t="s">
        <v>546</v>
      </c>
      <c r="B393" s="63">
        <v>45338</v>
      </c>
      <c r="C393" s="22" t="s">
        <v>300</v>
      </c>
      <c r="D393" s="22" t="str">
        <f>PROPER(TRIM(Raw_Data!D393))</f>
        <v>France</v>
      </c>
      <c r="E393" s="22" t="s">
        <v>17</v>
      </c>
      <c r="F393" s="22" t="s">
        <v>18</v>
      </c>
      <c r="G393" s="66">
        <v>31</v>
      </c>
      <c r="H393" s="2">
        <v>61.34</v>
      </c>
      <c r="I393" s="64">
        <f>PRODUCT(Table13[[#This Row],[Quantity]:[Unit_Price]])</f>
        <v>1901.5400000000002</v>
      </c>
      <c r="J393" s="2">
        <v>147.43</v>
      </c>
      <c r="K393" s="2">
        <v>669.11</v>
      </c>
      <c r="L393" s="22" t="s">
        <v>26</v>
      </c>
      <c r="M393" s="22" t="s">
        <v>20</v>
      </c>
      <c r="N393" s="22" t="s">
        <v>28</v>
      </c>
      <c r="O393" s="64">
        <f>VLOOKUP($E393,Products!$B$2:$F$11,5,0)</f>
        <v>35</v>
      </c>
      <c r="P393" s="64">
        <f>PRODUCT(Table13[[#This Row],[Quantity]],Table13[[#This Row],[Unit_Cost]])</f>
        <v>1085</v>
      </c>
      <c r="Q393" s="65">
        <f>Table13[[#This Row],[Profit]]/Table13[[#This Row],[Total_Sales]]</f>
        <v>0.35187795155505536</v>
      </c>
      <c r="R393" s="1"/>
      <c r="S393" s="1"/>
      <c r="T393" s="1"/>
    </row>
    <row r="394" spans="1:20" x14ac:dyDescent="0.25">
      <c r="A394" s="22" t="s">
        <v>547</v>
      </c>
      <c r="B394" s="63">
        <v>45359</v>
      </c>
      <c r="C394" s="22" t="s">
        <v>166</v>
      </c>
      <c r="D394" s="22" t="str">
        <f>PROPER(TRIM(Raw_Data!D394))</f>
        <v>Canada</v>
      </c>
      <c r="E394" s="22" t="s">
        <v>56</v>
      </c>
      <c r="F394" s="22" t="s">
        <v>57</v>
      </c>
      <c r="G394" s="66">
        <v>15</v>
      </c>
      <c r="H394" s="2">
        <v>43.9</v>
      </c>
      <c r="I394" s="64">
        <f>PRODUCT(Table13[[#This Row],[Quantity]:[Unit_Price]])</f>
        <v>658.5</v>
      </c>
      <c r="J394" s="2">
        <v>36.479999999999997</v>
      </c>
      <c r="K394" s="2">
        <v>247.02</v>
      </c>
      <c r="L394" s="22" t="s">
        <v>38</v>
      </c>
      <c r="M394" s="22" t="s">
        <v>27</v>
      </c>
      <c r="N394" s="22" t="s">
        <v>21</v>
      </c>
      <c r="O394" s="64">
        <f>VLOOKUP($E394,Products!$B$2:$F$11,5,0)</f>
        <v>25</v>
      </c>
      <c r="P394" s="64">
        <f>PRODUCT(Table13[[#This Row],[Quantity]],Table13[[#This Row],[Unit_Cost]])</f>
        <v>375</v>
      </c>
      <c r="Q394" s="65">
        <f>Table13[[#This Row],[Profit]]/Table13[[#This Row],[Total_Sales]]</f>
        <v>0.37512528473804102</v>
      </c>
      <c r="R394" s="1"/>
      <c r="S394" s="1"/>
      <c r="T394" s="1"/>
    </row>
    <row r="395" spans="1:20" x14ac:dyDescent="0.25">
      <c r="A395" s="22" t="s">
        <v>548</v>
      </c>
      <c r="B395" s="63">
        <v>45626</v>
      </c>
      <c r="C395" s="22" t="s">
        <v>166</v>
      </c>
      <c r="D395" s="22" t="str">
        <f>PROPER(TRIM(Raw_Data!D395))</f>
        <v>Italy</v>
      </c>
      <c r="E395" s="22" t="s">
        <v>63</v>
      </c>
      <c r="F395" s="22" t="s">
        <v>37</v>
      </c>
      <c r="G395" s="66">
        <v>4</v>
      </c>
      <c r="H395" s="2">
        <v>20.53</v>
      </c>
      <c r="I395" s="64">
        <f>PRODUCT(Table13[[#This Row],[Quantity]:[Unit_Price]])</f>
        <v>82.12</v>
      </c>
      <c r="J395" s="2">
        <v>4.05</v>
      </c>
      <c r="K395" s="2">
        <v>27.07</v>
      </c>
      <c r="L395" s="22" t="s">
        <v>19</v>
      </c>
      <c r="M395" s="22" t="s">
        <v>32</v>
      </c>
      <c r="N395" s="22" t="s">
        <v>28</v>
      </c>
      <c r="O395" s="64">
        <f>VLOOKUP($E395,Products!$B$2:$F$11,5,0)</f>
        <v>12.75</v>
      </c>
      <c r="P395" s="64">
        <f>PRODUCT(Table13[[#This Row],[Quantity]],Table13[[#This Row],[Unit_Cost]])</f>
        <v>51</v>
      </c>
      <c r="Q395" s="65">
        <f>Table13[[#This Row],[Profit]]/Table13[[#This Row],[Total_Sales]]</f>
        <v>0.32963955187530442</v>
      </c>
      <c r="R395" s="1"/>
      <c r="S395" s="1"/>
      <c r="T395" s="1"/>
    </row>
    <row r="396" spans="1:20" x14ac:dyDescent="0.25">
      <c r="A396" s="22" t="s">
        <v>549</v>
      </c>
      <c r="B396" s="63">
        <v>45492</v>
      </c>
      <c r="C396" s="22" t="s">
        <v>149</v>
      </c>
      <c r="D396" s="22" t="str">
        <f>PROPER(TRIM(Raw_Data!D396))</f>
        <v>Australia</v>
      </c>
      <c r="E396" s="22" t="s">
        <v>48</v>
      </c>
      <c r="F396" s="22" t="s">
        <v>37</v>
      </c>
      <c r="G396" s="66">
        <v>6</v>
      </c>
      <c r="H396" s="2">
        <v>24.7</v>
      </c>
      <c r="I396" s="64">
        <f>PRODUCT(Table13[[#This Row],[Quantity]:[Unit_Price]])</f>
        <v>148.19999999999999</v>
      </c>
      <c r="J396" s="2">
        <v>3.76</v>
      </c>
      <c r="K396" s="2">
        <v>24.44</v>
      </c>
      <c r="L396" s="22" t="s">
        <v>38</v>
      </c>
      <c r="M396" s="22" t="s">
        <v>20</v>
      </c>
      <c r="N396" s="22" t="s">
        <v>130</v>
      </c>
      <c r="O396" s="64">
        <f>VLOOKUP($E396,Products!$B$2:$F$11,5,0)</f>
        <v>20</v>
      </c>
      <c r="P396" s="64">
        <f>PRODUCT(Table13[[#This Row],[Quantity]],Table13[[#This Row],[Unit_Cost]])</f>
        <v>120</v>
      </c>
      <c r="Q396" s="65">
        <f>Table13[[#This Row],[Profit]]/Table13[[#This Row],[Total_Sales]]</f>
        <v>0.1649122807017544</v>
      </c>
      <c r="R396" s="1"/>
      <c r="S396" s="1"/>
      <c r="T396" s="1"/>
    </row>
    <row r="397" spans="1:20" x14ac:dyDescent="0.25">
      <c r="A397" s="22" t="s">
        <v>550</v>
      </c>
      <c r="B397" s="63">
        <v>45645</v>
      </c>
      <c r="C397" s="22" t="s">
        <v>330</v>
      </c>
      <c r="D397" s="22" t="str">
        <f>PROPER(TRIM(Raw_Data!D397))</f>
        <v>Brazil</v>
      </c>
      <c r="E397" s="22" t="s">
        <v>63</v>
      </c>
      <c r="F397" s="22" t="s">
        <v>37</v>
      </c>
      <c r="G397" s="66">
        <v>19</v>
      </c>
      <c r="H397" s="2">
        <v>19.170000000000002</v>
      </c>
      <c r="I397" s="64">
        <f>PRODUCT(Table13[[#This Row],[Quantity]:[Unit_Price]])</f>
        <v>364.23</v>
      </c>
      <c r="J397" s="2">
        <v>15.16</v>
      </c>
      <c r="K397" s="2">
        <v>106.82</v>
      </c>
      <c r="L397" s="22" t="s">
        <v>26</v>
      </c>
      <c r="M397" s="22" t="s">
        <v>27</v>
      </c>
      <c r="N397" s="22" t="s">
        <v>39</v>
      </c>
      <c r="O397" s="64">
        <f>VLOOKUP($E397,Products!$B$2:$F$11,5,0)</f>
        <v>12.75</v>
      </c>
      <c r="P397" s="64">
        <f>PRODUCT(Table13[[#This Row],[Quantity]],Table13[[#This Row],[Unit_Cost]])</f>
        <v>242.25</v>
      </c>
      <c r="Q397" s="65">
        <f>Table13[[#This Row],[Profit]]/Table13[[#This Row],[Total_Sales]]</f>
        <v>0.29327622656014052</v>
      </c>
      <c r="R397" s="1"/>
      <c r="S397" s="1"/>
      <c r="T397" s="1"/>
    </row>
    <row r="398" spans="1:20" x14ac:dyDescent="0.25">
      <c r="A398" s="22" t="s">
        <v>551</v>
      </c>
      <c r="B398" s="63">
        <v>45425</v>
      </c>
      <c r="C398" s="22" t="s">
        <v>399</v>
      </c>
      <c r="D398" s="22" t="str">
        <f>PROPER(TRIM(Raw_Data!D398))</f>
        <v>China</v>
      </c>
      <c r="E398" s="22" t="s">
        <v>43</v>
      </c>
      <c r="F398" s="22" t="s">
        <v>44</v>
      </c>
      <c r="G398" s="66">
        <v>2</v>
      </c>
      <c r="H398" s="2">
        <v>55.28</v>
      </c>
      <c r="I398" s="64">
        <f>PRODUCT(Table13[[#This Row],[Quantity]:[Unit_Price]])</f>
        <v>110.56</v>
      </c>
      <c r="J398" s="2">
        <v>5.37</v>
      </c>
      <c r="K398" s="2">
        <v>25.19</v>
      </c>
      <c r="L398" s="22" t="s">
        <v>38</v>
      </c>
      <c r="M398" s="22" t="s">
        <v>27</v>
      </c>
      <c r="N398" s="22" t="s">
        <v>58</v>
      </c>
      <c r="O398" s="64">
        <f>VLOOKUP($E398,Products!$B$2:$F$11,5,0)</f>
        <v>40</v>
      </c>
      <c r="P398" s="64">
        <f>PRODUCT(Table13[[#This Row],[Quantity]],Table13[[#This Row],[Unit_Cost]])</f>
        <v>80</v>
      </c>
      <c r="Q398" s="65">
        <f>Table13[[#This Row],[Profit]]/Table13[[#This Row],[Total_Sales]]</f>
        <v>0.22784008683068019</v>
      </c>
      <c r="R398" s="1"/>
      <c r="S398" s="1"/>
      <c r="T398" s="1"/>
    </row>
    <row r="399" spans="1:20" x14ac:dyDescent="0.25">
      <c r="A399" s="22" t="s">
        <v>552</v>
      </c>
      <c r="B399" s="63">
        <v>45444</v>
      </c>
      <c r="C399" s="22" t="s">
        <v>211</v>
      </c>
      <c r="D399" s="22" t="str">
        <f>PROPER(TRIM(Raw_Data!D399))</f>
        <v>Brazil</v>
      </c>
      <c r="E399" s="22" t="s">
        <v>56</v>
      </c>
      <c r="F399" s="22" t="s">
        <v>57</v>
      </c>
      <c r="G399" s="66">
        <v>49</v>
      </c>
      <c r="H399" s="2">
        <v>43.91</v>
      </c>
      <c r="I399" s="64">
        <f>PRODUCT(Table13[[#This Row],[Quantity]:[Unit_Price]])</f>
        <v>2151.5899999999997</v>
      </c>
      <c r="J399" s="2">
        <v>63.55</v>
      </c>
      <c r="K399" s="2">
        <v>863.04</v>
      </c>
      <c r="L399" s="22" t="s">
        <v>19</v>
      </c>
      <c r="M399" s="22" t="s">
        <v>27</v>
      </c>
      <c r="N399" s="22" t="s">
        <v>39</v>
      </c>
      <c r="O399" s="64">
        <f>VLOOKUP($E399,Products!$B$2:$F$11,5,0)</f>
        <v>25</v>
      </c>
      <c r="P399" s="64">
        <f>PRODUCT(Table13[[#This Row],[Quantity]],Table13[[#This Row],[Unit_Cost]])</f>
        <v>1225</v>
      </c>
      <c r="Q399" s="65">
        <f>Table13[[#This Row],[Profit]]/Table13[[#This Row],[Total_Sales]]</f>
        <v>0.40111731324276467</v>
      </c>
      <c r="R399" s="1"/>
      <c r="S399" s="1"/>
      <c r="T399" s="1"/>
    </row>
    <row r="400" spans="1:20" x14ac:dyDescent="0.25">
      <c r="A400" s="22" t="s">
        <v>553</v>
      </c>
      <c r="B400" s="63">
        <v>45407</v>
      </c>
      <c r="C400" s="22" t="s">
        <v>193</v>
      </c>
      <c r="D400" s="22" t="str">
        <f>PROPER(TRIM(Raw_Data!D400))</f>
        <v>Brazil</v>
      </c>
      <c r="E400" s="22" t="s">
        <v>56</v>
      </c>
      <c r="F400" s="22" t="s">
        <v>57</v>
      </c>
      <c r="G400" s="66">
        <v>29</v>
      </c>
      <c r="H400" s="2">
        <v>41.84</v>
      </c>
      <c r="I400" s="64">
        <f>PRODUCT(Table13[[#This Row],[Quantity]:[Unit_Price]])</f>
        <v>1213.3600000000001</v>
      </c>
      <c r="J400" s="2">
        <v>56.83</v>
      </c>
      <c r="K400" s="2">
        <v>431.53</v>
      </c>
      <c r="L400" s="22" t="s">
        <v>38</v>
      </c>
      <c r="M400" s="22" t="s">
        <v>32</v>
      </c>
      <c r="N400" s="22" t="s">
        <v>39</v>
      </c>
      <c r="O400" s="64">
        <f>VLOOKUP($E400,Products!$B$2:$F$11,5,0)</f>
        <v>25</v>
      </c>
      <c r="P400" s="64">
        <f>PRODUCT(Table13[[#This Row],[Quantity]],Table13[[#This Row],[Unit_Cost]])</f>
        <v>725</v>
      </c>
      <c r="Q400" s="65">
        <f>Table13[[#This Row],[Profit]]/Table13[[#This Row],[Total_Sales]]</f>
        <v>0.35564877694995706</v>
      </c>
      <c r="R400" s="1"/>
      <c r="S400" s="1"/>
      <c r="T400" s="1"/>
    </row>
    <row r="401" spans="1:20" x14ac:dyDescent="0.25">
      <c r="A401" s="22" t="s">
        <v>554</v>
      </c>
      <c r="B401" s="63">
        <v>45454</v>
      </c>
      <c r="C401" s="22" t="s">
        <v>176</v>
      </c>
      <c r="D401" s="22" t="str">
        <f>PROPER(TRIM(Raw_Data!D401))</f>
        <v>South Africa</v>
      </c>
      <c r="E401" s="22" t="s">
        <v>60</v>
      </c>
      <c r="F401" s="22" t="s">
        <v>52</v>
      </c>
      <c r="G401" s="66">
        <v>43</v>
      </c>
      <c r="H401" s="2">
        <v>27.41</v>
      </c>
      <c r="I401" s="64">
        <f>PRODUCT(Table13[[#This Row],[Quantity]:[Unit_Price]])</f>
        <v>1178.6300000000001</v>
      </c>
      <c r="J401" s="2">
        <v>55.82</v>
      </c>
      <c r="K401" s="2">
        <v>456.31</v>
      </c>
      <c r="L401" s="22" t="s">
        <v>38</v>
      </c>
      <c r="M401" s="22" t="s">
        <v>27</v>
      </c>
      <c r="N401" s="22" t="s">
        <v>87</v>
      </c>
      <c r="O401" s="64">
        <f>VLOOKUP($E401,Products!$B$2:$F$11,5,0)</f>
        <v>15.5</v>
      </c>
      <c r="P401" s="64">
        <f>PRODUCT(Table13[[#This Row],[Quantity]],Table13[[#This Row],[Unit_Cost]])</f>
        <v>666.5</v>
      </c>
      <c r="Q401" s="65">
        <f>Table13[[#This Row],[Profit]]/Table13[[#This Row],[Total_Sales]]</f>
        <v>0.38715288088713162</v>
      </c>
      <c r="R401" s="1"/>
      <c r="S401" s="1"/>
      <c r="T401" s="1"/>
    </row>
    <row r="402" spans="1:20" x14ac:dyDescent="0.25">
      <c r="A402" s="22" t="s">
        <v>555</v>
      </c>
      <c r="B402" s="63">
        <v>45532</v>
      </c>
      <c r="C402" s="22" t="s">
        <v>473</v>
      </c>
      <c r="D402" s="22" t="str">
        <f>PROPER(TRIM(Raw_Data!D402))</f>
        <v>Mexico</v>
      </c>
      <c r="E402" s="22" t="s">
        <v>48</v>
      </c>
      <c r="F402" s="22" t="s">
        <v>37</v>
      </c>
      <c r="G402" s="66">
        <v>28</v>
      </c>
      <c r="H402" s="2">
        <v>31.84</v>
      </c>
      <c r="I402" s="64">
        <f>PRODUCT(Table13[[#This Row],[Quantity]:[Unit_Price]])</f>
        <v>891.52</v>
      </c>
      <c r="J402" s="2">
        <v>54.24</v>
      </c>
      <c r="K402" s="2">
        <v>277.27999999999997</v>
      </c>
      <c r="L402" s="22" t="s">
        <v>19</v>
      </c>
      <c r="M402" s="22" t="s">
        <v>27</v>
      </c>
      <c r="N402" s="22" t="s">
        <v>21</v>
      </c>
      <c r="O402" s="64">
        <f>VLOOKUP($E402,Products!$B$2:$F$11,5,0)</f>
        <v>20</v>
      </c>
      <c r="P402" s="64">
        <f>PRODUCT(Table13[[#This Row],[Quantity]],Table13[[#This Row],[Unit_Cost]])</f>
        <v>560</v>
      </c>
      <c r="Q402" s="65">
        <f>Table13[[#This Row],[Profit]]/Table13[[#This Row],[Total_Sales]]</f>
        <v>0.31101938262742279</v>
      </c>
      <c r="R402" s="1"/>
      <c r="S402" s="1"/>
      <c r="T402" s="1"/>
    </row>
    <row r="403" spans="1:20" x14ac:dyDescent="0.25">
      <c r="A403" s="22" t="s">
        <v>556</v>
      </c>
      <c r="B403" s="63">
        <v>45653</v>
      </c>
      <c r="C403" s="22" t="s">
        <v>291</v>
      </c>
      <c r="D403" s="22" t="str">
        <f>PROPER(TRIM(Raw_Data!D403))</f>
        <v>China</v>
      </c>
      <c r="E403" s="22" t="s">
        <v>56</v>
      </c>
      <c r="F403" s="22" t="s">
        <v>57</v>
      </c>
      <c r="G403" s="66">
        <v>42</v>
      </c>
      <c r="H403" s="2">
        <v>35.840000000000003</v>
      </c>
      <c r="I403" s="64">
        <f>PRODUCT(Table13[[#This Row],[Quantity]:[Unit_Price]])</f>
        <v>1505.2800000000002</v>
      </c>
      <c r="J403" s="2">
        <v>60.65</v>
      </c>
      <c r="K403" s="2">
        <v>394.63</v>
      </c>
      <c r="L403" s="22" t="s">
        <v>38</v>
      </c>
      <c r="M403" s="22" t="s">
        <v>27</v>
      </c>
      <c r="N403" s="22" t="s">
        <v>58</v>
      </c>
      <c r="O403" s="64">
        <f>VLOOKUP($E403,Products!$B$2:$F$11,5,0)</f>
        <v>25</v>
      </c>
      <c r="P403" s="64">
        <f>PRODUCT(Table13[[#This Row],[Quantity]],Table13[[#This Row],[Unit_Cost]])</f>
        <v>1050</v>
      </c>
      <c r="Q403" s="65">
        <f>Table13[[#This Row],[Profit]]/Table13[[#This Row],[Total_Sales]]</f>
        <v>0.26216384991496594</v>
      </c>
      <c r="R403" s="1"/>
      <c r="S403" s="1"/>
      <c r="T403" s="1"/>
    </row>
    <row r="404" spans="1:20" x14ac:dyDescent="0.25">
      <c r="A404" s="22" t="s">
        <v>557</v>
      </c>
      <c r="B404" s="63">
        <v>45554</v>
      </c>
      <c r="C404" s="22" t="s">
        <v>62</v>
      </c>
      <c r="D404" s="22" t="str">
        <f>PROPER(TRIM(Raw_Data!D404))</f>
        <v>Singapore</v>
      </c>
      <c r="E404" s="22" t="s">
        <v>51</v>
      </c>
      <c r="F404" s="22" t="s">
        <v>52</v>
      </c>
      <c r="G404" s="66">
        <v>22</v>
      </c>
      <c r="H404" s="2">
        <v>30.55</v>
      </c>
      <c r="I404" s="64">
        <f>PRODUCT(Table13[[#This Row],[Quantity]:[Unit_Price]])</f>
        <v>672.1</v>
      </c>
      <c r="J404" s="2">
        <v>46.8</v>
      </c>
      <c r="K404" s="2">
        <v>130.30000000000001</v>
      </c>
      <c r="L404" s="22" t="s">
        <v>26</v>
      </c>
      <c r="M404" s="22" t="s">
        <v>32</v>
      </c>
      <c r="N404" s="22" t="s">
        <v>58</v>
      </c>
      <c r="O404" s="64">
        <f>VLOOKUP($E404,Products!$B$2:$F$11,5,0)</f>
        <v>22.5</v>
      </c>
      <c r="P404" s="64">
        <f>PRODUCT(Table13[[#This Row],[Quantity]],Table13[[#This Row],[Unit_Cost]])</f>
        <v>495</v>
      </c>
      <c r="Q404" s="65">
        <f>Table13[[#This Row],[Profit]]/Table13[[#This Row],[Total_Sales]]</f>
        <v>0.19386995982740665</v>
      </c>
      <c r="R404" s="1"/>
      <c r="S404" s="1"/>
      <c r="T404" s="1"/>
    </row>
    <row r="405" spans="1:20" x14ac:dyDescent="0.25">
      <c r="A405" s="22" t="s">
        <v>558</v>
      </c>
      <c r="B405" s="63">
        <v>45752</v>
      </c>
      <c r="C405" s="22" t="s">
        <v>221</v>
      </c>
      <c r="D405" s="22" t="str">
        <f>PROPER(TRIM(Raw_Data!D405))</f>
        <v>Japan</v>
      </c>
      <c r="E405" s="22" t="s">
        <v>83</v>
      </c>
      <c r="F405" s="22" t="s">
        <v>52</v>
      </c>
      <c r="G405" s="66">
        <v>13</v>
      </c>
      <c r="H405" s="2">
        <v>45.16</v>
      </c>
      <c r="I405" s="64">
        <f>PRODUCT(Table13[[#This Row],[Quantity]:[Unit_Price]])</f>
        <v>587.07999999999993</v>
      </c>
      <c r="J405" s="2">
        <v>29.68</v>
      </c>
      <c r="K405" s="2">
        <v>193.4</v>
      </c>
      <c r="L405" s="22" t="s">
        <v>26</v>
      </c>
      <c r="M405" s="22" t="s">
        <v>27</v>
      </c>
      <c r="N405" s="22" t="s">
        <v>58</v>
      </c>
      <c r="O405" s="64">
        <f>VLOOKUP($E405,Products!$B$2:$F$11,5,0)</f>
        <v>28</v>
      </c>
      <c r="P405" s="64">
        <f>PRODUCT(Table13[[#This Row],[Quantity]],Table13[[#This Row],[Unit_Cost]])</f>
        <v>364</v>
      </c>
      <c r="Q405" s="65">
        <f>Table13[[#This Row],[Profit]]/Table13[[#This Row],[Total_Sales]]</f>
        <v>0.32942699461742869</v>
      </c>
      <c r="R405" s="1"/>
      <c r="S405" s="1"/>
      <c r="T405" s="1"/>
    </row>
    <row r="406" spans="1:20" x14ac:dyDescent="0.25">
      <c r="A406" s="22" t="s">
        <v>559</v>
      </c>
      <c r="B406" s="63">
        <v>45465</v>
      </c>
      <c r="C406" s="22" t="s">
        <v>142</v>
      </c>
      <c r="D406" s="22" t="str">
        <f>PROPER(TRIM(Raw_Data!D406))</f>
        <v>Australia</v>
      </c>
      <c r="E406" s="22" t="s">
        <v>17</v>
      </c>
      <c r="F406" s="22" t="s">
        <v>18</v>
      </c>
      <c r="G406" s="66">
        <v>40</v>
      </c>
      <c r="H406" s="2">
        <v>45.23</v>
      </c>
      <c r="I406" s="64">
        <f>PRODUCT(Table13[[#This Row],[Quantity]:[Unit_Price]])</f>
        <v>1809.1999999999998</v>
      </c>
      <c r="J406" s="2">
        <v>136.25</v>
      </c>
      <c r="K406" s="2">
        <v>272.95</v>
      </c>
      <c r="L406" s="22" t="s">
        <v>38</v>
      </c>
      <c r="M406" s="22" t="s">
        <v>32</v>
      </c>
      <c r="N406" s="22" t="s">
        <v>130</v>
      </c>
      <c r="O406" s="64">
        <f>VLOOKUP($E406,Products!$B$2:$F$11,5,0)</f>
        <v>35</v>
      </c>
      <c r="P406" s="64">
        <f>PRODUCT(Table13[[#This Row],[Quantity]],Table13[[#This Row],[Unit_Cost]])</f>
        <v>1400</v>
      </c>
      <c r="Q406" s="65">
        <f>Table13[[#This Row],[Profit]]/Table13[[#This Row],[Total_Sales]]</f>
        <v>0.1508677868671236</v>
      </c>
      <c r="R406" s="1"/>
      <c r="S406" s="1"/>
      <c r="T406" s="1"/>
    </row>
    <row r="407" spans="1:20" x14ac:dyDescent="0.25">
      <c r="A407" s="22" t="s">
        <v>560</v>
      </c>
      <c r="B407" s="63">
        <v>45310</v>
      </c>
      <c r="C407" s="22" t="s">
        <v>257</v>
      </c>
      <c r="D407" s="22" t="str">
        <f>PROPER(TRIM(Raw_Data!D407))</f>
        <v>Japan</v>
      </c>
      <c r="E407" s="22" t="s">
        <v>25</v>
      </c>
      <c r="F407" s="22" t="s">
        <v>18</v>
      </c>
      <c r="G407" s="66">
        <v>41</v>
      </c>
      <c r="H407" s="2">
        <v>22.78</v>
      </c>
      <c r="I407" s="64">
        <f>PRODUCT(Table13[[#This Row],[Quantity]:[Unit_Price]])</f>
        <v>933.98</v>
      </c>
      <c r="J407" s="2">
        <v>38.369999999999997</v>
      </c>
      <c r="K407" s="2">
        <v>157.61000000000001</v>
      </c>
      <c r="L407" s="22" t="s">
        <v>26</v>
      </c>
      <c r="M407" s="22" t="s">
        <v>20</v>
      </c>
      <c r="N407" s="22" t="s">
        <v>58</v>
      </c>
      <c r="O407" s="64">
        <f>VLOOKUP($E407,Products!$B$2:$F$11,5,0)</f>
        <v>18</v>
      </c>
      <c r="P407" s="64">
        <f>PRODUCT(Table13[[#This Row],[Quantity]],Table13[[#This Row],[Unit_Cost]])</f>
        <v>738</v>
      </c>
      <c r="Q407" s="65">
        <f>Table13[[#This Row],[Profit]]/Table13[[#This Row],[Total_Sales]]</f>
        <v>0.16875093685089618</v>
      </c>
      <c r="R407" s="1"/>
      <c r="S407" s="1"/>
      <c r="T407" s="1"/>
    </row>
    <row r="408" spans="1:20" x14ac:dyDescent="0.25">
      <c r="A408" s="22" t="s">
        <v>561</v>
      </c>
      <c r="B408" s="63">
        <v>45498</v>
      </c>
      <c r="C408" s="22" t="s">
        <v>102</v>
      </c>
      <c r="D408" s="22" t="str">
        <f>PROPER(TRIM(Raw_Data!D408))</f>
        <v>France</v>
      </c>
      <c r="E408" s="22" t="s">
        <v>60</v>
      </c>
      <c r="F408" s="22" t="s">
        <v>52</v>
      </c>
      <c r="G408" s="66">
        <v>34</v>
      </c>
      <c r="H408" s="2">
        <v>24.21</v>
      </c>
      <c r="I408" s="64">
        <f>PRODUCT(Table13[[#This Row],[Quantity]:[Unit_Price]])</f>
        <v>823.14</v>
      </c>
      <c r="J408" s="2">
        <v>58.25</v>
      </c>
      <c r="K408" s="2">
        <v>237.89</v>
      </c>
      <c r="L408" s="22" t="s">
        <v>19</v>
      </c>
      <c r="M408" s="22" t="s">
        <v>20</v>
      </c>
      <c r="N408" s="22" t="s">
        <v>28</v>
      </c>
      <c r="O408" s="64">
        <f>VLOOKUP($E408,Products!$B$2:$F$11,5,0)</f>
        <v>15.5</v>
      </c>
      <c r="P408" s="64">
        <f>PRODUCT(Table13[[#This Row],[Quantity]],Table13[[#This Row],[Unit_Cost]])</f>
        <v>527</v>
      </c>
      <c r="Q408" s="65">
        <f>Table13[[#This Row],[Profit]]/Table13[[#This Row],[Total_Sales]]</f>
        <v>0.28900308574483075</v>
      </c>
      <c r="R408" s="1"/>
      <c r="S408" s="1"/>
      <c r="T408" s="1"/>
    </row>
    <row r="409" spans="1:20" x14ac:dyDescent="0.25">
      <c r="A409" s="22" t="s">
        <v>562</v>
      </c>
      <c r="B409" s="63">
        <v>45762</v>
      </c>
      <c r="C409" s="22" t="s">
        <v>115</v>
      </c>
      <c r="D409" s="22" t="str">
        <f>PROPER(TRIM(Raw_Data!D409))</f>
        <v>Uk</v>
      </c>
      <c r="E409" s="22" t="s">
        <v>48</v>
      </c>
      <c r="F409" s="22" t="s">
        <v>37</v>
      </c>
      <c r="G409" s="66">
        <v>46</v>
      </c>
      <c r="H409" s="2">
        <v>34.64</v>
      </c>
      <c r="I409" s="64">
        <f>PRODUCT(Table13[[#This Row],[Quantity]:[Unit_Price]])</f>
        <v>1593.44</v>
      </c>
      <c r="J409" s="2">
        <v>45.93</v>
      </c>
      <c r="K409" s="2">
        <v>627.51</v>
      </c>
      <c r="L409" s="22" t="s">
        <v>38</v>
      </c>
      <c r="M409" s="22" t="s">
        <v>20</v>
      </c>
      <c r="N409" s="22" t="s">
        <v>28</v>
      </c>
      <c r="O409" s="64">
        <f>VLOOKUP($E409,Products!$B$2:$F$11,5,0)</f>
        <v>20</v>
      </c>
      <c r="P409" s="64">
        <f>PRODUCT(Table13[[#This Row],[Quantity]],Table13[[#This Row],[Unit_Cost]])</f>
        <v>920</v>
      </c>
      <c r="Q409" s="65">
        <f>Table13[[#This Row],[Profit]]/Table13[[#This Row],[Total_Sales]]</f>
        <v>0.39380836429360377</v>
      </c>
      <c r="R409" s="1"/>
      <c r="S409" s="1"/>
      <c r="T409" s="1"/>
    </row>
    <row r="410" spans="1:20" x14ac:dyDescent="0.25">
      <c r="A410" s="22" t="s">
        <v>563</v>
      </c>
      <c r="B410" s="63">
        <v>45308</v>
      </c>
      <c r="C410" s="22" t="s">
        <v>142</v>
      </c>
      <c r="D410" s="22" t="str">
        <f>PROPER(TRIM(Raw_Data!D410))</f>
        <v>Canada</v>
      </c>
      <c r="E410" s="22" t="s">
        <v>48</v>
      </c>
      <c r="F410" s="22" t="s">
        <v>37</v>
      </c>
      <c r="G410" s="66">
        <v>10</v>
      </c>
      <c r="H410" s="2">
        <v>27.06</v>
      </c>
      <c r="I410" s="64">
        <f>PRODUCT(Table13[[#This Row],[Quantity]:[Unit_Price]])</f>
        <v>270.59999999999997</v>
      </c>
      <c r="J410" s="2">
        <v>15.35</v>
      </c>
      <c r="K410" s="2">
        <v>55.25</v>
      </c>
      <c r="L410" s="22" t="s">
        <v>19</v>
      </c>
      <c r="M410" s="22" t="s">
        <v>32</v>
      </c>
      <c r="N410" s="22" t="s">
        <v>21</v>
      </c>
      <c r="O410" s="64">
        <f>VLOOKUP($E410,Products!$B$2:$F$11,5,0)</f>
        <v>20</v>
      </c>
      <c r="P410" s="64">
        <f>PRODUCT(Table13[[#This Row],[Quantity]],Table13[[#This Row],[Unit_Cost]])</f>
        <v>200</v>
      </c>
      <c r="Q410" s="65">
        <f>Table13[[#This Row],[Profit]]/Table13[[#This Row],[Total_Sales]]</f>
        <v>0.20417590539541761</v>
      </c>
      <c r="R410" s="1"/>
      <c r="S410" s="1"/>
      <c r="T410" s="1"/>
    </row>
    <row r="411" spans="1:20" x14ac:dyDescent="0.25">
      <c r="A411" s="22" t="s">
        <v>564</v>
      </c>
      <c r="B411" s="63">
        <v>45575</v>
      </c>
      <c r="C411" s="22" t="s">
        <v>139</v>
      </c>
      <c r="D411" s="22" t="str">
        <f>PROPER(TRIM(Raw_Data!D411))</f>
        <v>Uk</v>
      </c>
      <c r="E411" s="22" t="s">
        <v>25</v>
      </c>
      <c r="F411" s="22" t="s">
        <v>18</v>
      </c>
      <c r="G411" s="66">
        <v>11</v>
      </c>
      <c r="H411" s="2">
        <v>27.74</v>
      </c>
      <c r="I411" s="64">
        <f>PRODUCT(Table13[[#This Row],[Quantity]:[Unit_Price]])</f>
        <v>305.14</v>
      </c>
      <c r="J411" s="2">
        <v>10.81</v>
      </c>
      <c r="K411" s="2">
        <v>96.33</v>
      </c>
      <c r="L411" s="22" t="s">
        <v>26</v>
      </c>
      <c r="M411" s="22" t="s">
        <v>32</v>
      </c>
      <c r="N411" s="22" t="s">
        <v>28</v>
      </c>
      <c r="O411" s="64">
        <f>VLOOKUP($E411,Products!$B$2:$F$11,5,0)</f>
        <v>18</v>
      </c>
      <c r="P411" s="64">
        <f>PRODUCT(Table13[[#This Row],[Quantity]],Table13[[#This Row],[Unit_Cost]])</f>
        <v>198</v>
      </c>
      <c r="Q411" s="65">
        <f>Table13[[#This Row],[Profit]]/Table13[[#This Row],[Total_Sales]]</f>
        <v>0.31569115815691157</v>
      </c>
      <c r="R411" s="1"/>
      <c r="S411" s="1"/>
      <c r="T411" s="1"/>
    </row>
    <row r="412" spans="1:20" x14ac:dyDescent="0.25">
      <c r="A412" s="22" t="s">
        <v>565</v>
      </c>
      <c r="B412" s="63">
        <v>45305</v>
      </c>
      <c r="C412" s="22" t="s">
        <v>97</v>
      </c>
      <c r="D412" s="22" t="str">
        <f>PROPER(TRIM(Raw_Data!D412))</f>
        <v>Canada</v>
      </c>
      <c r="E412" s="22" t="s">
        <v>83</v>
      </c>
      <c r="F412" s="22" t="s">
        <v>52</v>
      </c>
      <c r="G412" s="66">
        <v>29</v>
      </c>
      <c r="H412" s="2">
        <v>38.08</v>
      </c>
      <c r="I412" s="64">
        <f>PRODUCT(Table13[[#This Row],[Quantity]:[Unit_Price]])</f>
        <v>1104.32</v>
      </c>
      <c r="J412" s="2">
        <v>25.63</v>
      </c>
      <c r="K412" s="2">
        <v>266.69</v>
      </c>
      <c r="L412" s="22" t="s">
        <v>26</v>
      </c>
      <c r="M412" s="22" t="s">
        <v>32</v>
      </c>
      <c r="N412" s="22" t="s">
        <v>21</v>
      </c>
      <c r="O412" s="64">
        <f>VLOOKUP($E412,Products!$B$2:$F$11,5,0)</f>
        <v>28</v>
      </c>
      <c r="P412" s="64">
        <f>PRODUCT(Table13[[#This Row],[Quantity]],Table13[[#This Row],[Unit_Cost]])</f>
        <v>812</v>
      </c>
      <c r="Q412" s="65">
        <f>Table13[[#This Row],[Profit]]/Table13[[#This Row],[Total_Sales]]</f>
        <v>0.24149702984642135</v>
      </c>
      <c r="R412" s="1"/>
      <c r="S412" s="1"/>
      <c r="T412" s="1"/>
    </row>
    <row r="413" spans="1:20" x14ac:dyDescent="0.25">
      <c r="A413" s="22" t="s">
        <v>566</v>
      </c>
      <c r="B413" s="63">
        <v>45749</v>
      </c>
      <c r="C413" s="22" t="s">
        <v>119</v>
      </c>
      <c r="D413" s="22" t="str">
        <f>PROPER(TRIM(Raw_Data!D413))</f>
        <v>Canada</v>
      </c>
      <c r="E413" s="22" t="s">
        <v>83</v>
      </c>
      <c r="F413" s="22" t="s">
        <v>52</v>
      </c>
      <c r="G413" s="66">
        <v>18</v>
      </c>
      <c r="H413" s="2">
        <v>43.65</v>
      </c>
      <c r="I413" s="64">
        <f>PRODUCT(Table13[[#This Row],[Quantity]:[Unit_Price]])</f>
        <v>785.69999999999993</v>
      </c>
      <c r="J413" s="2">
        <v>54.52</v>
      </c>
      <c r="K413" s="2">
        <v>227.18</v>
      </c>
      <c r="L413" s="22" t="s">
        <v>26</v>
      </c>
      <c r="M413" s="22" t="s">
        <v>20</v>
      </c>
      <c r="N413" s="22" t="s">
        <v>21</v>
      </c>
      <c r="O413" s="64">
        <f>VLOOKUP($E413,Products!$B$2:$F$11,5,0)</f>
        <v>28</v>
      </c>
      <c r="P413" s="64">
        <f>PRODUCT(Table13[[#This Row],[Quantity]],Table13[[#This Row],[Unit_Cost]])</f>
        <v>504</v>
      </c>
      <c r="Q413" s="65">
        <f>Table13[[#This Row],[Profit]]/Table13[[#This Row],[Total_Sales]]</f>
        <v>0.28914343897161771</v>
      </c>
      <c r="R413" s="1"/>
      <c r="S413" s="1"/>
      <c r="T413" s="1"/>
    </row>
    <row r="414" spans="1:20" x14ac:dyDescent="0.25">
      <c r="A414" s="22" t="s">
        <v>567</v>
      </c>
      <c r="B414" s="63">
        <v>45335</v>
      </c>
      <c r="C414" s="22" t="s">
        <v>354</v>
      </c>
      <c r="D414" s="22" t="str">
        <f>PROPER(TRIM(Raw_Data!D414))</f>
        <v>France</v>
      </c>
      <c r="E414" s="22" t="s">
        <v>17</v>
      </c>
      <c r="F414" s="22" t="s">
        <v>18</v>
      </c>
      <c r="G414" s="66">
        <v>49</v>
      </c>
      <c r="H414" s="2">
        <v>51.97</v>
      </c>
      <c r="I414" s="64">
        <f>PRODUCT(Table13[[#This Row],[Quantity]:[Unit_Price]])</f>
        <v>2546.5299999999997</v>
      </c>
      <c r="J414" s="2">
        <v>112.26</v>
      </c>
      <c r="K414" s="2">
        <v>719.27</v>
      </c>
      <c r="L414" s="22" t="s">
        <v>26</v>
      </c>
      <c r="M414" s="22" t="s">
        <v>27</v>
      </c>
      <c r="N414" s="22" t="s">
        <v>28</v>
      </c>
      <c r="O414" s="64">
        <f>VLOOKUP($E414,Products!$B$2:$F$11,5,0)</f>
        <v>35</v>
      </c>
      <c r="P414" s="64">
        <f>PRODUCT(Table13[[#This Row],[Quantity]],Table13[[#This Row],[Unit_Cost]])</f>
        <v>1715</v>
      </c>
      <c r="Q414" s="65">
        <f>Table13[[#This Row],[Profit]]/Table13[[#This Row],[Total_Sales]]</f>
        <v>0.28245102158623697</v>
      </c>
      <c r="R414" s="1"/>
      <c r="S414" s="1"/>
      <c r="T414" s="1"/>
    </row>
    <row r="415" spans="1:20" x14ac:dyDescent="0.25">
      <c r="A415" s="22" t="s">
        <v>568</v>
      </c>
      <c r="B415" s="63">
        <v>45680</v>
      </c>
      <c r="C415" s="22" t="s">
        <v>123</v>
      </c>
      <c r="D415" s="22" t="str">
        <f>PROPER(TRIM(Raw_Data!D415))</f>
        <v>Singapore</v>
      </c>
      <c r="E415" s="22" t="s">
        <v>56</v>
      </c>
      <c r="F415" s="22" t="s">
        <v>57</v>
      </c>
      <c r="G415" s="66">
        <v>13</v>
      </c>
      <c r="H415" s="2">
        <v>36.85</v>
      </c>
      <c r="I415" s="64">
        <f>PRODUCT(Table13[[#This Row],[Quantity]:[Unit_Price]])</f>
        <v>479.05</v>
      </c>
      <c r="J415" s="2">
        <v>10.15</v>
      </c>
      <c r="K415" s="2">
        <v>143.9</v>
      </c>
      <c r="L415" s="22" t="s">
        <v>19</v>
      </c>
      <c r="M415" s="22" t="s">
        <v>32</v>
      </c>
      <c r="N415" s="22" t="s">
        <v>58</v>
      </c>
      <c r="O415" s="64">
        <f>VLOOKUP($E415,Products!$B$2:$F$11,5,0)</f>
        <v>25</v>
      </c>
      <c r="P415" s="64">
        <f>PRODUCT(Table13[[#This Row],[Quantity]],Table13[[#This Row],[Unit_Cost]])</f>
        <v>325</v>
      </c>
      <c r="Q415" s="65">
        <f>Table13[[#This Row],[Profit]]/Table13[[#This Row],[Total_Sales]]</f>
        <v>0.30038618098319592</v>
      </c>
      <c r="R415" s="1"/>
      <c r="S415" s="1"/>
      <c r="T415" s="1"/>
    </row>
    <row r="416" spans="1:20" x14ac:dyDescent="0.25">
      <c r="A416" s="22" t="s">
        <v>569</v>
      </c>
      <c r="B416" s="63">
        <v>45443</v>
      </c>
      <c r="C416" s="22" t="s">
        <v>73</v>
      </c>
      <c r="D416" s="22" t="str">
        <f>PROPER(TRIM(Raw_Data!D416))</f>
        <v>Canada</v>
      </c>
      <c r="E416" s="22" t="s">
        <v>36</v>
      </c>
      <c r="F416" s="22" t="s">
        <v>37</v>
      </c>
      <c r="G416" s="66">
        <v>33</v>
      </c>
      <c r="H416" s="2">
        <v>38.520000000000003</v>
      </c>
      <c r="I416" s="64">
        <f>PRODUCT(Table13[[#This Row],[Quantity]:[Unit_Price]])</f>
        <v>1271.1600000000001</v>
      </c>
      <c r="J416" s="2">
        <v>81.459999999999994</v>
      </c>
      <c r="K416" s="2">
        <v>133.69999999999999</v>
      </c>
      <c r="L416" s="22" t="s">
        <v>19</v>
      </c>
      <c r="M416" s="22" t="s">
        <v>20</v>
      </c>
      <c r="N416" s="22" t="s">
        <v>21</v>
      </c>
      <c r="O416" s="64">
        <f>VLOOKUP($E416,Products!$B$2:$F$11,5,0)</f>
        <v>32</v>
      </c>
      <c r="P416" s="64">
        <f>PRODUCT(Table13[[#This Row],[Quantity]],Table13[[#This Row],[Unit_Cost]])</f>
        <v>1056</v>
      </c>
      <c r="Q416" s="65">
        <f>Table13[[#This Row],[Profit]]/Table13[[#This Row],[Total_Sales]]</f>
        <v>0.10517952106737152</v>
      </c>
      <c r="R416" s="1"/>
      <c r="S416" s="1"/>
      <c r="T416" s="1"/>
    </row>
    <row r="417" spans="1:20" x14ac:dyDescent="0.25">
      <c r="A417" s="22" t="s">
        <v>570</v>
      </c>
      <c r="B417" s="63">
        <v>45769</v>
      </c>
      <c r="C417" s="22" t="s">
        <v>240</v>
      </c>
      <c r="D417" s="22" t="str">
        <f>PROPER(TRIM(Raw_Data!D417))</f>
        <v>China</v>
      </c>
      <c r="E417" s="22" t="s">
        <v>60</v>
      </c>
      <c r="F417" s="22" t="s">
        <v>52</v>
      </c>
      <c r="G417" s="66">
        <v>41</v>
      </c>
      <c r="H417" s="2">
        <v>26.98</v>
      </c>
      <c r="I417" s="64">
        <f>PRODUCT(Table13[[#This Row],[Quantity]:[Unit_Price]])</f>
        <v>1106.18</v>
      </c>
      <c r="J417" s="2">
        <v>51.77</v>
      </c>
      <c r="K417" s="2">
        <v>418.91</v>
      </c>
      <c r="L417" s="22" t="s">
        <v>38</v>
      </c>
      <c r="M417" s="22" t="s">
        <v>27</v>
      </c>
      <c r="N417" s="22" t="s">
        <v>58</v>
      </c>
      <c r="O417" s="64">
        <f>VLOOKUP($E417,Products!$B$2:$F$11,5,0)</f>
        <v>15.5</v>
      </c>
      <c r="P417" s="64">
        <f>PRODUCT(Table13[[#This Row],[Quantity]],Table13[[#This Row],[Unit_Cost]])</f>
        <v>635.5</v>
      </c>
      <c r="Q417" s="65">
        <f>Table13[[#This Row],[Profit]]/Table13[[#This Row],[Total_Sales]]</f>
        <v>0.37869966913160608</v>
      </c>
      <c r="R417" s="1"/>
      <c r="S417" s="1"/>
      <c r="T417" s="1"/>
    </row>
    <row r="418" spans="1:20" x14ac:dyDescent="0.25">
      <c r="A418" s="22" t="s">
        <v>571</v>
      </c>
      <c r="B418" s="63">
        <v>45347</v>
      </c>
      <c r="C418" s="22" t="s">
        <v>97</v>
      </c>
      <c r="D418" s="22" t="str">
        <f>PROPER(TRIM(Raw_Data!D418))</f>
        <v>France</v>
      </c>
      <c r="E418" s="22" t="s">
        <v>60</v>
      </c>
      <c r="F418" s="22" t="s">
        <v>52</v>
      </c>
      <c r="G418" s="66">
        <v>4</v>
      </c>
      <c r="H418" s="2">
        <v>23.56</v>
      </c>
      <c r="I418" s="64">
        <f>PRODUCT(Table13[[#This Row],[Quantity]:[Unit_Price]])</f>
        <v>94.24</v>
      </c>
      <c r="J418" s="2">
        <v>7.03</v>
      </c>
      <c r="K418" s="2">
        <v>25.21</v>
      </c>
      <c r="L418" s="22" t="s">
        <v>38</v>
      </c>
      <c r="M418" s="22" t="s">
        <v>32</v>
      </c>
      <c r="N418" s="22" t="s">
        <v>28</v>
      </c>
      <c r="O418" s="64">
        <f>VLOOKUP($E418,Products!$B$2:$F$11,5,0)</f>
        <v>15.5</v>
      </c>
      <c r="P418" s="64">
        <f>PRODUCT(Table13[[#This Row],[Quantity]],Table13[[#This Row],[Unit_Cost]])</f>
        <v>62</v>
      </c>
      <c r="Q418" s="65">
        <f>Table13[[#This Row],[Profit]]/Table13[[#This Row],[Total_Sales]]</f>
        <v>0.26750848896434637</v>
      </c>
      <c r="R418" s="1"/>
      <c r="S418" s="1"/>
      <c r="T418" s="1"/>
    </row>
    <row r="419" spans="1:20" x14ac:dyDescent="0.25">
      <c r="A419" s="22" t="s">
        <v>572</v>
      </c>
      <c r="B419" s="63">
        <v>45494</v>
      </c>
      <c r="C419" s="22" t="s">
        <v>297</v>
      </c>
      <c r="D419" s="22" t="str">
        <f>PROPER(TRIM(Raw_Data!D419))</f>
        <v>India</v>
      </c>
      <c r="E419" s="22" t="s">
        <v>36</v>
      </c>
      <c r="F419" s="22" t="s">
        <v>37</v>
      </c>
      <c r="G419" s="66">
        <v>17</v>
      </c>
      <c r="H419" s="2">
        <v>57.14</v>
      </c>
      <c r="I419" s="64">
        <f>PRODUCT(Table13[[#This Row],[Quantity]:[Unit_Price]])</f>
        <v>971.38</v>
      </c>
      <c r="J419" s="2">
        <v>70.010000000000005</v>
      </c>
      <c r="K419" s="2">
        <v>357.37</v>
      </c>
      <c r="L419" s="22" t="s">
        <v>38</v>
      </c>
      <c r="M419" s="22" t="s">
        <v>27</v>
      </c>
      <c r="N419" s="22" t="s">
        <v>58</v>
      </c>
      <c r="O419" s="64">
        <f>VLOOKUP($E419,Products!$B$2:$F$11,5,0)</f>
        <v>32</v>
      </c>
      <c r="P419" s="64">
        <f>PRODUCT(Table13[[#This Row],[Quantity]],Table13[[#This Row],[Unit_Cost]])</f>
        <v>544</v>
      </c>
      <c r="Q419" s="65">
        <f>Table13[[#This Row],[Profit]]/Table13[[#This Row],[Total_Sales]]</f>
        <v>0.36789927731680705</v>
      </c>
      <c r="R419" s="1"/>
      <c r="S419" s="1"/>
      <c r="T419" s="1"/>
    </row>
    <row r="420" spans="1:20" x14ac:dyDescent="0.25">
      <c r="A420" s="22" t="s">
        <v>573</v>
      </c>
      <c r="B420" s="63">
        <v>45705</v>
      </c>
      <c r="C420" s="22" t="s">
        <v>113</v>
      </c>
      <c r="D420" s="22" t="str">
        <f>PROPER(TRIM(Raw_Data!D420))</f>
        <v>Australia</v>
      </c>
      <c r="E420" s="22" t="s">
        <v>56</v>
      </c>
      <c r="F420" s="22" t="s">
        <v>57</v>
      </c>
      <c r="G420" s="66">
        <v>44</v>
      </c>
      <c r="H420" s="2">
        <v>38.14</v>
      </c>
      <c r="I420" s="64">
        <f>PRODUCT(Table13[[#This Row],[Quantity]:[Unit_Price]])</f>
        <v>1678.16</v>
      </c>
      <c r="J420" s="2">
        <v>124.49</v>
      </c>
      <c r="K420" s="2">
        <v>453.67</v>
      </c>
      <c r="L420" s="22" t="s">
        <v>38</v>
      </c>
      <c r="M420" s="22" t="s">
        <v>20</v>
      </c>
      <c r="N420" s="22" t="s">
        <v>130</v>
      </c>
      <c r="O420" s="64">
        <f>VLOOKUP($E420,Products!$B$2:$F$11,5,0)</f>
        <v>25</v>
      </c>
      <c r="P420" s="64">
        <f>PRODUCT(Table13[[#This Row],[Quantity]],Table13[[#This Row],[Unit_Cost]])</f>
        <v>1100</v>
      </c>
      <c r="Q420" s="65">
        <f>Table13[[#This Row],[Profit]]/Table13[[#This Row],[Total_Sales]]</f>
        <v>0.27033775087000045</v>
      </c>
      <c r="R420" s="1"/>
      <c r="S420" s="1"/>
      <c r="T420" s="1"/>
    </row>
    <row r="421" spans="1:20" x14ac:dyDescent="0.25">
      <c r="A421" s="22" t="s">
        <v>574</v>
      </c>
      <c r="B421" s="63">
        <v>45482</v>
      </c>
      <c r="C421" s="22" t="s">
        <v>102</v>
      </c>
      <c r="D421" s="22" t="str">
        <f>PROPER(TRIM(Raw_Data!D421))</f>
        <v>South Africa</v>
      </c>
      <c r="E421" s="22" t="s">
        <v>25</v>
      </c>
      <c r="F421" s="22" t="s">
        <v>18</v>
      </c>
      <c r="G421" s="66">
        <v>14</v>
      </c>
      <c r="H421" s="2">
        <v>24</v>
      </c>
      <c r="I421" s="64">
        <f>PRODUCT(Table13[[#This Row],[Quantity]:[Unit_Price]])</f>
        <v>336</v>
      </c>
      <c r="J421" s="2">
        <v>22.88</v>
      </c>
      <c r="K421" s="2">
        <v>61.12</v>
      </c>
      <c r="L421" s="22" t="s">
        <v>26</v>
      </c>
      <c r="M421" s="22" t="s">
        <v>27</v>
      </c>
      <c r="N421" s="22" t="s">
        <v>87</v>
      </c>
      <c r="O421" s="64">
        <f>VLOOKUP($E421,Products!$B$2:$F$11,5,0)</f>
        <v>18</v>
      </c>
      <c r="P421" s="64">
        <f>PRODUCT(Table13[[#This Row],[Quantity]],Table13[[#This Row],[Unit_Cost]])</f>
        <v>252</v>
      </c>
      <c r="Q421" s="65">
        <f>Table13[[#This Row],[Profit]]/Table13[[#This Row],[Total_Sales]]</f>
        <v>0.1819047619047619</v>
      </c>
      <c r="R421" s="1"/>
      <c r="S421" s="1"/>
      <c r="T421" s="1"/>
    </row>
    <row r="422" spans="1:20" x14ac:dyDescent="0.25">
      <c r="A422" s="22" t="s">
        <v>575</v>
      </c>
      <c r="B422" s="63">
        <v>45346</v>
      </c>
      <c r="C422" s="22" t="s">
        <v>76</v>
      </c>
      <c r="D422" s="22" t="str">
        <f>PROPER(TRIM(Raw_Data!D422))</f>
        <v>China</v>
      </c>
      <c r="E422" s="22" t="s">
        <v>60</v>
      </c>
      <c r="F422" s="22" t="s">
        <v>52</v>
      </c>
      <c r="G422" s="66">
        <v>50</v>
      </c>
      <c r="H422" s="2">
        <v>26.91</v>
      </c>
      <c r="I422" s="64">
        <f>PRODUCT(Table13[[#This Row],[Quantity]:[Unit_Price]])</f>
        <v>1345.5</v>
      </c>
      <c r="J422" s="2">
        <v>91.7</v>
      </c>
      <c r="K422" s="2">
        <v>478.8</v>
      </c>
      <c r="L422" s="22" t="s">
        <v>38</v>
      </c>
      <c r="M422" s="22" t="s">
        <v>20</v>
      </c>
      <c r="N422" s="22" t="s">
        <v>58</v>
      </c>
      <c r="O422" s="64">
        <f>VLOOKUP($E422,Products!$B$2:$F$11,5,0)</f>
        <v>15.5</v>
      </c>
      <c r="P422" s="64">
        <f>PRODUCT(Table13[[#This Row],[Quantity]],Table13[[#This Row],[Unit_Cost]])</f>
        <v>775</v>
      </c>
      <c r="Q422" s="65">
        <f>Table13[[#This Row],[Profit]]/Table13[[#This Row],[Total_Sales]]</f>
        <v>0.35585284280936458</v>
      </c>
      <c r="R422" s="1"/>
      <c r="S422" s="1"/>
      <c r="T422" s="1"/>
    </row>
    <row r="423" spans="1:20" x14ac:dyDescent="0.25">
      <c r="A423" s="22" t="s">
        <v>576</v>
      </c>
      <c r="B423" s="63">
        <v>45790</v>
      </c>
      <c r="C423" s="22" t="s">
        <v>286</v>
      </c>
      <c r="D423" s="22" t="str">
        <f>PROPER(TRIM(Raw_Data!D423))</f>
        <v>Italy</v>
      </c>
      <c r="E423" s="22" t="s">
        <v>43</v>
      </c>
      <c r="F423" s="22" t="s">
        <v>44</v>
      </c>
      <c r="G423" s="66">
        <v>7</v>
      </c>
      <c r="H423" s="2">
        <v>59.41</v>
      </c>
      <c r="I423" s="64">
        <f>PRODUCT(Table13[[#This Row],[Quantity]:[Unit_Price]])</f>
        <v>415.87</v>
      </c>
      <c r="J423" s="2">
        <v>25.51</v>
      </c>
      <c r="K423" s="2">
        <v>110.36</v>
      </c>
      <c r="L423" s="22" t="s">
        <v>19</v>
      </c>
      <c r="M423" s="22" t="s">
        <v>32</v>
      </c>
      <c r="N423" s="22" t="s">
        <v>28</v>
      </c>
      <c r="O423" s="64">
        <f>VLOOKUP($E423,Products!$B$2:$F$11,5,0)</f>
        <v>40</v>
      </c>
      <c r="P423" s="64">
        <f>PRODUCT(Table13[[#This Row],[Quantity]],Table13[[#This Row],[Unit_Cost]])</f>
        <v>280</v>
      </c>
      <c r="Q423" s="65">
        <f>Table13[[#This Row],[Profit]]/Table13[[#This Row],[Total_Sales]]</f>
        <v>0.26537139009786714</v>
      </c>
      <c r="R423" s="1"/>
      <c r="S423" s="1"/>
      <c r="T423" s="1"/>
    </row>
    <row r="424" spans="1:20" x14ac:dyDescent="0.25">
      <c r="A424" s="22" t="s">
        <v>577</v>
      </c>
      <c r="B424" s="63">
        <v>45301</v>
      </c>
      <c r="C424" s="22" t="s">
        <v>249</v>
      </c>
      <c r="D424" s="22" t="str">
        <f>PROPER(TRIM(Raw_Data!D424))</f>
        <v>Japan</v>
      </c>
      <c r="E424" s="22" t="s">
        <v>56</v>
      </c>
      <c r="F424" s="22" t="s">
        <v>57</v>
      </c>
      <c r="G424" s="66">
        <v>48</v>
      </c>
      <c r="H424" s="2">
        <v>37.31</v>
      </c>
      <c r="I424" s="64">
        <f>PRODUCT(Table13[[#This Row],[Quantity]:[Unit_Price]])</f>
        <v>1790.88</v>
      </c>
      <c r="J424" s="2">
        <v>67.45</v>
      </c>
      <c r="K424" s="2">
        <v>523.42999999999995</v>
      </c>
      <c r="L424" s="22" t="s">
        <v>19</v>
      </c>
      <c r="M424" s="22" t="s">
        <v>27</v>
      </c>
      <c r="N424" s="22" t="s">
        <v>58</v>
      </c>
      <c r="O424" s="64">
        <f>VLOOKUP($E424,Products!$B$2:$F$11,5,0)</f>
        <v>25</v>
      </c>
      <c r="P424" s="64">
        <f>PRODUCT(Table13[[#This Row],[Quantity]],Table13[[#This Row],[Unit_Cost]])</f>
        <v>1200</v>
      </c>
      <c r="Q424" s="65">
        <f>Table13[[#This Row],[Profit]]/Table13[[#This Row],[Total_Sales]]</f>
        <v>0.29227530599481816</v>
      </c>
      <c r="R424" s="1"/>
      <c r="S424" s="1"/>
      <c r="T424" s="1"/>
    </row>
    <row r="425" spans="1:20" x14ac:dyDescent="0.25">
      <c r="A425" s="22" t="s">
        <v>578</v>
      </c>
      <c r="B425" s="63">
        <v>45476</v>
      </c>
      <c r="C425" s="22" t="s">
        <v>179</v>
      </c>
      <c r="D425" s="22" t="str">
        <f>PROPER(TRIM(Raw_Data!D425))</f>
        <v>Uae</v>
      </c>
      <c r="E425" s="22" t="s">
        <v>43</v>
      </c>
      <c r="F425" s="22" t="s">
        <v>44</v>
      </c>
      <c r="G425" s="66">
        <v>38</v>
      </c>
      <c r="H425" s="2">
        <v>52.91</v>
      </c>
      <c r="I425" s="64">
        <f>PRODUCT(Table13[[#This Row],[Quantity]:[Unit_Price]])</f>
        <v>2010.58</v>
      </c>
      <c r="J425" s="2">
        <v>94.22</v>
      </c>
      <c r="K425" s="2">
        <v>396.36</v>
      </c>
      <c r="L425" s="22" t="s">
        <v>19</v>
      </c>
      <c r="M425" s="22" t="s">
        <v>20</v>
      </c>
      <c r="N425" s="22" t="s">
        <v>58</v>
      </c>
      <c r="O425" s="64">
        <f>VLOOKUP($E425,Products!$B$2:$F$11,5,0)</f>
        <v>40</v>
      </c>
      <c r="P425" s="64">
        <f>PRODUCT(Table13[[#This Row],[Quantity]],Table13[[#This Row],[Unit_Cost]])</f>
        <v>1520</v>
      </c>
      <c r="Q425" s="65">
        <f>Table13[[#This Row],[Profit]]/Table13[[#This Row],[Total_Sales]]</f>
        <v>0.19713714450556558</v>
      </c>
      <c r="R425" s="1"/>
      <c r="S425" s="1"/>
      <c r="T425" s="1"/>
    </row>
    <row r="426" spans="1:20" x14ac:dyDescent="0.25">
      <c r="A426" s="22" t="s">
        <v>579</v>
      </c>
      <c r="B426" s="63">
        <v>45792</v>
      </c>
      <c r="C426" s="22" t="s">
        <v>67</v>
      </c>
      <c r="D426" s="22" t="str">
        <f>PROPER(TRIM(Raw_Data!D426))</f>
        <v>Uk</v>
      </c>
      <c r="E426" s="22" t="s">
        <v>25</v>
      </c>
      <c r="F426" s="22" t="s">
        <v>18</v>
      </c>
      <c r="G426" s="66">
        <v>14</v>
      </c>
      <c r="H426" s="2">
        <v>27.09</v>
      </c>
      <c r="I426" s="64">
        <f>PRODUCT(Table13[[#This Row],[Quantity]:[Unit_Price]])</f>
        <v>379.26</v>
      </c>
      <c r="J426" s="2">
        <v>14.42</v>
      </c>
      <c r="K426" s="2">
        <v>112.84</v>
      </c>
      <c r="L426" s="22" t="s">
        <v>38</v>
      </c>
      <c r="M426" s="22" t="s">
        <v>32</v>
      </c>
      <c r="N426" s="22" t="s">
        <v>28</v>
      </c>
      <c r="O426" s="64">
        <f>VLOOKUP($E426,Products!$B$2:$F$11,5,0)</f>
        <v>18</v>
      </c>
      <c r="P426" s="64">
        <f>PRODUCT(Table13[[#This Row],[Quantity]],Table13[[#This Row],[Unit_Cost]])</f>
        <v>252</v>
      </c>
      <c r="Q426" s="65">
        <f>Table13[[#This Row],[Profit]]/Table13[[#This Row],[Total_Sales]]</f>
        <v>0.29752676264304173</v>
      </c>
      <c r="R426" s="1"/>
      <c r="S426" s="1"/>
      <c r="T426" s="1"/>
    </row>
    <row r="427" spans="1:20" x14ac:dyDescent="0.25">
      <c r="A427" s="22" t="s">
        <v>580</v>
      </c>
      <c r="B427" s="63">
        <v>45350</v>
      </c>
      <c r="C427" s="22" t="s">
        <v>113</v>
      </c>
      <c r="D427" s="22" t="str">
        <f>PROPER(TRIM(Raw_Data!D427))</f>
        <v>Japan</v>
      </c>
      <c r="E427" s="22" t="s">
        <v>51</v>
      </c>
      <c r="F427" s="22" t="s">
        <v>52</v>
      </c>
      <c r="G427" s="66">
        <v>41</v>
      </c>
      <c r="H427" s="2">
        <v>30.52</v>
      </c>
      <c r="I427" s="64">
        <f>PRODUCT(Table13[[#This Row],[Quantity]:[Unit_Price]])</f>
        <v>1251.32</v>
      </c>
      <c r="J427" s="2">
        <v>56.88</v>
      </c>
      <c r="K427" s="2">
        <v>271.94</v>
      </c>
      <c r="L427" s="22" t="s">
        <v>19</v>
      </c>
      <c r="M427" s="22" t="s">
        <v>32</v>
      </c>
      <c r="N427" s="22" t="s">
        <v>58</v>
      </c>
      <c r="O427" s="64">
        <f>VLOOKUP($E427,Products!$B$2:$F$11,5,0)</f>
        <v>22.5</v>
      </c>
      <c r="P427" s="64">
        <f>PRODUCT(Table13[[#This Row],[Quantity]],Table13[[#This Row],[Unit_Cost]])</f>
        <v>922.5</v>
      </c>
      <c r="Q427" s="65">
        <f>Table13[[#This Row],[Profit]]/Table13[[#This Row],[Total_Sales]]</f>
        <v>0.21732250743215165</v>
      </c>
      <c r="R427" s="1"/>
      <c r="S427" s="1"/>
      <c r="T427" s="1"/>
    </row>
    <row r="428" spans="1:20" x14ac:dyDescent="0.25">
      <c r="A428" s="22" t="s">
        <v>581</v>
      </c>
      <c r="B428" s="63">
        <v>45424</v>
      </c>
      <c r="C428" s="22" t="s">
        <v>231</v>
      </c>
      <c r="D428" s="22" t="str">
        <f>PROPER(TRIM(Raw_Data!D428))</f>
        <v>Canada</v>
      </c>
      <c r="E428" s="22" t="s">
        <v>83</v>
      </c>
      <c r="F428" s="22" t="s">
        <v>52</v>
      </c>
      <c r="G428" s="66">
        <v>23</v>
      </c>
      <c r="H428" s="2">
        <v>40.94</v>
      </c>
      <c r="I428" s="64">
        <f>PRODUCT(Table13[[#This Row],[Quantity]:[Unit_Price]])</f>
        <v>941.61999999999989</v>
      </c>
      <c r="J428" s="2">
        <v>71.66</v>
      </c>
      <c r="K428" s="2">
        <v>225.96</v>
      </c>
      <c r="L428" s="22" t="s">
        <v>26</v>
      </c>
      <c r="M428" s="22" t="s">
        <v>32</v>
      </c>
      <c r="N428" s="22" t="s">
        <v>21</v>
      </c>
      <c r="O428" s="64">
        <f>VLOOKUP($E428,Products!$B$2:$F$11,5,0)</f>
        <v>28</v>
      </c>
      <c r="P428" s="64">
        <f>PRODUCT(Table13[[#This Row],[Quantity]],Table13[[#This Row],[Unit_Cost]])</f>
        <v>644</v>
      </c>
      <c r="Q428" s="65">
        <f>Table13[[#This Row],[Profit]]/Table13[[#This Row],[Total_Sales]]</f>
        <v>0.2399694144134577</v>
      </c>
      <c r="R428" s="1"/>
      <c r="S428" s="1"/>
      <c r="T428" s="1"/>
    </row>
    <row r="429" spans="1:20" x14ac:dyDescent="0.25">
      <c r="A429" s="22" t="s">
        <v>582</v>
      </c>
      <c r="B429" s="63">
        <v>45457</v>
      </c>
      <c r="C429" s="22" t="s">
        <v>297</v>
      </c>
      <c r="D429" s="22" t="str">
        <f>PROPER(TRIM(Raw_Data!D429))</f>
        <v>Germany</v>
      </c>
      <c r="E429" s="22" t="s">
        <v>83</v>
      </c>
      <c r="F429" s="22" t="s">
        <v>52</v>
      </c>
      <c r="G429" s="66">
        <v>34</v>
      </c>
      <c r="H429" s="2">
        <v>41.77</v>
      </c>
      <c r="I429" s="64">
        <f>PRODUCT(Table13[[#This Row],[Quantity]:[Unit_Price]])</f>
        <v>1420.18</v>
      </c>
      <c r="J429" s="2">
        <v>112.45</v>
      </c>
      <c r="K429" s="2">
        <v>355.73</v>
      </c>
      <c r="L429" s="22" t="s">
        <v>26</v>
      </c>
      <c r="M429" s="22" t="s">
        <v>32</v>
      </c>
      <c r="N429" s="22" t="s">
        <v>28</v>
      </c>
      <c r="O429" s="64">
        <f>VLOOKUP($E429,Products!$B$2:$F$11,5,0)</f>
        <v>28</v>
      </c>
      <c r="P429" s="64">
        <f>PRODUCT(Table13[[#This Row],[Quantity]],Table13[[#This Row],[Unit_Cost]])</f>
        <v>952</v>
      </c>
      <c r="Q429" s="65">
        <f>Table13[[#This Row],[Profit]]/Table13[[#This Row],[Total_Sales]]</f>
        <v>0.25048233322536578</v>
      </c>
      <c r="R429" s="1"/>
      <c r="S429" s="1"/>
      <c r="T429" s="1"/>
    </row>
    <row r="430" spans="1:20" x14ac:dyDescent="0.25">
      <c r="A430" s="22" t="s">
        <v>583</v>
      </c>
      <c r="B430" s="63">
        <v>45529</v>
      </c>
      <c r="C430" s="22" t="s">
        <v>102</v>
      </c>
      <c r="D430" s="22" t="str">
        <f>PROPER(TRIM(Raw_Data!D430))</f>
        <v>India</v>
      </c>
      <c r="E430" s="22" t="s">
        <v>43</v>
      </c>
      <c r="F430" s="22" t="s">
        <v>44</v>
      </c>
      <c r="G430" s="66">
        <v>32</v>
      </c>
      <c r="H430" s="2">
        <v>69.98</v>
      </c>
      <c r="I430" s="64">
        <f>PRODUCT(Table13[[#This Row],[Quantity]:[Unit_Price]])</f>
        <v>2239.36</v>
      </c>
      <c r="J430" s="2">
        <v>133.51</v>
      </c>
      <c r="K430" s="2">
        <v>825.85</v>
      </c>
      <c r="L430" s="22" t="s">
        <v>38</v>
      </c>
      <c r="M430" s="22" t="s">
        <v>20</v>
      </c>
      <c r="N430" s="22" t="s">
        <v>58</v>
      </c>
      <c r="O430" s="64">
        <f>VLOOKUP($E430,Products!$B$2:$F$11,5,0)</f>
        <v>40</v>
      </c>
      <c r="P430" s="64">
        <f>PRODUCT(Table13[[#This Row],[Quantity]],Table13[[#This Row],[Unit_Cost]])</f>
        <v>1280</v>
      </c>
      <c r="Q430" s="65">
        <f>Table13[[#This Row],[Profit]]/Table13[[#This Row],[Total_Sales]]</f>
        <v>0.3687884038296656</v>
      </c>
      <c r="R430" s="1"/>
      <c r="S430" s="1"/>
      <c r="T430" s="1"/>
    </row>
    <row r="431" spans="1:20" x14ac:dyDescent="0.25">
      <c r="A431" s="22" t="s">
        <v>584</v>
      </c>
      <c r="B431" s="63">
        <v>45292</v>
      </c>
      <c r="C431" s="22" t="s">
        <v>166</v>
      </c>
      <c r="D431" s="22" t="str">
        <f>PROPER(TRIM(Raw_Data!D431))</f>
        <v>Uk</v>
      </c>
      <c r="E431" s="22" t="s">
        <v>17</v>
      </c>
      <c r="F431" s="22" t="s">
        <v>18</v>
      </c>
      <c r="G431" s="66">
        <v>25</v>
      </c>
      <c r="H431" s="2">
        <v>42.91</v>
      </c>
      <c r="I431" s="64">
        <f>PRODUCT(Table13[[#This Row],[Quantity]:[Unit_Price]])</f>
        <v>1072.75</v>
      </c>
      <c r="J431" s="2">
        <v>80.02</v>
      </c>
      <c r="K431" s="2">
        <v>117.73</v>
      </c>
      <c r="L431" s="22" t="s">
        <v>26</v>
      </c>
      <c r="M431" s="22" t="s">
        <v>27</v>
      </c>
      <c r="N431" s="22" t="s">
        <v>28</v>
      </c>
      <c r="O431" s="64">
        <f>VLOOKUP($E431,Products!$B$2:$F$11,5,0)</f>
        <v>35</v>
      </c>
      <c r="P431" s="64">
        <f>PRODUCT(Table13[[#This Row],[Quantity]],Table13[[#This Row],[Unit_Cost]])</f>
        <v>875</v>
      </c>
      <c r="Q431" s="65">
        <f>Table13[[#This Row],[Profit]]/Table13[[#This Row],[Total_Sales]]</f>
        <v>0.10974597995805174</v>
      </c>
      <c r="R431" s="1"/>
      <c r="S431" s="1"/>
      <c r="T431" s="1"/>
    </row>
    <row r="432" spans="1:20" x14ac:dyDescent="0.25">
      <c r="A432" s="22" t="s">
        <v>585</v>
      </c>
      <c r="B432" s="63">
        <v>45644</v>
      </c>
      <c r="C432" s="22" t="s">
        <v>408</v>
      </c>
      <c r="D432" s="22" t="str">
        <f>PROPER(TRIM(Raw_Data!D432))</f>
        <v>Canada</v>
      </c>
      <c r="E432" s="22" t="s">
        <v>63</v>
      </c>
      <c r="F432" s="22" t="s">
        <v>37</v>
      </c>
      <c r="G432" s="66">
        <v>7</v>
      </c>
      <c r="H432" s="2">
        <v>22.6</v>
      </c>
      <c r="I432" s="64">
        <f>PRODUCT(Table13[[#This Row],[Quantity]:[Unit_Price]])</f>
        <v>158.20000000000002</v>
      </c>
      <c r="J432" s="2">
        <v>7.04</v>
      </c>
      <c r="K432" s="2">
        <v>61.91</v>
      </c>
      <c r="L432" s="22" t="s">
        <v>38</v>
      </c>
      <c r="M432" s="22" t="s">
        <v>20</v>
      </c>
      <c r="N432" s="22" t="s">
        <v>21</v>
      </c>
      <c r="O432" s="64">
        <f>VLOOKUP($E432,Products!$B$2:$F$11,5,0)</f>
        <v>12.75</v>
      </c>
      <c r="P432" s="64">
        <f>PRODUCT(Table13[[#This Row],[Quantity]],Table13[[#This Row],[Unit_Cost]])</f>
        <v>89.25</v>
      </c>
      <c r="Q432" s="65">
        <f>Table13[[#This Row],[Profit]]/Table13[[#This Row],[Total_Sales]]</f>
        <v>0.39134007585335012</v>
      </c>
      <c r="R432" s="1"/>
      <c r="S432" s="1"/>
      <c r="T432" s="1"/>
    </row>
    <row r="433" spans="1:20" x14ac:dyDescent="0.25">
      <c r="A433" s="22" t="s">
        <v>586</v>
      </c>
      <c r="B433" s="63">
        <v>45470</v>
      </c>
      <c r="C433" s="22" t="s">
        <v>89</v>
      </c>
      <c r="D433" s="22" t="str">
        <f>PROPER(TRIM(Raw_Data!D433))</f>
        <v>Usa</v>
      </c>
      <c r="E433" s="22" t="s">
        <v>63</v>
      </c>
      <c r="F433" s="22" t="s">
        <v>37</v>
      </c>
      <c r="G433" s="66">
        <v>48</v>
      </c>
      <c r="H433" s="2">
        <v>19.5</v>
      </c>
      <c r="I433" s="64">
        <f>PRODUCT(Table13[[#This Row],[Quantity]:[Unit_Price]])</f>
        <v>936</v>
      </c>
      <c r="J433" s="2">
        <v>70.069999999999993</v>
      </c>
      <c r="K433" s="2">
        <v>253.93</v>
      </c>
      <c r="L433" s="22" t="s">
        <v>19</v>
      </c>
      <c r="M433" s="22" t="s">
        <v>27</v>
      </c>
      <c r="N433" s="22" t="s">
        <v>21</v>
      </c>
      <c r="O433" s="64">
        <f>VLOOKUP($E433,Products!$B$2:$F$11,5,0)</f>
        <v>12.75</v>
      </c>
      <c r="P433" s="64">
        <f>PRODUCT(Table13[[#This Row],[Quantity]],Table13[[#This Row],[Unit_Cost]])</f>
        <v>612</v>
      </c>
      <c r="Q433" s="65">
        <f>Table13[[#This Row],[Profit]]/Table13[[#This Row],[Total_Sales]]</f>
        <v>0.27129273504273504</v>
      </c>
      <c r="R433" s="1"/>
      <c r="S433" s="1"/>
      <c r="T433" s="1"/>
    </row>
    <row r="434" spans="1:20" x14ac:dyDescent="0.25">
      <c r="A434" s="22" t="s">
        <v>587</v>
      </c>
      <c r="B434" s="63">
        <v>45546</v>
      </c>
      <c r="C434" s="22" t="s">
        <v>30</v>
      </c>
      <c r="D434" s="22" t="str">
        <f>PROPER(TRIM(Raw_Data!D434))</f>
        <v>Australia</v>
      </c>
      <c r="E434" s="22" t="s">
        <v>43</v>
      </c>
      <c r="F434" s="22" t="s">
        <v>44</v>
      </c>
      <c r="G434" s="66">
        <v>32</v>
      </c>
      <c r="H434" s="2">
        <v>49.97</v>
      </c>
      <c r="I434" s="64">
        <f>PRODUCT(Table13[[#This Row],[Quantity]:[Unit_Price]])</f>
        <v>1599.04</v>
      </c>
      <c r="J434" s="2">
        <v>43.1</v>
      </c>
      <c r="K434" s="2">
        <v>275.94</v>
      </c>
      <c r="L434" s="22" t="s">
        <v>26</v>
      </c>
      <c r="M434" s="22" t="s">
        <v>32</v>
      </c>
      <c r="N434" s="22" t="s">
        <v>130</v>
      </c>
      <c r="O434" s="64">
        <f>VLOOKUP($E434,Products!$B$2:$F$11,5,0)</f>
        <v>40</v>
      </c>
      <c r="P434" s="64">
        <f>PRODUCT(Table13[[#This Row],[Quantity]],Table13[[#This Row],[Unit_Cost]])</f>
        <v>1280</v>
      </c>
      <c r="Q434" s="65">
        <f>Table13[[#This Row],[Profit]]/Table13[[#This Row],[Total_Sales]]</f>
        <v>0.17256603962377426</v>
      </c>
      <c r="R434" s="1"/>
      <c r="S434" s="1"/>
      <c r="T434" s="1"/>
    </row>
    <row r="435" spans="1:20" x14ac:dyDescent="0.25">
      <c r="A435" s="22" t="s">
        <v>588</v>
      </c>
      <c r="B435" s="63">
        <v>45661</v>
      </c>
      <c r="C435" s="22" t="s">
        <v>15</v>
      </c>
      <c r="D435" s="22" t="str">
        <f>PROPER(TRIM(Raw_Data!D435))</f>
        <v>France</v>
      </c>
      <c r="E435" s="22" t="s">
        <v>60</v>
      </c>
      <c r="F435" s="22" t="s">
        <v>52</v>
      </c>
      <c r="G435" s="66">
        <v>41</v>
      </c>
      <c r="H435" s="2">
        <v>25.62</v>
      </c>
      <c r="I435" s="64">
        <f>PRODUCT(Table13[[#This Row],[Quantity]:[Unit_Price]])</f>
        <v>1050.42</v>
      </c>
      <c r="J435" s="2">
        <v>79.2</v>
      </c>
      <c r="K435" s="2">
        <v>335.72</v>
      </c>
      <c r="L435" s="22" t="s">
        <v>19</v>
      </c>
      <c r="M435" s="22" t="s">
        <v>27</v>
      </c>
      <c r="N435" s="22" t="s">
        <v>28</v>
      </c>
      <c r="O435" s="64">
        <f>VLOOKUP($E435,Products!$B$2:$F$11,5,0)</f>
        <v>15.5</v>
      </c>
      <c r="P435" s="64">
        <f>PRODUCT(Table13[[#This Row],[Quantity]],Table13[[#This Row],[Unit_Cost]])</f>
        <v>635.5</v>
      </c>
      <c r="Q435" s="65">
        <f>Table13[[#This Row],[Profit]]/Table13[[#This Row],[Total_Sales]]</f>
        <v>0.31960549113687858</v>
      </c>
      <c r="R435" s="1"/>
      <c r="S435" s="1"/>
      <c r="T435" s="1"/>
    </row>
    <row r="436" spans="1:20" x14ac:dyDescent="0.25">
      <c r="A436" s="22" t="s">
        <v>589</v>
      </c>
      <c r="B436" s="63">
        <v>45339</v>
      </c>
      <c r="C436" s="22" t="s">
        <v>293</v>
      </c>
      <c r="D436" s="22" t="str">
        <f>PROPER(TRIM(Raw_Data!D436))</f>
        <v>Usa</v>
      </c>
      <c r="E436" s="22" t="s">
        <v>63</v>
      </c>
      <c r="F436" s="22" t="s">
        <v>37</v>
      </c>
      <c r="G436" s="66">
        <v>46</v>
      </c>
      <c r="H436" s="2">
        <v>16.78</v>
      </c>
      <c r="I436" s="64">
        <f>PRODUCT(Table13[[#This Row],[Quantity]:[Unit_Price]])</f>
        <v>771.88000000000011</v>
      </c>
      <c r="J436" s="2">
        <v>18.04</v>
      </c>
      <c r="K436" s="2">
        <v>167.34</v>
      </c>
      <c r="L436" s="22" t="s">
        <v>38</v>
      </c>
      <c r="M436" s="22" t="s">
        <v>32</v>
      </c>
      <c r="N436" s="22" t="s">
        <v>21</v>
      </c>
      <c r="O436" s="64">
        <f>VLOOKUP($E436,Products!$B$2:$F$11,5,0)</f>
        <v>12.75</v>
      </c>
      <c r="P436" s="64">
        <f>PRODUCT(Table13[[#This Row],[Quantity]],Table13[[#This Row],[Unit_Cost]])</f>
        <v>586.5</v>
      </c>
      <c r="Q436" s="65">
        <f>Table13[[#This Row],[Profit]]/Table13[[#This Row],[Total_Sales]]</f>
        <v>0.21679535679121104</v>
      </c>
      <c r="R436" s="1"/>
      <c r="S436" s="1"/>
      <c r="T436" s="1"/>
    </row>
    <row r="437" spans="1:20" x14ac:dyDescent="0.25">
      <c r="A437" s="22" t="s">
        <v>590</v>
      </c>
      <c r="B437" s="63">
        <v>45325</v>
      </c>
      <c r="C437" s="22" t="s">
        <v>319</v>
      </c>
      <c r="D437" s="22" t="str">
        <f>PROPER(TRIM(Raw_Data!D437))</f>
        <v>Italy</v>
      </c>
      <c r="E437" s="22" t="s">
        <v>36</v>
      </c>
      <c r="F437" s="22" t="s">
        <v>37</v>
      </c>
      <c r="G437" s="66">
        <v>16</v>
      </c>
      <c r="H437" s="2">
        <v>42.18</v>
      </c>
      <c r="I437" s="64">
        <f>PRODUCT(Table13[[#This Row],[Quantity]:[Unit_Price]])</f>
        <v>674.88</v>
      </c>
      <c r="J437" s="2">
        <v>19.100000000000001</v>
      </c>
      <c r="K437" s="2">
        <v>143.78</v>
      </c>
      <c r="L437" s="22" t="s">
        <v>19</v>
      </c>
      <c r="M437" s="22" t="s">
        <v>32</v>
      </c>
      <c r="N437" s="22" t="s">
        <v>28</v>
      </c>
      <c r="O437" s="64">
        <f>VLOOKUP($E437,Products!$B$2:$F$11,5,0)</f>
        <v>32</v>
      </c>
      <c r="P437" s="64">
        <f>PRODUCT(Table13[[#This Row],[Quantity]],Table13[[#This Row],[Unit_Cost]])</f>
        <v>512</v>
      </c>
      <c r="Q437" s="65">
        <f>Table13[[#This Row],[Profit]]/Table13[[#This Row],[Total_Sales]]</f>
        <v>0.21304528212422949</v>
      </c>
      <c r="R437" s="1"/>
      <c r="S437" s="1"/>
      <c r="T437" s="1"/>
    </row>
    <row r="438" spans="1:20" x14ac:dyDescent="0.25">
      <c r="A438" s="22" t="s">
        <v>591</v>
      </c>
      <c r="B438" s="63">
        <v>45518</v>
      </c>
      <c r="C438" s="22" t="s">
        <v>67</v>
      </c>
      <c r="D438" s="22" t="str">
        <f>PROPER(TRIM(Raw_Data!D438))</f>
        <v>France</v>
      </c>
      <c r="E438" s="22" t="s">
        <v>56</v>
      </c>
      <c r="F438" s="22" t="s">
        <v>57</v>
      </c>
      <c r="G438" s="66">
        <v>12</v>
      </c>
      <c r="H438" s="2">
        <v>34.97</v>
      </c>
      <c r="I438" s="64">
        <f>PRODUCT(Table13[[#This Row],[Quantity]:[Unit_Price]])</f>
        <v>419.64</v>
      </c>
      <c r="J438" s="2">
        <v>28.48</v>
      </c>
      <c r="K438" s="2">
        <v>91.16</v>
      </c>
      <c r="L438" s="22" t="s">
        <v>19</v>
      </c>
      <c r="M438" s="22" t="s">
        <v>20</v>
      </c>
      <c r="N438" s="22" t="s">
        <v>28</v>
      </c>
      <c r="O438" s="64">
        <f>VLOOKUP($E438,Products!$B$2:$F$11,5,0)</f>
        <v>25</v>
      </c>
      <c r="P438" s="64">
        <f>PRODUCT(Table13[[#This Row],[Quantity]],Table13[[#This Row],[Unit_Cost]])</f>
        <v>300</v>
      </c>
      <c r="Q438" s="65">
        <f>Table13[[#This Row],[Profit]]/Table13[[#This Row],[Total_Sales]]</f>
        <v>0.21723381946430273</v>
      </c>
      <c r="R438" s="1"/>
      <c r="S438" s="1"/>
      <c r="T438" s="1"/>
    </row>
    <row r="439" spans="1:20" x14ac:dyDescent="0.25">
      <c r="A439" s="22" t="s">
        <v>592</v>
      </c>
      <c r="B439" s="63">
        <v>45649</v>
      </c>
      <c r="C439" s="22" t="s">
        <v>137</v>
      </c>
      <c r="D439" s="22" t="str">
        <f>PROPER(TRIM(Raw_Data!D439))</f>
        <v>Brazil</v>
      </c>
      <c r="E439" s="22" t="s">
        <v>48</v>
      </c>
      <c r="F439" s="22" t="s">
        <v>37</v>
      </c>
      <c r="G439" s="66">
        <v>31</v>
      </c>
      <c r="H439" s="2">
        <v>33.619999999999997</v>
      </c>
      <c r="I439" s="64">
        <f>PRODUCT(Table13[[#This Row],[Quantity]:[Unit_Price]])</f>
        <v>1042.22</v>
      </c>
      <c r="J439" s="2">
        <v>26.33</v>
      </c>
      <c r="K439" s="2">
        <v>395.89</v>
      </c>
      <c r="L439" s="22" t="s">
        <v>38</v>
      </c>
      <c r="M439" s="22" t="s">
        <v>32</v>
      </c>
      <c r="N439" s="22" t="s">
        <v>39</v>
      </c>
      <c r="O439" s="64">
        <f>VLOOKUP($E439,Products!$B$2:$F$11,5,0)</f>
        <v>20</v>
      </c>
      <c r="P439" s="64">
        <f>PRODUCT(Table13[[#This Row],[Quantity]],Table13[[#This Row],[Unit_Cost]])</f>
        <v>620</v>
      </c>
      <c r="Q439" s="65">
        <f>Table13[[#This Row],[Profit]]/Table13[[#This Row],[Total_Sales]]</f>
        <v>0.37985262228704109</v>
      </c>
      <c r="R439" s="1"/>
      <c r="S439" s="1"/>
      <c r="T439" s="1"/>
    </row>
    <row r="440" spans="1:20" x14ac:dyDescent="0.25">
      <c r="A440" s="22" t="s">
        <v>593</v>
      </c>
      <c r="B440" s="63">
        <v>45614</v>
      </c>
      <c r="C440" s="22" t="s">
        <v>421</v>
      </c>
      <c r="D440" s="22" t="str">
        <f>PROPER(TRIM(Raw_Data!D440))</f>
        <v>Uae</v>
      </c>
      <c r="E440" s="22" t="s">
        <v>51</v>
      </c>
      <c r="F440" s="22" t="s">
        <v>52</v>
      </c>
      <c r="G440" s="66">
        <v>40</v>
      </c>
      <c r="H440" s="2">
        <v>30.56</v>
      </c>
      <c r="I440" s="64">
        <f>PRODUCT(Table13[[#This Row],[Quantity]:[Unit_Price]])</f>
        <v>1222.3999999999999</v>
      </c>
      <c r="J440" s="2">
        <v>26.42</v>
      </c>
      <c r="K440" s="2">
        <v>295.98</v>
      </c>
      <c r="L440" s="22" t="s">
        <v>19</v>
      </c>
      <c r="M440" s="22" t="s">
        <v>20</v>
      </c>
      <c r="N440" s="22" t="s">
        <v>58</v>
      </c>
      <c r="O440" s="64">
        <f>VLOOKUP($E440,Products!$B$2:$F$11,5,0)</f>
        <v>22.5</v>
      </c>
      <c r="P440" s="64">
        <f>PRODUCT(Table13[[#This Row],[Quantity]],Table13[[#This Row],[Unit_Cost]])</f>
        <v>900</v>
      </c>
      <c r="Q440" s="65">
        <f>Table13[[#This Row],[Profit]]/Table13[[#This Row],[Total_Sales]]</f>
        <v>0.24213023560209429</v>
      </c>
      <c r="R440" s="1"/>
      <c r="S440" s="1"/>
      <c r="T440" s="1"/>
    </row>
    <row r="441" spans="1:20" x14ac:dyDescent="0.25">
      <c r="A441" s="22" t="s">
        <v>594</v>
      </c>
      <c r="B441" s="63">
        <v>45679</v>
      </c>
      <c r="C441" s="22" t="s">
        <v>142</v>
      </c>
      <c r="D441" s="22" t="str">
        <f>PROPER(TRIM(Raw_Data!D441))</f>
        <v>Germany</v>
      </c>
      <c r="E441" s="22" t="s">
        <v>17</v>
      </c>
      <c r="F441" s="22" t="s">
        <v>18</v>
      </c>
      <c r="G441" s="66">
        <v>15</v>
      </c>
      <c r="H441" s="2">
        <v>61.93</v>
      </c>
      <c r="I441" s="64">
        <f>PRODUCT(Table13[[#This Row],[Quantity]:[Unit_Price]])</f>
        <v>928.95</v>
      </c>
      <c r="J441" s="2">
        <v>25.68</v>
      </c>
      <c r="K441" s="2">
        <v>378.27</v>
      </c>
      <c r="L441" s="22" t="s">
        <v>26</v>
      </c>
      <c r="M441" s="22" t="s">
        <v>32</v>
      </c>
      <c r="N441" s="22" t="s">
        <v>28</v>
      </c>
      <c r="O441" s="64">
        <f>VLOOKUP($E441,Products!$B$2:$F$11,5,0)</f>
        <v>35</v>
      </c>
      <c r="P441" s="64">
        <f>PRODUCT(Table13[[#This Row],[Quantity]],Table13[[#This Row],[Unit_Cost]])</f>
        <v>525</v>
      </c>
      <c r="Q441" s="65">
        <f>Table13[[#This Row],[Profit]]/Table13[[#This Row],[Total_Sales]]</f>
        <v>0.407201679315356</v>
      </c>
      <c r="R441" s="1"/>
      <c r="S441" s="1"/>
      <c r="T441" s="1"/>
    </row>
    <row r="442" spans="1:20" x14ac:dyDescent="0.25">
      <c r="A442" s="22" t="s">
        <v>595</v>
      </c>
      <c r="B442" s="63">
        <v>45298</v>
      </c>
      <c r="C442" s="22" t="s">
        <v>121</v>
      </c>
      <c r="D442" s="22" t="str">
        <f>PROPER(TRIM(Raw_Data!D442))</f>
        <v>China</v>
      </c>
      <c r="E442" s="22" t="s">
        <v>48</v>
      </c>
      <c r="F442" s="22" t="s">
        <v>37</v>
      </c>
      <c r="G442" s="66">
        <v>20</v>
      </c>
      <c r="H442" s="2">
        <v>35.770000000000003</v>
      </c>
      <c r="I442" s="64">
        <f>PRODUCT(Table13[[#This Row],[Quantity]:[Unit_Price]])</f>
        <v>715.40000000000009</v>
      </c>
      <c r="J442" s="2">
        <v>39.229999999999997</v>
      </c>
      <c r="K442" s="2">
        <v>276.17</v>
      </c>
      <c r="L442" s="22" t="s">
        <v>19</v>
      </c>
      <c r="M442" s="22" t="s">
        <v>20</v>
      </c>
      <c r="N442" s="22" t="s">
        <v>58</v>
      </c>
      <c r="O442" s="64">
        <f>VLOOKUP($E442,Products!$B$2:$F$11,5,0)</f>
        <v>20</v>
      </c>
      <c r="P442" s="64">
        <f>PRODUCT(Table13[[#This Row],[Quantity]],Table13[[#This Row],[Unit_Cost]])</f>
        <v>400</v>
      </c>
      <c r="Q442" s="65">
        <f>Table13[[#This Row],[Profit]]/Table13[[#This Row],[Total_Sales]]</f>
        <v>0.38603578417668433</v>
      </c>
      <c r="R442" s="1"/>
      <c r="S442" s="1"/>
      <c r="T442" s="1"/>
    </row>
    <row r="443" spans="1:20" x14ac:dyDescent="0.25">
      <c r="A443" s="22" t="s">
        <v>596</v>
      </c>
      <c r="B443" s="63">
        <v>45444</v>
      </c>
      <c r="C443" s="22" t="s">
        <v>246</v>
      </c>
      <c r="D443" s="22" t="str">
        <f>PROPER(TRIM(Raw_Data!D443))</f>
        <v>Uk</v>
      </c>
      <c r="E443" s="22" t="s">
        <v>63</v>
      </c>
      <c r="F443" s="22" t="s">
        <v>37</v>
      </c>
      <c r="G443" s="66">
        <v>21</v>
      </c>
      <c r="H443" s="2">
        <v>22.48</v>
      </c>
      <c r="I443" s="64">
        <f>PRODUCT(Table13[[#This Row],[Quantity]:[Unit_Price]])</f>
        <v>472.08</v>
      </c>
      <c r="J443" s="2">
        <v>12.96</v>
      </c>
      <c r="K443" s="2">
        <v>191.37</v>
      </c>
      <c r="L443" s="22" t="s">
        <v>26</v>
      </c>
      <c r="M443" s="22" t="s">
        <v>20</v>
      </c>
      <c r="N443" s="22" t="s">
        <v>28</v>
      </c>
      <c r="O443" s="64">
        <f>VLOOKUP($E443,Products!$B$2:$F$11,5,0)</f>
        <v>12.75</v>
      </c>
      <c r="P443" s="64">
        <f>PRODUCT(Table13[[#This Row],[Quantity]],Table13[[#This Row],[Unit_Cost]])</f>
        <v>267.75</v>
      </c>
      <c r="Q443" s="65">
        <f>Table13[[#This Row],[Profit]]/Table13[[#This Row],[Total_Sales]]</f>
        <v>0.40537620742247077</v>
      </c>
      <c r="R443" s="1"/>
      <c r="S443" s="1"/>
      <c r="T443" s="1"/>
    </row>
    <row r="444" spans="1:20" x14ac:dyDescent="0.25">
      <c r="A444" s="22" t="s">
        <v>597</v>
      </c>
      <c r="B444" s="63">
        <v>45681</v>
      </c>
      <c r="C444" s="22" t="s">
        <v>274</v>
      </c>
      <c r="D444" s="22" t="str">
        <f>PROPER(TRIM(Raw_Data!D444))</f>
        <v>China</v>
      </c>
      <c r="E444" s="22" t="s">
        <v>25</v>
      </c>
      <c r="F444" s="22" t="s">
        <v>18</v>
      </c>
      <c r="G444" s="66">
        <v>8</v>
      </c>
      <c r="H444" s="2">
        <v>27.53</v>
      </c>
      <c r="I444" s="64">
        <f>PRODUCT(Table13[[#This Row],[Quantity]:[Unit_Price]])</f>
        <v>220.24</v>
      </c>
      <c r="J444" s="2">
        <v>12.66</v>
      </c>
      <c r="K444" s="2">
        <v>63.58</v>
      </c>
      <c r="L444" s="22" t="s">
        <v>26</v>
      </c>
      <c r="M444" s="22" t="s">
        <v>27</v>
      </c>
      <c r="N444" s="22" t="s">
        <v>58</v>
      </c>
      <c r="O444" s="64">
        <f>VLOOKUP($E444,Products!$B$2:$F$11,5,0)</f>
        <v>18</v>
      </c>
      <c r="P444" s="64">
        <f>PRODUCT(Table13[[#This Row],[Quantity]],Table13[[#This Row],[Unit_Cost]])</f>
        <v>144</v>
      </c>
      <c r="Q444" s="65">
        <f>Table13[[#This Row],[Profit]]/Table13[[#This Row],[Total_Sales]]</f>
        <v>0.28868507083181982</v>
      </c>
      <c r="R444" s="1"/>
      <c r="S444" s="1"/>
      <c r="T444" s="1"/>
    </row>
    <row r="445" spans="1:20" x14ac:dyDescent="0.25">
      <c r="A445" s="22" t="s">
        <v>598</v>
      </c>
      <c r="B445" s="63">
        <v>45563</v>
      </c>
      <c r="C445" s="22" t="s">
        <v>226</v>
      </c>
      <c r="D445" s="22" t="str">
        <f>PROPER(TRIM(Raw_Data!D445))</f>
        <v>India</v>
      </c>
      <c r="E445" s="22" t="s">
        <v>51</v>
      </c>
      <c r="F445" s="22" t="s">
        <v>52</v>
      </c>
      <c r="G445" s="66">
        <v>35</v>
      </c>
      <c r="H445" s="2">
        <v>39.65</v>
      </c>
      <c r="I445" s="64">
        <f>PRODUCT(Table13[[#This Row],[Quantity]:[Unit_Price]])</f>
        <v>1387.75</v>
      </c>
      <c r="J445" s="2">
        <v>60.95</v>
      </c>
      <c r="K445" s="2">
        <v>539.29999999999995</v>
      </c>
      <c r="L445" s="22" t="s">
        <v>38</v>
      </c>
      <c r="M445" s="22" t="s">
        <v>27</v>
      </c>
      <c r="N445" s="22" t="s">
        <v>58</v>
      </c>
      <c r="O445" s="64">
        <f>VLOOKUP($E445,Products!$B$2:$F$11,5,0)</f>
        <v>22.5</v>
      </c>
      <c r="P445" s="64">
        <f>PRODUCT(Table13[[#This Row],[Quantity]],Table13[[#This Row],[Unit_Cost]])</f>
        <v>787.5</v>
      </c>
      <c r="Q445" s="65">
        <f>Table13[[#This Row],[Profit]]/Table13[[#This Row],[Total_Sales]]</f>
        <v>0.38861466402450007</v>
      </c>
      <c r="R445" s="1"/>
      <c r="S445" s="1"/>
      <c r="T445" s="1"/>
    </row>
    <row r="446" spans="1:20" x14ac:dyDescent="0.25">
      <c r="A446" s="22" t="s">
        <v>599</v>
      </c>
      <c r="B446" s="63">
        <v>45340</v>
      </c>
      <c r="C446" s="22" t="s">
        <v>181</v>
      </c>
      <c r="D446" s="22" t="str">
        <f>PROPER(TRIM(Raw_Data!D446))</f>
        <v>South Africa</v>
      </c>
      <c r="E446" s="22" t="s">
        <v>60</v>
      </c>
      <c r="F446" s="22" t="s">
        <v>52</v>
      </c>
      <c r="G446" s="66">
        <v>50</v>
      </c>
      <c r="H446" s="2">
        <v>23.68</v>
      </c>
      <c r="I446" s="64">
        <f>PRODUCT(Table13[[#This Row],[Quantity]:[Unit_Price]])</f>
        <v>1184</v>
      </c>
      <c r="J446" s="2">
        <v>46.62</v>
      </c>
      <c r="K446" s="2">
        <v>362.38</v>
      </c>
      <c r="L446" s="22" t="s">
        <v>26</v>
      </c>
      <c r="M446" s="22" t="s">
        <v>27</v>
      </c>
      <c r="N446" s="22" t="s">
        <v>87</v>
      </c>
      <c r="O446" s="64">
        <f>VLOOKUP($E446,Products!$B$2:$F$11,5,0)</f>
        <v>15.5</v>
      </c>
      <c r="P446" s="64">
        <f>PRODUCT(Table13[[#This Row],[Quantity]],Table13[[#This Row],[Unit_Cost]])</f>
        <v>775</v>
      </c>
      <c r="Q446" s="65">
        <f>Table13[[#This Row],[Profit]]/Table13[[#This Row],[Total_Sales]]</f>
        <v>0.30606418918918921</v>
      </c>
      <c r="R446" s="1"/>
      <c r="S446" s="1"/>
      <c r="T446" s="1"/>
    </row>
    <row r="447" spans="1:20" x14ac:dyDescent="0.25">
      <c r="A447" s="22" t="s">
        <v>600</v>
      </c>
      <c r="B447" s="63">
        <v>45698</v>
      </c>
      <c r="C447" s="22" t="s">
        <v>183</v>
      </c>
      <c r="D447" s="22" t="str">
        <f>PROPER(TRIM(Raw_Data!D447))</f>
        <v>Uae</v>
      </c>
      <c r="E447" s="22" t="s">
        <v>63</v>
      </c>
      <c r="F447" s="22" t="s">
        <v>37</v>
      </c>
      <c r="G447" s="66">
        <v>5</v>
      </c>
      <c r="H447" s="2">
        <v>19.809999999999999</v>
      </c>
      <c r="I447" s="64">
        <f>PRODUCT(Table13[[#This Row],[Quantity]:[Unit_Price]])</f>
        <v>99.05</v>
      </c>
      <c r="J447" s="2">
        <v>5.91</v>
      </c>
      <c r="K447" s="2">
        <v>29.39</v>
      </c>
      <c r="L447" s="22" t="s">
        <v>26</v>
      </c>
      <c r="M447" s="22" t="s">
        <v>32</v>
      </c>
      <c r="N447" s="22" t="s">
        <v>58</v>
      </c>
      <c r="O447" s="64">
        <f>VLOOKUP($E447,Products!$B$2:$F$11,5,0)</f>
        <v>12.75</v>
      </c>
      <c r="P447" s="64">
        <f>PRODUCT(Table13[[#This Row],[Quantity]],Table13[[#This Row],[Unit_Cost]])</f>
        <v>63.75</v>
      </c>
      <c r="Q447" s="65">
        <f>Table13[[#This Row],[Profit]]/Table13[[#This Row],[Total_Sales]]</f>
        <v>0.2967188288743059</v>
      </c>
      <c r="R447" s="1"/>
      <c r="S447" s="1"/>
      <c r="T447" s="1"/>
    </row>
    <row r="448" spans="1:20" x14ac:dyDescent="0.25">
      <c r="A448" s="22" t="s">
        <v>601</v>
      </c>
      <c r="B448" s="63">
        <v>45425</v>
      </c>
      <c r="C448" s="22" t="s">
        <v>76</v>
      </c>
      <c r="D448" s="22" t="str">
        <f>PROPER(TRIM(Raw_Data!D448))</f>
        <v>Brazil</v>
      </c>
      <c r="E448" s="22" t="s">
        <v>63</v>
      </c>
      <c r="F448" s="22" t="s">
        <v>37</v>
      </c>
      <c r="G448" s="66">
        <v>27</v>
      </c>
      <c r="H448" s="2">
        <v>18.03</v>
      </c>
      <c r="I448" s="64">
        <f>PRODUCT(Table13[[#This Row],[Quantity]:[Unit_Price]])</f>
        <v>486.81000000000006</v>
      </c>
      <c r="J448" s="2">
        <v>36.630000000000003</v>
      </c>
      <c r="K448" s="2">
        <v>105.93</v>
      </c>
      <c r="L448" s="22" t="s">
        <v>19</v>
      </c>
      <c r="M448" s="22" t="s">
        <v>32</v>
      </c>
      <c r="N448" s="22" t="s">
        <v>39</v>
      </c>
      <c r="O448" s="64">
        <f>VLOOKUP($E448,Products!$B$2:$F$11,5,0)</f>
        <v>12.75</v>
      </c>
      <c r="P448" s="64">
        <f>PRODUCT(Table13[[#This Row],[Quantity]],Table13[[#This Row],[Unit_Cost]])</f>
        <v>344.25</v>
      </c>
      <c r="Q448" s="65">
        <f>Table13[[#This Row],[Profit]]/Table13[[#This Row],[Total_Sales]]</f>
        <v>0.21760029580329079</v>
      </c>
      <c r="R448" s="1"/>
      <c r="S448" s="1"/>
      <c r="T448" s="1"/>
    </row>
    <row r="449" spans="1:20" x14ac:dyDescent="0.25">
      <c r="A449" s="22" t="s">
        <v>602</v>
      </c>
      <c r="B449" s="63">
        <v>45386</v>
      </c>
      <c r="C449" s="22" t="s">
        <v>261</v>
      </c>
      <c r="D449" s="22" t="str">
        <f>PROPER(TRIM(Raw_Data!D449))</f>
        <v>South Africa</v>
      </c>
      <c r="E449" s="22" t="s">
        <v>25</v>
      </c>
      <c r="F449" s="22" t="s">
        <v>18</v>
      </c>
      <c r="G449" s="66">
        <v>45</v>
      </c>
      <c r="H449" s="2">
        <v>26.93</v>
      </c>
      <c r="I449" s="64">
        <f>PRODUCT(Table13[[#This Row],[Quantity]:[Unit_Price]])</f>
        <v>1211.8499999999999</v>
      </c>
      <c r="J449" s="2">
        <v>62.85</v>
      </c>
      <c r="K449" s="2">
        <v>339</v>
      </c>
      <c r="L449" s="22" t="s">
        <v>26</v>
      </c>
      <c r="M449" s="22" t="s">
        <v>27</v>
      </c>
      <c r="N449" s="22" t="s">
        <v>87</v>
      </c>
      <c r="O449" s="64">
        <f>VLOOKUP($E449,Products!$B$2:$F$11,5,0)</f>
        <v>18</v>
      </c>
      <c r="P449" s="64">
        <f>PRODUCT(Table13[[#This Row],[Quantity]],Table13[[#This Row],[Unit_Cost]])</f>
        <v>810</v>
      </c>
      <c r="Q449" s="65">
        <f>Table13[[#This Row],[Profit]]/Table13[[#This Row],[Total_Sales]]</f>
        <v>0.2797375912860503</v>
      </c>
      <c r="R449" s="1"/>
      <c r="S449" s="1"/>
      <c r="T449" s="1"/>
    </row>
    <row r="450" spans="1:20" x14ac:dyDescent="0.25">
      <c r="A450" s="22" t="s">
        <v>603</v>
      </c>
      <c r="B450" s="63">
        <v>45455</v>
      </c>
      <c r="C450" s="22" t="s">
        <v>319</v>
      </c>
      <c r="D450" s="22" t="str">
        <f>PROPER(TRIM(Raw_Data!D450))</f>
        <v>Italy</v>
      </c>
      <c r="E450" s="22" t="s">
        <v>48</v>
      </c>
      <c r="F450" s="22" t="s">
        <v>37</v>
      </c>
      <c r="G450" s="66">
        <v>40</v>
      </c>
      <c r="H450" s="2">
        <v>32.54</v>
      </c>
      <c r="I450" s="64">
        <f>PRODUCT(Table13[[#This Row],[Quantity]:[Unit_Price]])</f>
        <v>1301.5999999999999</v>
      </c>
      <c r="J450" s="2">
        <v>47.06</v>
      </c>
      <c r="K450" s="2">
        <v>454.54</v>
      </c>
      <c r="L450" s="22" t="s">
        <v>19</v>
      </c>
      <c r="M450" s="22" t="s">
        <v>27</v>
      </c>
      <c r="N450" s="22" t="s">
        <v>28</v>
      </c>
      <c r="O450" s="64">
        <f>VLOOKUP($E450,Products!$B$2:$F$11,5,0)</f>
        <v>20</v>
      </c>
      <c r="P450" s="64">
        <f>PRODUCT(Table13[[#This Row],[Quantity]],Table13[[#This Row],[Unit_Cost]])</f>
        <v>800</v>
      </c>
      <c r="Q450" s="65">
        <f>Table13[[#This Row],[Profit]]/Table13[[#This Row],[Total_Sales]]</f>
        <v>0.34921634910878924</v>
      </c>
      <c r="R450" s="1"/>
      <c r="S450" s="1"/>
      <c r="T450" s="1"/>
    </row>
    <row r="451" spans="1:20" x14ac:dyDescent="0.25">
      <c r="A451" s="22" t="s">
        <v>604</v>
      </c>
      <c r="B451" s="63">
        <v>45790</v>
      </c>
      <c r="C451" s="22" t="s">
        <v>85</v>
      </c>
      <c r="D451" s="22" t="str">
        <f>PROPER(TRIM(Raw_Data!D451))</f>
        <v>India</v>
      </c>
      <c r="E451" s="22" t="s">
        <v>51</v>
      </c>
      <c r="F451" s="22" t="s">
        <v>52</v>
      </c>
      <c r="G451" s="66">
        <v>26</v>
      </c>
      <c r="H451" s="2">
        <v>35.32</v>
      </c>
      <c r="I451" s="64">
        <f>PRODUCT(Table13[[#This Row],[Quantity]:[Unit_Price]])</f>
        <v>918.32</v>
      </c>
      <c r="J451" s="2">
        <v>60.02</v>
      </c>
      <c r="K451" s="2">
        <v>273.3</v>
      </c>
      <c r="L451" s="22" t="s">
        <v>38</v>
      </c>
      <c r="M451" s="22" t="s">
        <v>20</v>
      </c>
      <c r="N451" s="22" t="s">
        <v>58</v>
      </c>
      <c r="O451" s="64">
        <f>VLOOKUP($E451,Products!$B$2:$F$11,5,0)</f>
        <v>22.5</v>
      </c>
      <c r="P451" s="64">
        <f>PRODUCT(Table13[[#This Row],[Quantity]],Table13[[#This Row],[Unit_Cost]])</f>
        <v>585</v>
      </c>
      <c r="Q451" s="65">
        <f>Table13[[#This Row],[Profit]]/Table13[[#This Row],[Total_Sales]]</f>
        <v>0.29760867671399949</v>
      </c>
      <c r="R451" s="1"/>
      <c r="S451" s="1"/>
      <c r="T451" s="1"/>
    </row>
    <row r="452" spans="1:20" x14ac:dyDescent="0.25">
      <c r="A452" s="22" t="s">
        <v>605</v>
      </c>
      <c r="B452" s="63">
        <v>45681</v>
      </c>
      <c r="C452" s="22" t="s">
        <v>93</v>
      </c>
      <c r="D452" s="22" t="str">
        <f>PROPER(TRIM(Raw_Data!D452))</f>
        <v>Brazil</v>
      </c>
      <c r="E452" s="22" t="s">
        <v>63</v>
      </c>
      <c r="F452" s="22" t="s">
        <v>37</v>
      </c>
      <c r="G452" s="66">
        <v>16</v>
      </c>
      <c r="H452" s="2">
        <v>16.440000000000001</v>
      </c>
      <c r="I452" s="64">
        <f>PRODUCT(Table13[[#This Row],[Quantity]:[Unit_Price]])</f>
        <v>263.04000000000002</v>
      </c>
      <c r="J452" s="2">
        <v>17.64</v>
      </c>
      <c r="K452" s="2">
        <v>41.4</v>
      </c>
      <c r="L452" s="22" t="s">
        <v>19</v>
      </c>
      <c r="M452" s="22" t="s">
        <v>20</v>
      </c>
      <c r="N452" s="22" t="s">
        <v>39</v>
      </c>
      <c r="O452" s="64">
        <f>VLOOKUP($E452,Products!$B$2:$F$11,5,0)</f>
        <v>12.75</v>
      </c>
      <c r="P452" s="64">
        <f>PRODUCT(Table13[[#This Row],[Quantity]],Table13[[#This Row],[Unit_Cost]])</f>
        <v>204</v>
      </c>
      <c r="Q452" s="65">
        <f>Table13[[#This Row],[Profit]]/Table13[[#This Row],[Total_Sales]]</f>
        <v>0.1573905109489051</v>
      </c>
      <c r="R452" s="1"/>
      <c r="S452" s="1"/>
      <c r="T452" s="1"/>
    </row>
    <row r="453" spans="1:20" x14ac:dyDescent="0.25">
      <c r="A453" s="22" t="s">
        <v>606</v>
      </c>
      <c r="B453" s="63">
        <v>45731</v>
      </c>
      <c r="C453" s="22" t="s">
        <v>226</v>
      </c>
      <c r="D453" s="22" t="str">
        <f>PROPER(TRIM(Raw_Data!D453))</f>
        <v>France</v>
      </c>
      <c r="E453" s="22" t="s">
        <v>83</v>
      </c>
      <c r="F453" s="22" t="s">
        <v>52</v>
      </c>
      <c r="G453" s="66">
        <v>39</v>
      </c>
      <c r="H453" s="2">
        <v>46.27</v>
      </c>
      <c r="I453" s="64">
        <f>PRODUCT(Table13[[#This Row],[Quantity]:[Unit_Price]])</f>
        <v>1804.5300000000002</v>
      </c>
      <c r="J453" s="2">
        <v>38.57</v>
      </c>
      <c r="K453" s="2">
        <v>673.96</v>
      </c>
      <c r="L453" s="22" t="s">
        <v>38</v>
      </c>
      <c r="M453" s="22" t="s">
        <v>32</v>
      </c>
      <c r="N453" s="22" t="s">
        <v>28</v>
      </c>
      <c r="O453" s="64">
        <f>VLOOKUP($E453,Products!$B$2:$F$11,5,0)</f>
        <v>28</v>
      </c>
      <c r="P453" s="64">
        <f>PRODUCT(Table13[[#This Row],[Quantity]],Table13[[#This Row],[Unit_Cost]])</f>
        <v>1092</v>
      </c>
      <c r="Q453" s="65">
        <f>Table13[[#This Row],[Profit]]/Table13[[#This Row],[Total_Sales]]</f>
        <v>0.37348229178788933</v>
      </c>
      <c r="R453" s="1"/>
      <c r="S453" s="1"/>
      <c r="T453" s="1"/>
    </row>
    <row r="454" spans="1:20" x14ac:dyDescent="0.25">
      <c r="A454" s="22" t="s">
        <v>607</v>
      </c>
      <c r="B454" s="63">
        <v>45584</v>
      </c>
      <c r="C454" s="22" t="s">
        <v>154</v>
      </c>
      <c r="D454" s="22" t="str">
        <f>PROPER(TRIM(Raw_Data!D454))</f>
        <v>Uk</v>
      </c>
      <c r="E454" s="22" t="s">
        <v>56</v>
      </c>
      <c r="F454" s="22" t="s">
        <v>57</v>
      </c>
      <c r="G454" s="66">
        <v>15</v>
      </c>
      <c r="H454" s="2">
        <v>33.22</v>
      </c>
      <c r="I454" s="64">
        <f>PRODUCT(Table13[[#This Row],[Quantity]:[Unit_Price]])</f>
        <v>498.29999999999995</v>
      </c>
      <c r="J454" s="2">
        <v>36.85</v>
      </c>
      <c r="K454" s="2">
        <v>86.45</v>
      </c>
      <c r="L454" s="22" t="s">
        <v>38</v>
      </c>
      <c r="M454" s="22" t="s">
        <v>32</v>
      </c>
      <c r="N454" s="22" t="s">
        <v>28</v>
      </c>
      <c r="O454" s="64">
        <f>VLOOKUP($E454,Products!$B$2:$F$11,5,0)</f>
        <v>25</v>
      </c>
      <c r="P454" s="64">
        <f>PRODUCT(Table13[[#This Row],[Quantity]],Table13[[#This Row],[Unit_Cost]])</f>
        <v>375</v>
      </c>
      <c r="Q454" s="65">
        <f>Table13[[#This Row],[Profit]]/Table13[[#This Row],[Total_Sales]]</f>
        <v>0.17348986554284571</v>
      </c>
      <c r="R454" s="1"/>
      <c r="S454" s="1"/>
      <c r="T454" s="1"/>
    </row>
    <row r="455" spans="1:20" x14ac:dyDescent="0.25">
      <c r="A455" s="22" t="s">
        <v>608</v>
      </c>
      <c r="B455" s="63">
        <v>45459</v>
      </c>
      <c r="C455" s="22" t="s">
        <v>207</v>
      </c>
      <c r="D455" s="22" t="str">
        <f>PROPER(TRIM(Raw_Data!D455))</f>
        <v>South Africa</v>
      </c>
      <c r="E455" s="22" t="s">
        <v>43</v>
      </c>
      <c r="F455" s="22" t="s">
        <v>44</v>
      </c>
      <c r="G455" s="66">
        <v>35</v>
      </c>
      <c r="H455" s="2">
        <v>71.02</v>
      </c>
      <c r="I455" s="64">
        <f>PRODUCT(Table13[[#This Row],[Quantity]:[Unit_Price]])</f>
        <v>2485.6999999999998</v>
      </c>
      <c r="J455" s="2">
        <v>137.22</v>
      </c>
      <c r="K455" s="2">
        <v>948.48</v>
      </c>
      <c r="L455" s="22" t="s">
        <v>26</v>
      </c>
      <c r="M455" s="22" t="s">
        <v>27</v>
      </c>
      <c r="N455" s="22" t="s">
        <v>87</v>
      </c>
      <c r="O455" s="64">
        <f>VLOOKUP($E455,Products!$B$2:$F$11,5,0)</f>
        <v>40</v>
      </c>
      <c r="P455" s="64">
        <f>PRODUCT(Table13[[#This Row],[Quantity]],Table13[[#This Row],[Unit_Cost]])</f>
        <v>1400</v>
      </c>
      <c r="Q455" s="65">
        <f>Table13[[#This Row],[Profit]]/Table13[[#This Row],[Total_Sales]]</f>
        <v>0.38157460675061355</v>
      </c>
      <c r="R455" s="1"/>
      <c r="S455" s="1"/>
      <c r="T455" s="1"/>
    </row>
    <row r="456" spans="1:20" x14ac:dyDescent="0.25">
      <c r="A456" s="22" t="s">
        <v>609</v>
      </c>
      <c r="B456" s="63">
        <v>45555</v>
      </c>
      <c r="C456" s="22" t="s">
        <v>102</v>
      </c>
      <c r="D456" s="22" t="str">
        <f>PROPER(TRIM(Raw_Data!D456))</f>
        <v>Uae</v>
      </c>
      <c r="E456" s="22" t="s">
        <v>83</v>
      </c>
      <c r="F456" s="22" t="s">
        <v>52</v>
      </c>
      <c r="G456" s="66">
        <v>2</v>
      </c>
      <c r="H456" s="2">
        <v>42.31</v>
      </c>
      <c r="I456" s="64">
        <f>PRODUCT(Table13[[#This Row],[Quantity]:[Unit_Price]])</f>
        <v>84.62</v>
      </c>
      <c r="J456" s="2">
        <v>4.28</v>
      </c>
      <c r="K456" s="2">
        <v>24.34</v>
      </c>
      <c r="L456" s="22" t="s">
        <v>26</v>
      </c>
      <c r="M456" s="22" t="s">
        <v>27</v>
      </c>
      <c r="N456" s="22" t="s">
        <v>58</v>
      </c>
      <c r="O456" s="64">
        <f>VLOOKUP($E456,Products!$B$2:$F$11,5,0)</f>
        <v>28</v>
      </c>
      <c r="P456" s="64">
        <f>PRODUCT(Table13[[#This Row],[Quantity]],Table13[[#This Row],[Unit_Cost]])</f>
        <v>56</v>
      </c>
      <c r="Q456" s="65">
        <f>Table13[[#This Row],[Profit]]/Table13[[#This Row],[Total_Sales]]</f>
        <v>0.28763885606239659</v>
      </c>
      <c r="R456" s="1"/>
      <c r="S456" s="1"/>
      <c r="T456" s="1"/>
    </row>
    <row r="457" spans="1:20" x14ac:dyDescent="0.25">
      <c r="A457" s="22" t="s">
        <v>610</v>
      </c>
      <c r="B457" s="63">
        <v>45771</v>
      </c>
      <c r="C457" s="22" t="s">
        <v>91</v>
      </c>
      <c r="D457" s="22" t="str">
        <f>PROPER(TRIM(Raw_Data!D457))</f>
        <v>Singapore</v>
      </c>
      <c r="E457" s="22" t="s">
        <v>56</v>
      </c>
      <c r="F457" s="22" t="s">
        <v>57</v>
      </c>
      <c r="G457" s="66">
        <v>8</v>
      </c>
      <c r="H457" s="2">
        <v>41.36</v>
      </c>
      <c r="I457" s="64">
        <f>PRODUCT(Table13[[#This Row],[Quantity]:[Unit_Price]])</f>
        <v>330.88</v>
      </c>
      <c r="J457" s="2">
        <v>11.78</v>
      </c>
      <c r="K457" s="2">
        <v>119.1</v>
      </c>
      <c r="L457" s="22" t="s">
        <v>19</v>
      </c>
      <c r="M457" s="22" t="s">
        <v>20</v>
      </c>
      <c r="N457" s="22" t="s">
        <v>58</v>
      </c>
      <c r="O457" s="64">
        <f>VLOOKUP($E457,Products!$B$2:$F$11,5,0)</f>
        <v>25</v>
      </c>
      <c r="P457" s="64">
        <f>PRODUCT(Table13[[#This Row],[Quantity]],Table13[[#This Row],[Unit_Cost]])</f>
        <v>200</v>
      </c>
      <c r="Q457" s="65">
        <f>Table13[[#This Row],[Profit]]/Table13[[#This Row],[Total_Sales]]</f>
        <v>0.35994922630560927</v>
      </c>
      <c r="R457" s="1"/>
      <c r="S457" s="1"/>
      <c r="T457" s="1"/>
    </row>
    <row r="458" spans="1:20" x14ac:dyDescent="0.25">
      <c r="A458" s="22" t="s">
        <v>611</v>
      </c>
      <c r="B458" s="63">
        <v>45551</v>
      </c>
      <c r="C458" s="22" t="s">
        <v>121</v>
      </c>
      <c r="D458" s="22" t="str">
        <f>PROPER(TRIM(Raw_Data!D458))</f>
        <v>Canada</v>
      </c>
      <c r="E458" s="22" t="s">
        <v>25</v>
      </c>
      <c r="F458" s="22" t="s">
        <v>18</v>
      </c>
      <c r="G458" s="66">
        <v>3</v>
      </c>
      <c r="H458" s="2">
        <v>31.39</v>
      </c>
      <c r="I458" s="64">
        <f>PRODUCT(Table13[[#This Row],[Quantity]:[Unit_Price]])</f>
        <v>94.17</v>
      </c>
      <c r="J458" s="2">
        <v>2.52</v>
      </c>
      <c r="K458" s="2">
        <v>37.65</v>
      </c>
      <c r="L458" s="22" t="s">
        <v>38</v>
      </c>
      <c r="M458" s="22" t="s">
        <v>32</v>
      </c>
      <c r="N458" s="22" t="s">
        <v>21</v>
      </c>
      <c r="O458" s="64">
        <f>VLOOKUP($E458,Products!$B$2:$F$11,5,0)</f>
        <v>18</v>
      </c>
      <c r="P458" s="64">
        <f>PRODUCT(Table13[[#This Row],[Quantity]],Table13[[#This Row],[Unit_Cost]])</f>
        <v>54</v>
      </c>
      <c r="Q458" s="65">
        <f>Table13[[#This Row],[Profit]]/Table13[[#This Row],[Total_Sales]]</f>
        <v>0.39980885632366991</v>
      </c>
      <c r="R458" s="1"/>
      <c r="S458" s="1"/>
      <c r="T458" s="1"/>
    </row>
    <row r="459" spans="1:20" x14ac:dyDescent="0.25">
      <c r="A459" s="22" t="s">
        <v>612</v>
      </c>
      <c r="B459" s="63">
        <v>45660</v>
      </c>
      <c r="C459" s="22" t="s">
        <v>145</v>
      </c>
      <c r="D459" s="22" t="str">
        <f>PROPER(TRIM(Raw_Data!D459))</f>
        <v>France</v>
      </c>
      <c r="E459" s="22" t="s">
        <v>51</v>
      </c>
      <c r="F459" s="22" t="s">
        <v>52</v>
      </c>
      <c r="G459" s="66">
        <v>48</v>
      </c>
      <c r="H459" s="2">
        <v>33.61</v>
      </c>
      <c r="I459" s="64">
        <f>PRODUCT(Table13[[#This Row],[Quantity]:[Unit_Price]])</f>
        <v>1613.28</v>
      </c>
      <c r="J459" s="2">
        <v>109.92</v>
      </c>
      <c r="K459" s="2">
        <v>423.36</v>
      </c>
      <c r="L459" s="22" t="s">
        <v>19</v>
      </c>
      <c r="M459" s="22" t="s">
        <v>32</v>
      </c>
      <c r="N459" s="22" t="s">
        <v>28</v>
      </c>
      <c r="O459" s="64">
        <f>VLOOKUP($E459,Products!$B$2:$F$11,5,0)</f>
        <v>22.5</v>
      </c>
      <c r="P459" s="64">
        <f>PRODUCT(Table13[[#This Row],[Quantity]],Table13[[#This Row],[Unit_Cost]])</f>
        <v>1080</v>
      </c>
      <c r="Q459" s="65">
        <f>Table13[[#This Row],[Profit]]/Table13[[#This Row],[Total_Sales]]</f>
        <v>0.26242189824457007</v>
      </c>
      <c r="R459" s="1"/>
      <c r="S459" s="1"/>
      <c r="T459" s="1"/>
    </row>
    <row r="460" spans="1:20" x14ac:dyDescent="0.25">
      <c r="A460" s="22" t="s">
        <v>613</v>
      </c>
      <c r="B460" s="63">
        <v>45328</v>
      </c>
      <c r="C460" s="22" t="s">
        <v>173</v>
      </c>
      <c r="D460" s="22" t="str">
        <f>PROPER(TRIM(Raw_Data!D460))</f>
        <v>Germany</v>
      </c>
      <c r="E460" s="22" t="s">
        <v>36</v>
      </c>
      <c r="F460" s="22" t="s">
        <v>37</v>
      </c>
      <c r="G460" s="66">
        <v>9</v>
      </c>
      <c r="H460" s="2">
        <v>50.29</v>
      </c>
      <c r="I460" s="64">
        <f>PRODUCT(Table13[[#This Row],[Quantity]:[Unit_Price]])</f>
        <v>452.61</v>
      </c>
      <c r="J460" s="2">
        <v>32.93</v>
      </c>
      <c r="K460" s="2">
        <v>131.68</v>
      </c>
      <c r="L460" s="22" t="s">
        <v>26</v>
      </c>
      <c r="M460" s="22" t="s">
        <v>32</v>
      </c>
      <c r="N460" s="22" t="s">
        <v>28</v>
      </c>
      <c r="O460" s="64">
        <f>VLOOKUP($E460,Products!$B$2:$F$11,5,0)</f>
        <v>32</v>
      </c>
      <c r="P460" s="64">
        <f>PRODUCT(Table13[[#This Row],[Quantity]],Table13[[#This Row],[Unit_Cost]])</f>
        <v>288</v>
      </c>
      <c r="Q460" s="65">
        <f>Table13[[#This Row],[Profit]]/Table13[[#This Row],[Total_Sales]]</f>
        <v>0.29093480038001812</v>
      </c>
      <c r="R460" s="1"/>
      <c r="S460" s="1"/>
      <c r="T460" s="1"/>
    </row>
    <row r="461" spans="1:20" x14ac:dyDescent="0.25">
      <c r="A461" s="22" t="s">
        <v>614</v>
      </c>
      <c r="B461" s="63">
        <v>45585</v>
      </c>
      <c r="C461" s="22" t="s">
        <v>145</v>
      </c>
      <c r="D461" s="22" t="str">
        <f>PROPER(TRIM(Raw_Data!D461))</f>
        <v>Usa</v>
      </c>
      <c r="E461" s="22" t="s">
        <v>51</v>
      </c>
      <c r="F461" s="22" t="s">
        <v>52</v>
      </c>
      <c r="G461" s="66">
        <v>12</v>
      </c>
      <c r="H461" s="2">
        <v>34.96</v>
      </c>
      <c r="I461" s="64">
        <f>PRODUCT(Table13[[#This Row],[Quantity]:[Unit_Price]])</f>
        <v>419.52</v>
      </c>
      <c r="J461" s="2">
        <v>15.43</v>
      </c>
      <c r="K461" s="2">
        <v>134.09</v>
      </c>
      <c r="L461" s="22" t="s">
        <v>26</v>
      </c>
      <c r="M461" s="22" t="s">
        <v>32</v>
      </c>
      <c r="N461" s="22" t="s">
        <v>21</v>
      </c>
      <c r="O461" s="64">
        <f>VLOOKUP($E461,Products!$B$2:$F$11,5,0)</f>
        <v>22.5</v>
      </c>
      <c r="P461" s="64">
        <f>PRODUCT(Table13[[#This Row],[Quantity]],Table13[[#This Row],[Unit_Cost]])</f>
        <v>270</v>
      </c>
      <c r="Q461" s="65">
        <f>Table13[[#This Row],[Profit]]/Table13[[#This Row],[Total_Sales]]</f>
        <v>0.31962719298245618</v>
      </c>
      <c r="R461" s="1"/>
      <c r="S461" s="1"/>
      <c r="T461" s="1"/>
    </row>
    <row r="462" spans="1:20" x14ac:dyDescent="0.25">
      <c r="A462" s="22" t="s">
        <v>615</v>
      </c>
      <c r="B462" s="63">
        <v>45710</v>
      </c>
      <c r="C462" s="22" t="s">
        <v>371</v>
      </c>
      <c r="D462" s="22" t="str">
        <f>PROPER(TRIM(Raw_Data!D462))</f>
        <v>Australia</v>
      </c>
      <c r="E462" s="22" t="s">
        <v>17</v>
      </c>
      <c r="F462" s="22" t="s">
        <v>18</v>
      </c>
      <c r="G462" s="66">
        <v>29</v>
      </c>
      <c r="H462" s="2">
        <v>52.72</v>
      </c>
      <c r="I462" s="64">
        <f>PRODUCT(Table13[[#This Row],[Quantity]:[Unit_Price]])</f>
        <v>1528.8799999999999</v>
      </c>
      <c r="J462" s="2">
        <v>96.91</v>
      </c>
      <c r="K462" s="2">
        <v>416.97</v>
      </c>
      <c r="L462" s="22" t="s">
        <v>26</v>
      </c>
      <c r="M462" s="22" t="s">
        <v>32</v>
      </c>
      <c r="N462" s="22" t="s">
        <v>130</v>
      </c>
      <c r="O462" s="64">
        <f>VLOOKUP($E462,Products!$B$2:$F$11,5,0)</f>
        <v>35</v>
      </c>
      <c r="P462" s="64">
        <f>PRODUCT(Table13[[#This Row],[Quantity]],Table13[[#This Row],[Unit_Cost]])</f>
        <v>1015</v>
      </c>
      <c r="Q462" s="65">
        <f>Table13[[#This Row],[Profit]]/Table13[[#This Row],[Total_Sales]]</f>
        <v>0.27272905656428237</v>
      </c>
      <c r="R462" s="1"/>
      <c r="S462" s="1"/>
      <c r="T462" s="1"/>
    </row>
    <row r="463" spans="1:20" x14ac:dyDescent="0.25">
      <c r="A463" s="22" t="s">
        <v>616</v>
      </c>
      <c r="B463" s="63">
        <v>45692</v>
      </c>
      <c r="C463" s="22" t="s">
        <v>330</v>
      </c>
      <c r="D463" s="22" t="str">
        <f>PROPER(TRIM(Raw_Data!D463))</f>
        <v>Canada</v>
      </c>
      <c r="E463" s="22" t="s">
        <v>60</v>
      </c>
      <c r="F463" s="22" t="s">
        <v>52</v>
      </c>
      <c r="G463" s="66">
        <v>39</v>
      </c>
      <c r="H463" s="2">
        <v>22.18</v>
      </c>
      <c r="I463" s="64">
        <f>PRODUCT(Table13[[#This Row],[Quantity]:[Unit_Price]])</f>
        <v>865.02</v>
      </c>
      <c r="J463" s="2">
        <v>26.23</v>
      </c>
      <c r="K463" s="2">
        <v>234.29</v>
      </c>
      <c r="L463" s="22" t="s">
        <v>19</v>
      </c>
      <c r="M463" s="22" t="s">
        <v>32</v>
      </c>
      <c r="N463" s="22" t="s">
        <v>21</v>
      </c>
      <c r="O463" s="64">
        <f>VLOOKUP($E463,Products!$B$2:$F$11,5,0)</f>
        <v>15.5</v>
      </c>
      <c r="P463" s="64">
        <f>PRODUCT(Table13[[#This Row],[Quantity]],Table13[[#This Row],[Unit_Cost]])</f>
        <v>604.5</v>
      </c>
      <c r="Q463" s="65">
        <f>Table13[[#This Row],[Profit]]/Table13[[#This Row],[Total_Sales]]</f>
        <v>0.27084922891956253</v>
      </c>
      <c r="R463" s="1"/>
      <c r="S463" s="1"/>
      <c r="T463" s="1"/>
    </row>
    <row r="464" spans="1:20" x14ac:dyDescent="0.25">
      <c r="A464" s="22" t="s">
        <v>617</v>
      </c>
      <c r="B464" s="63">
        <v>45716</v>
      </c>
      <c r="C464" s="22" t="s">
        <v>323</v>
      </c>
      <c r="D464" s="22" t="str">
        <f>PROPER(TRIM(Raw_Data!D464))</f>
        <v>Singapore</v>
      </c>
      <c r="E464" s="22" t="s">
        <v>60</v>
      </c>
      <c r="F464" s="22" t="s">
        <v>52</v>
      </c>
      <c r="G464" s="66">
        <v>11</v>
      </c>
      <c r="H464" s="2">
        <v>21.4</v>
      </c>
      <c r="I464" s="64">
        <f>PRODUCT(Table13[[#This Row],[Quantity]:[Unit_Price]])</f>
        <v>235.39999999999998</v>
      </c>
      <c r="J464" s="2">
        <v>11.64</v>
      </c>
      <c r="K464" s="2">
        <v>53.26</v>
      </c>
      <c r="L464" s="22" t="s">
        <v>19</v>
      </c>
      <c r="M464" s="22" t="s">
        <v>32</v>
      </c>
      <c r="N464" s="22" t="s">
        <v>58</v>
      </c>
      <c r="O464" s="64">
        <f>VLOOKUP($E464,Products!$B$2:$F$11,5,0)</f>
        <v>15.5</v>
      </c>
      <c r="P464" s="64">
        <f>PRODUCT(Table13[[#This Row],[Quantity]],Table13[[#This Row],[Unit_Cost]])</f>
        <v>170.5</v>
      </c>
      <c r="Q464" s="65">
        <f>Table13[[#This Row],[Profit]]/Table13[[#This Row],[Total_Sales]]</f>
        <v>0.22625318606627018</v>
      </c>
      <c r="R464" s="1"/>
      <c r="S464" s="1"/>
      <c r="T464" s="1"/>
    </row>
    <row r="465" spans="1:20" x14ac:dyDescent="0.25">
      <c r="A465" s="22" t="s">
        <v>618</v>
      </c>
      <c r="B465" s="63">
        <v>45397</v>
      </c>
      <c r="C465" s="22" t="s">
        <v>291</v>
      </c>
      <c r="D465" s="22" t="str">
        <f>PROPER(TRIM(Raw_Data!D465))</f>
        <v>Singapore</v>
      </c>
      <c r="E465" s="22" t="s">
        <v>56</v>
      </c>
      <c r="F465" s="22" t="s">
        <v>57</v>
      </c>
      <c r="G465" s="66">
        <v>21</v>
      </c>
      <c r="H465" s="2">
        <v>36.26</v>
      </c>
      <c r="I465" s="64">
        <f>PRODUCT(Table13[[#This Row],[Quantity]:[Unit_Price]])</f>
        <v>761.45999999999992</v>
      </c>
      <c r="J465" s="2">
        <v>56.99</v>
      </c>
      <c r="K465" s="2">
        <v>179.47</v>
      </c>
      <c r="L465" s="22" t="s">
        <v>26</v>
      </c>
      <c r="M465" s="22" t="s">
        <v>20</v>
      </c>
      <c r="N465" s="22" t="s">
        <v>58</v>
      </c>
      <c r="O465" s="64">
        <f>VLOOKUP($E465,Products!$B$2:$F$11,5,0)</f>
        <v>25</v>
      </c>
      <c r="P465" s="64">
        <f>PRODUCT(Table13[[#This Row],[Quantity]],Table13[[#This Row],[Unit_Cost]])</f>
        <v>525</v>
      </c>
      <c r="Q465" s="65">
        <f>Table13[[#This Row],[Profit]]/Table13[[#This Row],[Total_Sales]]</f>
        <v>0.23569196018175612</v>
      </c>
      <c r="R465" s="1"/>
      <c r="S465" s="1"/>
      <c r="T465" s="1"/>
    </row>
    <row r="466" spans="1:20" x14ac:dyDescent="0.25">
      <c r="A466" s="22" t="s">
        <v>619</v>
      </c>
      <c r="B466" s="63">
        <v>45582</v>
      </c>
      <c r="C466" s="22" t="s">
        <v>207</v>
      </c>
      <c r="D466" s="22" t="str">
        <f>PROPER(TRIM(Raw_Data!D466))</f>
        <v>China</v>
      </c>
      <c r="E466" s="22" t="s">
        <v>51</v>
      </c>
      <c r="F466" s="22" t="s">
        <v>52</v>
      </c>
      <c r="G466" s="66">
        <v>39</v>
      </c>
      <c r="H466" s="2">
        <v>35.409999999999997</v>
      </c>
      <c r="I466" s="64">
        <f>PRODUCT(Table13[[#This Row],[Quantity]:[Unit_Price]])</f>
        <v>1380.9899999999998</v>
      </c>
      <c r="J466" s="2">
        <v>84.56</v>
      </c>
      <c r="K466" s="2">
        <v>418.93</v>
      </c>
      <c r="L466" s="22" t="s">
        <v>26</v>
      </c>
      <c r="M466" s="22" t="s">
        <v>20</v>
      </c>
      <c r="N466" s="22" t="s">
        <v>58</v>
      </c>
      <c r="O466" s="64">
        <f>VLOOKUP($E466,Products!$B$2:$F$11,5,0)</f>
        <v>22.5</v>
      </c>
      <c r="P466" s="64">
        <f>PRODUCT(Table13[[#This Row],[Quantity]],Table13[[#This Row],[Unit_Cost]])</f>
        <v>877.5</v>
      </c>
      <c r="Q466" s="65">
        <f>Table13[[#This Row],[Profit]]/Table13[[#This Row],[Total_Sales]]</f>
        <v>0.30335483964402354</v>
      </c>
      <c r="R466" s="1"/>
      <c r="S466" s="1"/>
      <c r="T466" s="1"/>
    </row>
    <row r="467" spans="1:20" x14ac:dyDescent="0.25">
      <c r="A467" s="22" t="s">
        <v>620</v>
      </c>
      <c r="B467" s="63">
        <v>45396</v>
      </c>
      <c r="C467" s="22" t="s">
        <v>110</v>
      </c>
      <c r="D467" s="22" t="str">
        <f>PROPER(TRIM(Raw_Data!D467))</f>
        <v>China</v>
      </c>
      <c r="E467" s="22" t="s">
        <v>25</v>
      </c>
      <c r="F467" s="22" t="s">
        <v>18</v>
      </c>
      <c r="G467" s="66">
        <v>13</v>
      </c>
      <c r="H467" s="2">
        <v>27.35</v>
      </c>
      <c r="I467" s="64">
        <f>PRODUCT(Table13[[#This Row],[Quantity]:[Unit_Price]])</f>
        <v>355.55</v>
      </c>
      <c r="J467" s="2">
        <v>26.23</v>
      </c>
      <c r="K467" s="2">
        <v>95.32</v>
      </c>
      <c r="L467" s="22" t="s">
        <v>26</v>
      </c>
      <c r="M467" s="22" t="s">
        <v>32</v>
      </c>
      <c r="N467" s="22" t="s">
        <v>58</v>
      </c>
      <c r="O467" s="64">
        <f>VLOOKUP($E467,Products!$B$2:$F$11,5,0)</f>
        <v>18</v>
      </c>
      <c r="P467" s="64">
        <f>PRODUCT(Table13[[#This Row],[Quantity]],Table13[[#This Row],[Unit_Cost]])</f>
        <v>234</v>
      </c>
      <c r="Q467" s="65">
        <f>Table13[[#This Row],[Profit]]/Table13[[#This Row],[Total_Sales]]</f>
        <v>0.26809168893263957</v>
      </c>
      <c r="R467" s="1"/>
      <c r="S467" s="1"/>
      <c r="T467" s="1"/>
    </row>
    <row r="468" spans="1:20" x14ac:dyDescent="0.25">
      <c r="A468" s="22" t="s">
        <v>621</v>
      </c>
      <c r="B468" s="63">
        <v>45321</v>
      </c>
      <c r="C468" s="22" t="s">
        <v>91</v>
      </c>
      <c r="D468" s="22" t="str">
        <f>PROPER(TRIM(Raw_Data!D468))</f>
        <v>Brazil</v>
      </c>
      <c r="E468" s="22" t="s">
        <v>63</v>
      </c>
      <c r="F468" s="22" t="s">
        <v>37</v>
      </c>
      <c r="G468" s="66">
        <v>40</v>
      </c>
      <c r="H468" s="2">
        <v>21.08</v>
      </c>
      <c r="I468" s="64">
        <f>PRODUCT(Table13[[#This Row],[Quantity]:[Unit_Price]])</f>
        <v>843.19999999999993</v>
      </c>
      <c r="J468" s="2">
        <v>66.81</v>
      </c>
      <c r="K468" s="2">
        <v>266.39</v>
      </c>
      <c r="L468" s="22" t="s">
        <v>38</v>
      </c>
      <c r="M468" s="22" t="s">
        <v>27</v>
      </c>
      <c r="N468" s="22" t="s">
        <v>39</v>
      </c>
      <c r="O468" s="64">
        <f>VLOOKUP($E468,Products!$B$2:$F$11,5,0)</f>
        <v>12.75</v>
      </c>
      <c r="P468" s="64">
        <f>PRODUCT(Table13[[#This Row],[Quantity]],Table13[[#This Row],[Unit_Cost]])</f>
        <v>510</v>
      </c>
      <c r="Q468" s="65">
        <f>Table13[[#This Row],[Profit]]/Table13[[#This Row],[Total_Sales]]</f>
        <v>0.3159274193548387</v>
      </c>
      <c r="R468" s="1"/>
      <c r="S468" s="1"/>
      <c r="T468" s="1"/>
    </row>
    <row r="469" spans="1:20" x14ac:dyDescent="0.25">
      <c r="A469" s="22" t="s">
        <v>622</v>
      </c>
      <c r="B469" s="63">
        <v>45568</v>
      </c>
      <c r="C469" s="22" t="s">
        <v>371</v>
      </c>
      <c r="D469" s="22" t="str">
        <f>PROPER(TRIM(Raw_Data!D469))</f>
        <v>Mexico</v>
      </c>
      <c r="E469" s="22" t="s">
        <v>60</v>
      </c>
      <c r="F469" s="22" t="s">
        <v>52</v>
      </c>
      <c r="G469" s="66">
        <v>47</v>
      </c>
      <c r="H469" s="2">
        <v>27.54</v>
      </c>
      <c r="I469" s="64">
        <f>PRODUCT(Table13[[#This Row],[Quantity]:[Unit_Price]])</f>
        <v>1294.3799999999999</v>
      </c>
      <c r="J469" s="2">
        <v>62.78</v>
      </c>
      <c r="K469" s="2">
        <v>503.1</v>
      </c>
      <c r="L469" s="22" t="s">
        <v>19</v>
      </c>
      <c r="M469" s="22" t="s">
        <v>20</v>
      </c>
      <c r="N469" s="22" t="s">
        <v>21</v>
      </c>
      <c r="O469" s="64">
        <f>VLOOKUP($E469,Products!$B$2:$F$11,5,0)</f>
        <v>15.5</v>
      </c>
      <c r="P469" s="64">
        <f>PRODUCT(Table13[[#This Row],[Quantity]],Table13[[#This Row],[Unit_Cost]])</f>
        <v>728.5</v>
      </c>
      <c r="Q469" s="65">
        <f>Table13[[#This Row],[Profit]]/Table13[[#This Row],[Total_Sales]]</f>
        <v>0.38868029481296068</v>
      </c>
      <c r="R469" s="1"/>
      <c r="S469" s="1"/>
      <c r="T469" s="1"/>
    </row>
    <row r="470" spans="1:20" x14ac:dyDescent="0.25">
      <c r="A470" s="22" t="s">
        <v>623</v>
      </c>
      <c r="B470" s="63">
        <v>45356</v>
      </c>
      <c r="C470" s="22" t="s">
        <v>34</v>
      </c>
      <c r="D470" s="22" t="str">
        <f>PROPER(TRIM(Raw_Data!D470))</f>
        <v>India</v>
      </c>
      <c r="E470" s="22" t="s">
        <v>36</v>
      </c>
      <c r="F470" s="22" t="s">
        <v>37</v>
      </c>
      <c r="G470" s="66">
        <v>16</v>
      </c>
      <c r="H470" s="2">
        <v>45.08</v>
      </c>
      <c r="I470" s="64">
        <f>PRODUCT(Table13[[#This Row],[Quantity]:[Unit_Price]])</f>
        <v>721.28</v>
      </c>
      <c r="J470" s="2">
        <v>21.61</v>
      </c>
      <c r="K470" s="2">
        <v>187.67</v>
      </c>
      <c r="L470" s="22" t="s">
        <v>26</v>
      </c>
      <c r="M470" s="22" t="s">
        <v>32</v>
      </c>
      <c r="N470" s="22" t="s">
        <v>58</v>
      </c>
      <c r="O470" s="64">
        <f>VLOOKUP($E470,Products!$B$2:$F$11,5,0)</f>
        <v>32</v>
      </c>
      <c r="P470" s="64">
        <f>PRODUCT(Table13[[#This Row],[Quantity]],Table13[[#This Row],[Unit_Cost]])</f>
        <v>512</v>
      </c>
      <c r="Q470" s="65">
        <f>Table13[[#This Row],[Profit]]/Table13[[#This Row],[Total_Sales]]</f>
        <v>0.26019021739130432</v>
      </c>
      <c r="R470" s="1"/>
      <c r="S470" s="1"/>
      <c r="T470" s="1"/>
    </row>
    <row r="471" spans="1:20" x14ac:dyDescent="0.25">
      <c r="A471" s="22" t="s">
        <v>624</v>
      </c>
      <c r="B471" s="63">
        <v>45764</v>
      </c>
      <c r="C471" s="22" t="s">
        <v>123</v>
      </c>
      <c r="D471" s="22" t="str">
        <f>PROPER(TRIM(Raw_Data!D471))</f>
        <v>Uae</v>
      </c>
      <c r="E471" s="22" t="s">
        <v>51</v>
      </c>
      <c r="F471" s="22" t="s">
        <v>52</v>
      </c>
      <c r="G471" s="66">
        <v>37</v>
      </c>
      <c r="H471" s="2">
        <v>33.200000000000003</v>
      </c>
      <c r="I471" s="64">
        <f>PRODUCT(Table13[[#This Row],[Quantity]:[Unit_Price]])</f>
        <v>1228.4000000000001</v>
      </c>
      <c r="J471" s="2">
        <v>41.34</v>
      </c>
      <c r="K471" s="2">
        <v>354.56</v>
      </c>
      <c r="L471" s="22" t="s">
        <v>38</v>
      </c>
      <c r="M471" s="22" t="s">
        <v>27</v>
      </c>
      <c r="N471" s="22" t="s">
        <v>58</v>
      </c>
      <c r="O471" s="64">
        <f>VLOOKUP($E471,Products!$B$2:$F$11,5,0)</f>
        <v>22.5</v>
      </c>
      <c r="P471" s="64">
        <f>PRODUCT(Table13[[#This Row],[Quantity]],Table13[[#This Row],[Unit_Cost]])</f>
        <v>832.5</v>
      </c>
      <c r="Q471" s="65">
        <f>Table13[[#This Row],[Profit]]/Table13[[#This Row],[Total_Sales]]</f>
        <v>0.28863562357538258</v>
      </c>
      <c r="R471" s="1"/>
      <c r="S471" s="1"/>
      <c r="T471" s="1"/>
    </row>
    <row r="472" spans="1:20" x14ac:dyDescent="0.25">
      <c r="A472" s="22" t="s">
        <v>625</v>
      </c>
      <c r="B472" s="63">
        <v>45638</v>
      </c>
      <c r="C472" s="22" t="s">
        <v>15</v>
      </c>
      <c r="D472" s="22" t="str">
        <f>PROPER(TRIM(Raw_Data!D472))</f>
        <v>Uae</v>
      </c>
      <c r="E472" s="22" t="s">
        <v>25</v>
      </c>
      <c r="F472" s="22" t="s">
        <v>18</v>
      </c>
      <c r="G472" s="66">
        <v>8</v>
      </c>
      <c r="H472" s="2">
        <v>27.31</v>
      </c>
      <c r="I472" s="64">
        <f>PRODUCT(Table13[[#This Row],[Quantity]:[Unit_Price]])</f>
        <v>218.48</v>
      </c>
      <c r="J472" s="2">
        <v>9.51</v>
      </c>
      <c r="K472" s="2">
        <v>64.97</v>
      </c>
      <c r="L472" s="22" t="s">
        <v>38</v>
      </c>
      <c r="M472" s="22" t="s">
        <v>20</v>
      </c>
      <c r="N472" s="22" t="s">
        <v>58</v>
      </c>
      <c r="O472" s="64">
        <f>VLOOKUP($E472,Products!$B$2:$F$11,5,0)</f>
        <v>18</v>
      </c>
      <c r="P472" s="64">
        <f>PRODUCT(Table13[[#This Row],[Quantity]],Table13[[#This Row],[Unit_Cost]])</f>
        <v>144</v>
      </c>
      <c r="Q472" s="65">
        <f>Table13[[#This Row],[Profit]]/Table13[[#This Row],[Total_Sales]]</f>
        <v>0.29737275723178325</v>
      </c>
      <c r="R472" s="1"/>
      <c r="S472" s="1"/>
      <c r="T472" s="1"/>
    </row>
    <row r="473" spans="1:20" x14ac:dyDescent="0.25">
      <c r="A473" s="22" t="s">
        <v>626</v>
      </c>
      <c r="B473" s="63">
        <v>45405</v>
      </c>
      <c r="C473" s="22" t="s">
        <v>97</v>
      </c>
      <c r="D473" s="22" t="str">
        <f>PROPER(TRIM(Raw_Data!D473))</f>
        <v>South Africa</v>
      </c>
      <c r="E473" s="22" t="s">
        <v>25</v>
      </c>
      <c r="F473" s="22" t="s">
        <v>18</v>
      </c>
      <c r="G473" s="66">
        <v>19</v>
      </c>
      <c r="H473" s="2">
        <v>29.14</v>
      </c>
      <c r="I473" s="64">
        <f>PRODUCT(Table13[[#This Row],[Quantity]:[Unit_Price]])</f>
        <v>553.66</v>
      </c>
      <c r="J473" s="2">
        <v>19.7</v>
      </c>
      <c r="K473" s="2">
        <v>191.96</v>
      </c>
      <c r="L473" s="22" t="s">
        <v>19</v>
      </c>
      <c r="M473" s="22" t="s">
        <v>27</v>
      </c>
      <c r="N473" s="22" t="s">
        <v>87</v>
      </c>
      <c r="O473" s="64">
        <f>VLOOKUP($E473,Products!$B$2:$F$11,5,0)</f>
        <v>18</v>
      </c>
      <c r="P473" s="64">
        <f>PRODUCT(Table13[[#This Row],[Quantity]],Table13[[#This Row],[Unit_Cost]])</f>
        <v>342</v>
      </c>
      <c r="Q473" s="65">
        <f>Table13[[#This Row],[Profit]]/Table13[[#This Row],[Total_Sales]]</f>
        <v>0.34671097785644622</v>
      </c>
      <c r="R473" s="1"/>
      <c r="S473" s="1"/>
      <c r="T473" s="1"/>
    </row>
    <row r="474" spans="1:20" x14ac:dyDescent="0.25">
      <c r="A474" s="22" t="s">
        <v>627</v>
      </c>
      <c r="B474" s="63">
        <v>45563</v>
      </c>
      <c r="C474" s="22" t="s">
        <v>209</v>
      </c>
      <c r="D474" s="22" t="str">
        <f>PROPER(TRIM(Raw_Data!D474))</f>
        <v>Singapore</v>
      </c>
      <c r="E474" s="22" t="s">
        <v>17</v>
      </c>
      <c r="F474" s="22" t="s">
        <v>18</v>
      </c>
      <c r="G474" s="66">
        <v>6</v>
      </c>
      <c r="H474" s="2">
        <v>55.41</v>
      </c>
      <c r="I474" s="64">
        <f>PRODUCT(Table13[[#This Row],[Quantity]:[Unit_Price]])</f>
        <v>332.46</v>
      </c>
      <c r="J474" s="2">
        <v>15.57</v>
      </c>
      <c r="K474" s="2">
        <v>106.89</v>
      </c>
      <c r="L474" s="22" t="s">
        <v>19</v>
      </c>
      <c r="M474" s="22" t="s">
        <v>20</v>
      </c>
      <c r="N474" s="22" t="s">
        <v>58</v>
      </c>
      <c r="O474" s="64">
        <f>VLOOKUP($E474,Products!$B$2:$F$11,5,0)</f>
        <v>35</v>
      </c>
      <c r="P474" s="64">
        <f>PRODUCT(Table13[[#This Row],[Quantity]],Table13[[#This Row],[Unit_Cost]])</f>
        <v>210</v>
      </c>
      <c r="Q474" s="65">
        <f>Table13[[#This Row],[Profit]]/Table13[[#This Row],[Total_Sales]]</f>
        <v>0.3215123623894604</v>
      </c>
      <c r="R474" s="1"/>
      <c r="S474" s="1"/>
      <c r="T474" s="1"/>
    </row>
    <row r="475" spans="1:20" x14ac:dyDescent="0.25">
      <c r="A475" s="22" t="s">
        <v>628</v>
      </c>
      <c r="B475" s="63">
        <v>45763</v>
      </c>
      <c r="C475" s="22" t="s">
        <v>193</v>
      </c>
      <c r="D475" s="22" t="str">
        <f>PROPER(TRIM(Raw_Data!D475))</f>
        <v>Uae</v>
      </c>
      <c r="E475" s="22" t="s">
        <v>25</v>
      </c>
      <c r="F475" s="22" t="s">
        <v>18</v>
      </c>
      <c r="G475" s="66">
        <v>48</v>
      </c>
      <c r="H475" s="2">
        <v>29.07</v>
      </c>
      <c r="I475" s="64">
        <f>PRODUCT(Table13[[#This Row],[Quantity]:[Unit_Price]])</f>
        <v>1395.3600000000001</v>
      </c>
      <c r="J475" s="2">
        <v>70.38</v>
      </c>
      <c r="K475" s="2">
        <v>460.98</v>
      </c>
      <c r="L475" s="22" t="s">
        <v>26</v>
      </c>
      <c r="M475" s="22" t="s">
        <v>32</v>
      </c>
      <c r="N475" s="22" t="s">
        <v>58</v>
      </c>
      <c r="O475" s="64">
        <f>VLOOKUP($E475,Products!$B$2:$F$11,5,0)</f>
        <v>18</v>
      </c>
      <c r="P475" s="64">
        <f>PRODUCT(Table13[[#This Row],[Quantity]],Table13[[#This Row],[Unit_Cost]])</f>
        <v>864</v>
      </c>
      <c r="Q475" s="65">
        <f>Table13[[#This Row],[Profit]]/Table13[[#This Row],[Total_Sales]]</f>
        <v>0.33036635706914341</v>
      </c>
      <c r="R475" s="1"/>
      <c r="S475" s="1"/>
      <c r="T475" s="1"/>
    </row>
    <row r="476" spans="1:20" x14ac:dyDescent="0.25">
      <c r="A476" s="22" t="s">
        <v>629</v>
      </c>
      <c r="B476" s="63">
        <v>45419</v>
      </c>
      <c r="C476" s="22" t="s">
        <v>286</v>
      </c>
      <c r="D476" s="22" t="str">
        <f>PROPER(TRIM(Raw_Data!D476))</f>
        <v>Brazil</v>
      </c>
      <c r="E476" s="22" t="s">
        <v>51</v>
      </c>
      <c r="F476" s="22" t="s">
        <v>52</v>
      </c>
      <c r="G476" s="66">
        <v>26</v>
      </c>
      <c r="H476" s="2">
        <v>27.17</v>
      </c>
      <c r="I476" s="64">
        <f>PRODUCT(Table13[[#This Row],[Quantity]:[Unit_Price]])</f>
        <v>706.42000000000007</v>
      </c>
      <c r="J476" s="2">
        <v>33.94</v>
      </c>
      <c r="K476" s="2">
        <v>87.48</v>
      </c>
      <c r="L476" s="22" t="s">
        <v>38</v>
      </c>
      <c r="M476" s="22" t="s">
        <v>27</v>
      </c>
      <c r="N476" s="22" t="s">
        <v>39</v>
      </c>
      <c r="O476" s="64">
        <f>VLOOKUP($E476,Products!$B$2:$F$11,5,0)</f>
        <v>22.5</v>
      </c>
      <c r="P476" s="64">
        <f>PRODUCT(Table13[[#This Row],[Quantity]],Table13[[#This Row],[Unit_Cost]])</f>
        <v>585</v>
      </c>
      <c r="Q476" s="65">
        <f>Table13[[#This Row],[Profit]]/Table13[[#This Row],[Total_Sales]]</f>
        <v>0.12383567849154893</v>
      </c>
      <c r="R476" s="1"/>
      <c r="S476" s="1"/>
      <c r="T476" s="1"/>
    </row>
    <row r="477" spans="1:20" x14ac:dyDescent="0.25">
      <c r="A477" s="22" t="s">
        <v>630</v>
      </c>
      <c r="B477" s="63">
        <v>45425</v>
      </c>
      <c r="C477" s="22" t="s">
        <v>105</v>
      </c>
      <c r="D477" s="22" t="str">
        <f>PROPER(TRIM(Raw_Data!D477))</f>
        <v>Japan</v>
      </c>
      <c r="E477" s="22" t="s">
        <v>17</v>
      </c>
      <c r="F477" s="22" t="s">
        <v>18</v>
      </c>
      <c r="G477" s="66">
        <v>9</v>
      </c>
      <c r="H477" s="2">
        <v>48.76</v>
      </c>
      <c r="I477" s="64">
        <f>PRODUCT(Table13[[#This Row],[Quantity]:[Unit_Price]])</f>
        <v>438.84</v>
      </c>
      <c r="J477" s="2">
        <v>16.91</v>
      </c>
      <c r="K477" s="2">
        <v>106.93</v>
      </c>
      <c r="L477" s="22" t="s">
        <v>38</v>
      </c>
      <c r="M477" s="22" t="s">
        <v>20</v>
      </c>
      <c r="N477" s="22" t="s">
        <v>58</v>
      </c>
      <c r="O477" s="64">
        <f>VLOOKUP($E477,Products!$B$2:$F$11,5,0)</f>
        <v>35</v>
      </c>
      <c r="P477" s="64">
        <f>PRODUCT(Table13[[#This Row],[Quantity]],Table13[[#This Row],[Unit_Cost]])</f>
        <v>315</v>
      </c>
      <c r="Q477" s="65">
        <f>Table13[[#This Row],[Profit]]/Table13[[#This Row],[Total_Sales]]</f>
        <v>0.24366511712697114</v>
      </c>
      <c r="R477" s="1"/>
      <c r="S477" s="1"/>
      <c r="T477" s="1"/>
    </row>
    <row r="478" spans="1:20" x14ac:dyDescent="0.25">
      <c r="A478" s="22" t="s">
        <v>631</v>
      </c>
      <c r="B478" s="63">
        <v>45321</v>
      </c>
      <c r="C478" s="22" t="s">
        <v>226</v>
      </c>
      <c r="D478" s="22" t="str">
        <f>PROPER(TRIM(Raw_Data!D478))</f>
        <v>Uk</v>
      </c>
      <c r="E478" s="22" t="s">
        <v>51</v>
      </c>
      <c r="F478" s="22" t="s">
        <v>52</v>
      </c>
      <c r="G478" s="66">
        <v>37</v>
      </c>
      <c r="H478" s="2">
        <v>33.21</v>
      </c>
      <c r="I478" s="64">
        <f>PRODUCT(Table13[[#This Row],[Quantity]:[Unit_Price]])</f>
        <v>1228.77</v>
      </c>
      <c r="J478" s="2">
        <v>96.12</v>
      </c>
      <c r="K478" s="2">
        <v>300.14999999999998</v>
      </c>
      <c r="L478" s="22" t="s">
        <v>38</v>
      </c>
      <c r="M478" s="22" t="s">
        <v>27</v>
      </c>
      <c r="N478" s="22" t="s">
        <v>28</v>
      </c>
      <c r="O478" s="64">
        <f>VLOOKUP($E478,Products!$B$2:$F$11,5,0)</f>
        <v>22.5</v>
      </c>
      <c r="P478" s="64">
        <f>PRODUCT(Table13[[#This Row],[Quantity]],Table13[[#This Row],[Unit_Cost]])</f>
        <v>832.5</v>
      </c>
      <c r="Q478" s="65">
        <f>Table13[[#This Row],[Profit]]/Table13[[#This Row],[Total_Sales]]</f>
        <v>0.24426865890280522</v>
      </c>
      <c r="R478" s="1"/>
      <c r="S478" s="1"/>
      <c r="T478" s="1"/>
    </row>
    <row r="479" spans="1:20" x14ac:dyDescent="0.25">
      <c r="A479" s="22" t="s">
        <v>632</v>
      </c>
      <c r="B479" s="63">
        <v>45460</v>
      </c>
      <c r="C479" s="22" t="s">
        <v>105</v>
      </c>
      <c r="D479" s="22" t="str">
        <f>PROPER(TRIM(Raw_Data!D479))</f>
        <v>Brazil</v>
      </c>
      <c r="E479" s="22" t="s">
        <v>63</v>
      </c>
      <c r="F479" s="22" t="s">
        <v>37</v>
      </c>
      <c r="G479" s="66">
        <v>29</v>
      </c>
      <c r="H479" s="2">
        <v>16.54</v>
      </c>
      <c r="I479" s="64">
        <f>PRODUCT(Table13[[#This Row],[Quantity]:[Unit_Price]])</f>
        <v>479.65999999999997</v>
      </c>
      <c r="J479" s="2">
        <v>30.23</v>
      </c>
      <c r="K479" s="2">
        <v>79.680000000000007</v>
      </c>
      <c r="L479" s="22" t="s">
        <v>26</v>
      </c>
      <c r="M479" s="22" t="s">
        <v>32</v>
      </c>
      <c r="N479" s="22" t="s">
        <v>39</v>
      </c>
      <c r="O479" s="64">
        <f>VLOOKUP($E479,Products!$B$2:$F$11,5,0)</f>
        <v>12.75</v>
      </c>
      <c r="P479" s="64">
        <f>PRODUCT(Table13[[#This Row],[Quantity]],Table13[[#This Row],[Unit_Cost]])</f>
        <v>369.75</v>
      </c>
      <c r="Q479" s="65">
        <f>Table13[[#This Row],[Profit]]/Table13[[#This Row],[Total_Sales]]</f>
        <v>0.16611766668056543</v>
      </c>
      <c r="R479" s="1"/>
      <c r="S479" s="1"/>
      <c r="T479" s="1"/>
    </row>
    <row r="480" spans="1:20" x14ac:dyDescent="0.25">
      <c r="A480" s="22" t="s">
        <v>633</v>
      </c>
      <c r="B480" s="63">
        <v>45767</v>
      </c>
      <c r="C480" s="22" t="s">
        <v>76</v>
      </c>
      <c r="D480" s="22" t="str">
        <f>PROPER(TRIM(Raw_Data!D480))</f>
        <v>Australia</v>
      </c>
      <c r="E480" s="22" t="s">
        <v>56</v>
      </c>
      <c r="F480" s="22" t="s">
        <v>57</v>
      </c>
      <c r="G480" s="66">
        <v>11</v>
      </c>
      <c r="H480" s="2">
        <v>44.56</v>
      </c>
      <c r="I480" s="64">
        <f>PRODUCT(Table13[[#This Row],[Quantity]:[Unit_Price]])</f>
        <v>490.16</v>
      </c>
      <c r="J480" s="2">
        <v>23.97</v>
      </c>
      <c r="K480" s="2">
        <v>191.19</v>
      </c>
      <c r="L480" s="22" t="s">
        <v>26</v>
      </c>
      <c r="M480" s="22" t="s">
        <v>32</v>
      </c>
      <c r="N480" s="22" t="s">
        <v>130</v>
      </c>
      <c r="O480" s="64">
        <f>VLOOKUP($E480,Products!$B$2:$F$11,5,0)</f>
        <v>25</v>
      </c>
      <c r="P480" s="64">
        <f>PRODUCT(Table13[[#This Row],[Quantity]],Table13[[#This Row],[Unit_Cost]])</f>
        <v>275</v>
      </c>
      <c r="Q480" s="65">
        <f>Table13[[#This Row],[Profit]]/Table13[[#This Row],[Total_Sales]]</f>
        <v>0.39005630814427938</v>
      </c>
      <c r="R480" s="1"/>
      <c r="S480" s="1"/>
      <c r="T480" s="1"/>
    </row>
    <row r="481" spans="1:20" x14ac:dyDescent="0.25">
      <c r="A481" s="22" t="s">
        <v>634</v>
      </c>
      <c r="B481" s="63">
        <v>45609</v>
      </c>
      <c r="C481" s="22" t="s">
        <v>50</v>
      </c>
      <c r="D481" s="22" t="str">
        <f>PROPER(TRIM(Raw_Data!D481))</f>
        <v>Mexico</v>
      </c>
      <c r="E481" s="22" t="s">
        <v>36</v>
      </c>
      <c r="F481" s="22" t="s">
        <v>37</v>
      </c>
      <c r="G481" s="66">
        <v>50</v>
      </c>
      <c r="H481" s="2">
        <v>44.78</v>
      </c>
      <c r="I481" s="64">
        <f>PRODUCT(Table13[[#This Row],[Quantity]:[Unit_Price]])</f>
        <v>2239</v>
      </c>
      <c r="J481" s="2">
        <v>169.97</v>
      </c>
      <c r="K481" s="2">
        <v>469.03</v>
      </c>
      <c r="L481" s="22" t="s">
        <v>19</v>
      </c>
      <c r="M481" s="22" t="s">
        <v>32</v>
      </c>
      <c r="N481" s="22" t="s">
        <v>21</v>
      </c>
      <c r="O481" s="64">
        <f>VLOOKUP($E481,Products!$B$2:$F$11,5,0)</f>
        <v>32</v>
      </c>
      <c r="P481" s="64">
        <f>PRODUCT(Table13[[#This Row],[Quantity]],Table13[[#This Row],[Unit_Cost]])</f>
        <v>1600</v>
      </c>
      <c r="Q481" s="65">
        <f>Table13[[#This Row],[Profit]]/Table13[[#This Row],[Total_Sales]]</f>
        <v>0.20948191156766413</v>
      </c>
      <c r="R481" s="1"/>
      <c r="S481" s="1"/>
      <c r="T481" s="1"/>
    </row>
    <row r="482" spans="1:20" x14ac:dyDescent="0.25">
      <c r="A482" s="22" t="s">
        <v>635</v>
      </c>
      <c r="B482" s="63">
        <v>45633</v>
      </c>
      <c r="C482" s="22" t="s">
        <v>73</v>
      </c>
      <c r="D482" s="22" t="str">
        <f>PROPER(TRIM(Raw_Data!D482))</f>
        <v>Usa</v>
      </c>
      <c r="E482" s="22" t="s">
        <v>25</v>
      </c>
      <c r="F482" s="22" t="s">
        <v>18</v>
      </c>
      <c r="G482" s="66">
        <v>30</v>
      </c>
      <c r="H482" s="2">
        <v>22.51</v>
      </c>
      <c r="I482" s="64">
        <f>PRODUCT(Table13[[#This Row],[Quantity]:[Unit_Price]])</f>
        <v>675.30000000000007</v>
      </c>
      <c r="J482" s="2">
        <v>26.26</v>
      </c>
      <c r="K482" s="2">
        <v>109.04</v>
      </c>
      <c r="L482" s="22" t="s">
        <v>19</v>
      </c>
      <c r="M482" s="22" t="s">
        <v>20</v>
      </c>
      <c r="N482" s="22" t="s">
        <v>21</v>
      </c>
      <c r="O482" s="64">
        <f>VLOOKUP($E482,Products!$B$2:$F$11,5,0)</f>
        <v>18</v>
      </c>
      <c r="P482" s="64">
        <f>PRODUCT(Table13[[#This Row],[Quantity]],Table13[[#This Row],[Unit_Cost]])</f>
        <v>540</v>
      </c>
      <c r="Q482" s="65">
        <f>Table13[[#This Row],[Profit]]/Table13[[#This Row],[Total_Sales]]</f>
        <v>0.16146897675107358</v>
      </c>
      <c r="R482" s="1"/>
      <c r="S482" s="1"/>
      <c r="T482" s="1"/>
    </row>
    <row r="483" spans="1:20" x14ac:dyDescent="0.25">
      <c r="A483" s="22" t="s">
        <v>636</v>
      </c>
      <c r="B483" s="63">
        <v>45355</v>
      </c>
      <c r="C483" s="22" t="s">
        <v>246</v>
      </c>
      <c r="D483" s="22" t="str">
        <f>PROPER(TRIM(Raw_Data!D483))</f>
        <v>Australia</v>
      </c>
      <c r="E483" s="22" t="s">
        <v>60</v>
      </c>
      <c r="F483" s="22" t="s">
        <v>52</v>
      </c>
      <c r="G483" s="66">
        <v>50</v>
      </c>
      <c r="H483" s="2">
        <v>27.18</v>
      </c>
      <c r="I483" s="64">
        <f>PRODUCT(Table13[[#This Row],[Quantity]:[Unit_Price]])</f>
        <v>1359</v>
      </c>
      <c r="J483" s="2">
        <v>45.67</v>
      </c>
      <c r="K483" s="2">
        <v>538.33000000000004</v>
      </c>
      <c r="L483" s="22" t="s">
        <v>19</v>
      </c>
      <c r="M483" s="22" t="s">
        <v>32</v>
      </c>
      <c r="N483" s="22" t="s">
        <v>130</v>
      </c>
      <c r="O483" s="64">
        <f>VLOOKUP($E483,Products!$B$2:$F$11,5,0)</f>
        <v>15.5</v>
      </c>
      <c r="P483" s="64">
        <f>PRODUCT(Table13[[#This Row],[Quantity]],Table13[[#This Row],[Unit_Cost]])</f>
        <v>775</v>
      </c>
      <c r="Q483" s="65">
        <f>Table13[[#This Row],[Profit]]/Table13[[#This Row],[Total_Sales]]</f>
        <v>0.39612214863870499</v>
      </c>
      <c r="R483" s="1"/>
      <c r="S483" s="1"/>
      <c r="T483" s="1"/>
    </row>
    <row r="484" spans="1:20" x14ac:dyDescent="0.25">
      <c r="A484" s="22" t="s">
        <v>637</v>
      </c>
      <c r="B484" s="63">
        <v>45562</v>
      </c>
      <c r="C484" s="22" t="s">
        <v>135</v>
      </c>
      <c r="D484" s="22" t="str">
        <f>PROPER(TRIM(Raw_Data!D484))</f>
        <v>Italy</v>
      </c>
      <c r="E484" s="22" t="s">
        <v>83</v>
      </c>
      <c r="F484" s="22" t="s">
        <v>52</v>
      </c>
      <c r="G484" s="66">
        <v>28</v>
      </c>
      <c r="H484" s="2">
        <v>37.51</v>
      </c>
      <c r="I484" s="64">
        <f>PRODUCT(Table13[[#This Row],[Quantity]:[Unit_Price]])</f>
        <v>1050.28</v>
      </c>
      <c r="J484" s="2">
        <v>45.83</v>
      </c>
      <c r="K484" s="2">
        <v>220.45</v>
      </c>
      <c r="L484" s="22" t="s">
        <v>38</v>
      </c>
      <c r="M484" s="22" t="s">
        <v>27</v>
      </c>
      <c r="N484" s="22" t="s">
        <v>28</v>
      </c>
      <c r="O484" s="64">
        <f>VLOOKUP($E484,Products!$B$2:$F$11,5,0)</f>
        <v>28</v>
      </c>
      <c r="P484" s="64">
        <f>PRODUCT(Table13[[#This Row],[Quantity]],Table13[[#This Row],[Unit_Cost]])</f>
        <v>784</v>
      </c>
      <c r="Q484" s="65">
        <f>Table13[[#This Row],[Profit]]/Table13[[#This Row],[Total_Sales]]</f>
        <v>0.20989640857676048</v>
      </c>
      <c r="R484" s="1"/>
      <c r="S484" s="1"/>
      <c r="T484" s="1"/>
    </row>
    <row r="485" spans="1:20" x14ac:dyDescent="0.25">
      <c r="A485" s="22" t="s">
        <v>638</v>
      </c>
      <c r="B485" s="63">
        <v>45362</v>
      </c>
      <c r="C485" s="22" t="s">
        <v>67</v>
      </c>
      <c r="D485" s="22" t="str">
        <f>PROPER(TRIM(Raw_Data!D485))</f>
        <v>Australia</v>
      </c>
      <c r="E485" s="22" t="s">
        <v>43</v>
      </c>
      <c r="F485" s="22" t="s">
        <v>44</v>
      </c>
      <c r="G485" s="66">
        <v>50</v>
      </c>
      <c r="H485" s="2">
        <v>53.71</v>
      </c>
      <c r="I485" s="64">
        <f>PRODUCT(Table13[[#This Row],[Quantity]:[Unit_Price]])</f>
        <v>2685.5</v>
      </c>
      <c r="J485" s="2">
        <v>197.89</v>
      </c>
      <c r="K485" s="2">
        <v>487.61</v>
      </c>
      <c r="L485" s="22" t="s">
        <v>26</v>
      </c>
      <c r="M485" s="22" t="s">
        <v>32</v>
      </c>
      <c r="N485" s="22" t="s">
        <v>130</v>
      </c>
      <c r="O485" s="64">
        <f>VLOOKUP($E485,Products!$B$2:$F$11,5,0)</f>
        <v>40</v>
      </c>
      <c r="P485" s="64">
        <f>PRODUCT(Table13[[#This Row],[Quantity]],Table13[[#This Row],[Unit_Cost]])</f>
        <v>2000</v>
      </c>
      <c r="Q485" s="65">
        <f>Table13[[#This Row],[Profit]]/Table13[[#This Row],[Total_Sales]]</f>
        <v>0.18157140197356172</v>
      </c>
      <c r="R485" s="1"/>
      <c r="S485" s="1"/>
      <c r="T485" s="1"/>
    </row>
    <row r="486" spans="1:20" x14ac:dyDescent="0.25">
      <c r="A486" s="22" t="s">
        <v>639</v>
      </c>
      <c r="B486" s="63">
        <v>45652</v>
      </c>
      <c r="C486" s="22" t="s">
        <v>399</v>
      </c>
      <c r="D486" s="22" t="str">
        <f>PROPER(TRIM(Raw_Data!D486))</f>
        <v>South Africa</v>
      </c>
      <c r="E486" s="22" t="s">
        <v>60</v>
      </c>
      <c r="F486" s="22" t="s">
        <v>52</v>
      </c>
      <c r="G486" s="66">
        <v>24</v>
      </c>
      <c r="H486" s="2">
        <v>18.62</v>
      </c>
      <c r="I486" s="64">
        <f>PRODUCT(Table13[[#This Row],[Quantity]:[Unit_Price]])</f>
        <v>446.88</v>
      </c>
      <c r="J486" s="2">
        <v>26.91</v>
      </c>
      <c r="K486" s="2">
        <v>47.97</v>
      </c>
      <c r="L486" s="22" t="s">
        <v>26</v>
      </c>
      <c r="M486" s="22" t="s">
        <v>27</v>
      </c>
      <c r="N486" s="22" t="s">
        <v>87</v>
      </c>
      <c r="O486" s="64">
        <f>VLOOKUP($E486,Products!$B$2:$F$11,5,0)</f>
        <v>15.5</v>
      </c>
      <c r="P486" s="64">
        <f>PRODUCT(Table13[[#This Row],[Quantity]],Table13[[#This Row],[Unit_Cost]])</f>
        <v>372</v>
      </c>
      <c r="Q486" s="65">
        <f>Table13[[#This Row],[Profit]]/Table13[[#This Row],[Total_Sales]]</f>
        <v>0.10734425349087003</v>
      </c>
      <c r="R486" s="1"/>
      <c r="S486" s="1"/>
      <c r="T486" s="1"/>
    </row>
    <row r="487" spans="1:20" x14ac:dyDescent="0.25">
      <c r="A487" s="22" t="s">
        <v>640</v>
      </c>
      <c r="B487" s="63">
        <v>45663</v>
      </c>
      <c r="C487" s="22" t="s">
        <v>183</v>
      </c>
      <c r="D487" s="22" t="str">
        <f>PROPER(TRIM(Raw_Data!D487))</f>
        <v>Singapore</v>
      </c>
      <c r="E487" s="22" t="s">
        <v>43</v>
      </c>
      <c r="F487" s="22" t="s">
        <v>44</v>
      </c>
      <c r="G487" s="66">
        <v>10</v>
      </c>
      <c r="H487" s="2">
        <v>49.15</v>
      </c>
      <c r="I487" s="64">
        <f>PRODUCT(Table13[[#This Row],[Quantity]:[Unit_Price]])</f>
        <v>491.5</v>
      </c>
      <c r="J487" s="2">
        <v>13.3</v>
      </c>
      <c r="K487" s="2">
        <v>78.2</v>
      </c>
      <c r="L487" s="22" t="s">
        <v>38</v>
      </c>
      <c r="M487" s="22" t="s">
        <v>32</v>
      </c>
      <c r="N487" s="22" t="s">
        <v>58</v>
      </c>
      <c r="O487" s="64">
        <f>VLOOKUP($E487,Products!$B$2:$F$11,5,0)</f>
        <v>40</v>
      </c>
      <c r="P487" s="64">
        <f>PRODUCT(Table13[[#This Row],[Quantity]],Table13[[#This Row],[Unit_Cost]])</f>
        <v>400</v>
      </c>
      <c r="Q487" s="65">
        <f>Table13[[#This Row],[Profit]]/Table13[[#This Row],[Total_Sales]]</f>
        <v>0.15910478128179045</v>
      </c>
      <c r="R487" s="1"/>
      <c r="S487" s="1"/>
      <c r="T487" s="1"/>
    </row>
    <row r="488" spans="1:20" x14ac:dyDescent="0.25">
      <c r="A488" s="22" t="s">
        <v>641</v>
      </c>
      <c r="B488" s="63">
        <v>45631</v>
      </c>
      <c r="C488" s="22" t="s">
        <v>207</v>
      </c>
      <c r="D488" s="22" t="str">
        <f>PROPER(TRIM(Raw_Data!D488))</f>
        <v>China</v>
      </c>
      <c r="E488" s="22" t="s">
        <v>43</v>
      </c>
      <c r="F488" s="22" t="s">
        <v>44</v>
      </c>
      <c r="G488" s="66">
        <v>42</v>
      </c>
      <c r="H488" s="2">
        <v>50.96</v>
      </c>
      <c r="I488" s="64">
        <f>PRODUCT(Table13[[#This Row],[Quantity]:[Unit_Price]])</f>
        <v>2140.3200000000002</v>
      </c>
      <c r="J488" s="2">
        <v>127.85</v>
      </c>
      <c r="K488" s="2">
        <v>332.47</v>
      </c>
      <c r="L488" s="22" t="s">
        <v>19</v>
      </c>
      <c r="M488" s="22" t="s">
        <v>27</v>
      </c>
      <c r="N488" s="22" t="s">
        <v>58</v>
      </c>
      <c r="O488" s="64">
        <f>VLOOKUP($E488,Products!$B$2:$F$11,5,0)</f>
        <v>40</v>
      </c>
      <c r="P488" s="64">
        <f>PRODUCT(Table13[[#This Row],[Quantity]],Table13[[#This Row],[Unit_Cost]])</f>
        <v>1680</v>
      </c>
      <c r="Q488" s="65">
        <f>Table13[[#This Row],[Profit]]/Table13[[#This Row],[Total_Sales]]</f>
        <v>0.15533658518352397</v>
      </c>
      <c r="R488" s="1"/>
      <c r="S488" s="1"/>
      <c r="T488" s="1"/>
    </row>
    <row r="489" spans="1:20" x14ac:dyDescent="0.25">
      <c r="A489" s="22" t="s">
        <v>642</v>
      </c>
      <c r="B489" s="63">
        <v>45312</v>
      </c>
      <c r="C489" s="22" t="s">
        <v>204</v>
      </c>
      <c r="D489" s="22" t="str">
        <f>PROPER(TRIM(Raw_Data!D489))</f>
        <v>China</v>
      </c>
      <c r="E489" s="22" t="s">
        <v>56</v>
      </c>
      <c r="F489" s="22" t="s">
        <v>57</v>
      </c>
      <c r="G489" s="66">
        <v>39</v>
      </c>
      <c r="H489" s="2">
        <v>37.46</v>
      </c>
      <c r="I489" s="64">
        <f>PRODUCT(Table13[[#This Row],[Quantity]:[Unit_Price]])</f>
        <v>1460.94</v>
      </c>
      <c r="J489" s="2">
        <v>82.25</v>
      </c>
      <c r="K489" s="2">
        <v>403.69</v>
      </c>
      <c r="L489" s="22" t="s">
        <v>38</v>
      </c>
      <c r="M489" s="22" t="s">
        <v>20</v>
      </c>
      <c r="N489" s="22" t="s">
        <v>58</v>
      </c>
      <c r="O489" s="64">
        <f>VLOOKUP($E489,Products!$B$2:$F$11,5,0)</f>
        <v>25</v>
      </c>
      <c r="P489" s="64">
        <f>PRODUCT(Table13[[#This Row],[Quantity]],Table13[[#This Row],[Unit_Cost]])</f>
        <v>975</v>
      </c>
      <c r="Q489" s="65">
        <f>Table13[[#This Row],[Profit]]/Table13[[#This Row],[Total_Sales]]</f>
        <v>0.27632209399427765</v>
      </c>
      <c r="R489" s="1"/>
      <c r="S489" s="1"/>
      <c r="T489" s="1"/>
    </row>
    <row r="490" spans="1:20" x14ac:dyDescent="0.25">
      <c r="A490" s="22" t="s">
        <v>643</v>
      </c>
      <c r="B490" s="63">
        <v>45787</v>
      </c>
      <c r="C490" s="22" t="s">
        <v>108</v>
      </c>
      <c r="D490" s="22" t="str">
        <f>PROPER(TRIM(Raw_Data!D490))</f>
        <v>France</v>
      </c>
      <c r="E490" s="22" t="s">
        <v>63</v>
      </c>
      <c r="F490" s="22" t="s">
        <v>37</v>
      </c>
      <c r="G490" s="66">
        <v>7</v>
      </c>
      <c r="H490" s="2">
        <v>20.2</v>
      </c>
      <c r="I490" s="64">
        <f>PRODUCT(Table13[[#This Row],[Quantity]:[Unit_Price]])</f>
        <v>141.4</v>
      </c>
      <c r="J490" s="2">
        <v>4.3499999999999996</v>
      </c>
      <c r="K490" s="2">
        <v>47.8</v>
      </c>
      <c r="L490" s="22" t="s">
        <v>26</v>
      </c>
      <c r="M490" s="22" t="s">
        <v>32</v>
      </c>
      <c r="N490" s="22" t="s">
        <v>28</v>
      </c>
      <c r="O490" s="64">
        <f>VLOOKUP($E490,Products!$B$2:$F$11,5,0)</f>
        <v>12.75</v>
      </c>
      <c r="P490" s="64">
        <f>PRODUCT(Table13[[#This Row],[Quantity]],Table13[[#This Row],[Unit_Cost]])</f>
        <v>89.25</v>
      </c>
      <c r="Q490" s="65">
        <f>Table13[[#This Row],[Profit]]/Table13[[#This Row],[Total_Sales]]</f>
        <v>0.33804809052333801</v>
      </c>
      <c r="R490" s="1"/>
      <c r="S490" s="1"/>
      <c r="T490" s="1"/>
    </row>
    <row r="491" spans="1:20" x14ac:dyDescent="0.25">
      <c r="A491" s="22" t="s">
        <v>644</v>
      </c>
      <c r="B491" s="63">
        <v>45550</v>
      </c>
      <c r="C491" s="22" t="s">
        <v>123</v>
      </c>
      <c r="D491" s="22" t="str">
        <f>PROPER(TRIM(Raw_Data!D491))</f>
        <v>Canada</v>
      </c>
      <c r="E491" s="22" t="s">
        <v>63</v>
      </c>
      <c r="F491" s="22" t="s">
        <v>37</v>
      </c>
      <c r="G491" s="66">
        <v>18</v>
      </c>
      <c r="H491" s="2">
        <v>18.63</v>
      </c>
      <c r="I491" s="64">
        <f>PRODUCT(Table13[[#This Row],[Quantity]:[Unit_Price]])</f>
        <v>335.34</v>
      </c>
      <c r="J491" s="2">
        <v>26.18</v>
      </c>
      <c r="K491" s="2">
        <v>79.66</v>
      </c>
      <c r="L491" s="22" t="s">
        <v>26</v>
      </c>
      <c r="M491" s="22" t="s">
        <v>20</v>
      </c>
      <c r="N491" s="22" t="s">
        <v>21</v>
      </c>
      <c r="O491" s="64">
        <f>VLOOKUP($E491,Products!$B$2:$F$11,5,0)</f>
        <v>12.75</v>
      </c>
      <c r="P491" s="64">
        <f>PRODUCT(Table13[[#This Row],[Quantity]],Table13[[#This Row],[Unit_Cost]])</f>
        <v>229.5</v>
      </c>
      <c r="Q491" s="65">
        <f>Table13[[#This Row],[Profit]]/Table13[[#This Row],[Total_Sales]]</f>
        <v>0.23754994930518281</v>
      </c>
      <c r="R491" s="1"/>
      <c r="S491" s="1"/>
      <c r="T491" s="1"/>
    </row>
    <row r="492" spans="1:20" x14ac:dyDescent="0.25">
      <c r="A492" s="22" t="s">
        <v>645</v>
      </c>
      <c r="B492" s="63">
        <v>45439</v>
      </c>
      <c r="C492" s="22" t="s">
        <v>291</v>
      </c>
      <c r="D492" s="22" t="str">
        <f>PROPER(TRIM(Raw_Data!D492))</f>
        <v>Australia</v>
      </c>
      <c r="E492" s="22" t="s">
        <v>51</v>
      </c>
      <c r="F492" s="22" t="s">
        <v>52</v>
      </c>
      <c r="G492" s="66">
        <v>12</v>
      </c>
      <c r="H492" s="2">
        <v>27.08</v>
      </c>
      <c r="I492" s="64">
        <f>PRODUCT(Table13[[#This Row],[Quantity]:[Unit_Price]])</f>
        <v>324.95999999999998</v>
      </c>
      <c r="J492" s="2">
        <v>15.59</v>
      </c>
      <c r="K492" s="2">
        <v>39.369999999999997</v>
      </c>
      <c r="L492" s="22" t="s">
        <v>26</v>
      </c>
      <c r="M492" s="22" t="s">
        <v>32</v>
      </c>
      <c r="N492" s="22" t="s">
        <v>130</v>
      </c>
      <c r="O492" s="64">
        <f>VLOOKUP($E492,Products!$B$2:$F$11,5,0)</f>
        <v>22.5</v>
      </c>
      <c r="P492" s="64">
        <f>PRODUCT(Table13[[#This Row],[Quantity]],Table13[[#This Row],[Unit_Cost]])</f>
        <v>270</v>
      </c>
      <c r="Q492" s="65">
        <f>Table13[[#This Row],[Profit]]/Table13[[#This Row],[Total_Sales]]</f>
        <v>0.12115337272279665</v>
      </c>
      <c r="R492" s="1"/>
      <c r="S492" s="1"/>
      <c r="T492" s="1"/>
    </row>
    <row r="493" spans="1:20" x14ac:dyDescent="0.25">
      <c r="A493" s="22" t="s">
        <v>646</v>
      </c>
      <c r="B493" s="63">
        <v>45771</v>
      </c>
      <c r="C493" s="22" t="s">
        <v>315</v>
      </c>
      <c r="D493" s="22" t="str">
        <f>PROPER(TRIM(Raw_Data!D493))</f>
        <v>France</v>
      </c>
      <c r="E493" s="22" t="s">
        <v>56</v>
      </c>
      <c r="F493" s="22" t="s">
        <v>57</v>
      </c>
      <c r="G493" s="66">
        <v>50</v>
      </c>
      <c r="H493" s="2">
        <v>32.21</v>
      </c>
      <c r="I493" s="64">
        <f>PRODUCT(Table13[[#This Row],[Quantity]:[Unit_Price]])</f>
        <v>1610.5</v>
      </c>
      <c r="J493" s="2">
        <v>32.68</v>
      </c>
      <c r="K493" s="2">
        <v>327.82</v>
      </c>
      <c r="L493" s="22" t="s">
        <v>26</v>
      </c>
      <c r="M493" s="22" t="s">
        <v>32</v>
      </c>
      <c r="N493" s="22" t="s">
        <v>28</v>
      </c>
      <c r="O493" s="64">
        <f>VLOOKUP($E493,Products!$B$2:$F$11,5,0)</f>
        <v>25</v>
      </c>
      <c r="P493" s="64">
        <f>PRODUCT(Table13[[#This Row],[Quantity]],Table13[[#This Row],[Unit_Cost]])</f>
        <v>1250</v>
      </c>
      <c r="Q493" s="65">
        <f>Table13[[#This Row],[Profit]]/Table13[[#This Row],[Total_Sales]]</f>
        <v>0.20355169202111145</v>
      </c>
      <c r="R493" s="1"/>
      <c r="S493" s="1"/>
      <c r="T493" s="1"/>
    </row>
    <row r="494" spans="1:20" x14ac:dyDescent="0.25">
      <c r="A494" s="22" t="s">
        <v>647</v>
      </c>
      <c r="B494" s="63">
        <v>45734</v>
      </c>
      <c r="C494" s="22" t="s">
        <v>410</v>
      </c>
      <c r="D494" s="22" t="str">
        <f>PROPER(TRIM(Raw_Data!D494))</f>
        <v>South Africa</v>
      </c>
      <c r="E494" s="22" t="s">
        <v>63</v>
      </c>
      <c r="F494" s="22" t="s">
        <v>37</v>
      </c>
      <c r="G494" s="66">
        <v>49</v>
      </c>
      <c r="H494" s="2">
        <v>20.59</v>
      </c>
      <c r="I494" s="64">
        <f>PRODUCT(Table13[[#This Row],[Quantity]:[Unit_Price]])</f>
        <v>1008.91</v>
      </c>
      <c r="J494" s="2">
        <v>78.03</v>
      </c>
      <c r="K494" s="2">
        <v>306.13</v>
      </c>
      <c r="L494" s="22" t="s">
        <v>26</v>
      </c>
      <c r="M494" s="22" t="s">
        <v>32</v>
      </c>
      <c r="N494" s="22" t="s">
        <v>87</v>
      </c>
      <c r="O494" s="64">
        <f>VLOOKUP($E494,Products!$B$2:$F$11,5,0)</f>
        <v>12.75</v>
      </c>
      <c r="P494" s="64">
        <f>PRODUCT(Table13[[#This Row],[Quantity]],Table13[[#This Row],[Unit_Cost]])</f>
        <v>624.75</v>
      </c>
      <c r="Q494" s="65">
        <f>Table13[[#This Row],[Profit]]/Table13[[#This Row],[Total_Sales]]</f>
        <v>0.30342647015095497</v>
      </c>
      <c r="R494" s="1"/>
      <c r="S494" s="1"/>
      <c r="T494" s="1"/>
    </row>
    <row r="495" spans="1:20" x14ac:dyDescent="0.25">
      <c r="A495" s="22" t="s">
        <v>648</v>
      </c>
      <c r="B495" s="63">
        <v>45399</v>
      </c>
      <c r="C495" s="22" t="s">
        <v>85</v>
      </c>
      <c r="D495" s="22" t="str">
        <f>PROPER(TRIM(Raw_Data!D495))</f>
        <v>Italy</v>
      </c>
      <c r="E495" s="22" t="s">
        <v>48</v>
      </c>
      <c r="F495" s="22" t="s">
        <v>37</v>
      </c>
      <c r="G495" s="66">
        <v>22</v>
      </c>
      <c r="H495" s="2">
        <v>28.63</v>
      </c>
      <c r="I495" s="64">
        <f>PRODUCT(Table13[[#This Row],[Quantity]:[Unit_Price]])</f>
        <v>629.86</v>
      </c>
      <c r="J495" s="2">
        <v>29.08</v>
      </c>
      <c r="K495" s="2">
        <v>160.78</v>
      </c>
      <c r="L495" s="22" t="s">
        <v>26</v>
      </c>
      <c r="M495" s="22" t="s">
        <v>27</v>
      </c>
      <c r="N495" s="22" t="s">
        <v>28</v>
      </c>
      <c r="O495" s="64">
        <f>VLOOKUP($E495,Products!$B$2:$F$11,5,0)</f>
        <v>20</v>
      </c>
      <c r="P495" s="64">
        <f>PRODUCT(Table13[[#This Row],[Quantity]],Table13[[#This Row],[Unit_Cost]])</f>
        <v>440</v>
      </c>
      <c r="Q495" s="65">
        <f>Table13[[#This Row],[Profit]]/Table13[[#This Row],[Total_Sales]]</f>
        <v>0.25526307433397899</v>
      </c>
      <c r="R495" s="1"/>
      <c r="S495" s="1"/>
      <c r="T495" s="1"/>
    </row>
    <row r="496" spans="1:20" x14ac:dyDescent="0.25">
      <c r="A496" s="22" t="s">
        <v>649</v>
      </c>
      <c r="B496" s="63">
        <v>45706</v>
      </c>
      <c r="C496" s="22" t="s">
        <v>183</v>
      </c>
      <c r="D496" s="22" t="str">
        <f>PROPER(TRIM(Raw_Data!D496))</f>
        <v>China</v>
      </c>
      <c r="E496" s="22" t="s">
        <v>43</v>
      </c>
      <c r="F496" s="22" t="s">
        <v>44</v>
      </c>
      <c r="G496" s="66">
        <v>11</v>
      </c>
      <c r="H496" s="2">
        <v>56.12</v>
      </c>
      <c r="I496" s="64">
        <f>PRODUCT(Table13[[#This Row],[Quantity]:[Unit_Price]])</f>
        <v>617.31999999999994</v>
      </c>
      <c r="J496" s="2">
        <v>38.26</v>
      </c>
      <c r="K496" s="2">
        <v>139.06</v>
      </c>
      <c r="L496" s="22" t="s">
        <v>26</v>
      </c>
      <c r="M496" s="22" t="s">
        <v>27</v>
      </c>
      <c r="N496" s="22" t="s">
        <v>58</v>
      </c>
      <c r="O496" s="64">
        <f>VLOOKUP($E496,Products!$B$2:$F$11,5,0)</f>
        <v>40</v>
      </c>
      <c r="P496" s="64">
        <f>PRODUCT(Table13[[#This Row],[Quantity]],Table13[[#This Row],[Unit_Cost]])</f>
        <v>440</v>
      </c>
      <c r="Q496" s="65">
        <f>Table13[[#This Row],[Profit]]/Table13[[#This Row],[Total_Sales]]</f>
        <v>0.22526404457979657</v>
      </c>
      <c r="R496" s="1"/>
      <c r="S496" s="1"/>
      <c r="T496" s="1"/>
    </row>
    <row r="497" spans="1:20" x14ac:dyDescent="0.25">
      <c r="A497" s="22" t="s">
        <v>650</v>
      </c>
      <c r="B497" s="63">
        <v>45395</v>
      </c>
      <c r="C497" s="22" t="s">
        <v>41</v>
      </c>
      <c r="D497" s="22" t="str">
        <f>PROPER(TRIM(Raw_Data!D497))</f>
        <v>Usa</v>
      </c>
      <c r="E497" s="22" t="s">
        <v>56</v>
      </c>
      <c r="F497" s="22" t="s">
        <v>57</v>
      </c>
      <c r="G497" s="66">
        <v>2</v>
      </c>
      <c r="H497" s="2">
        <v>30.88</v>
      </c>
      <c r="I497" s="64">
        <f>PRODUCT(Table13[[#This Row],[Quantity]:[Unit_Price]])</f>
        <v>61.76</v>
      </c>
      <c r="J497" s="2">
        <v>4.42</v>
      </c>
      <c r="K497" s="2">
        <v>7.34</v>
      </c>
      <c r="L497" s="22" t="s">
        <v>38</v>
      </c>
      <c r="M497" s="22" t="s">
        <v>27</v>
      </c>
      <c r="N497" s="22" t="s">
        <v>21</v>
      </c>
      <c r="O497" s="64">
        <f>VLOOKUP($E497,Products!$B$2:$F$11,5,0)</f>
        <v>25</v>
      </c>
      <c r="P497" s="64">
        <f>PRODUCT(Table13[[#This Row],[Quantity]],Table13[[#This Row],[Unit_Cost]])</f>
        <v>50</v>
      </c>
      <c r="Q497" s="65">
        <f>Table13[[#This Row],[Profit]]/Table13[[#This Row],[Total_Sales]]</f>
        <v>0.11884715025906736</v>
      </c>
      <c r="R497" s="1"/>
      <c r="S497" s="1"/>
      <c r="T497" s="1"/>
    </row>
    <row r="498" spans="1:20" x14ac:dyDescent="0.25">
      <c r="A498" s="22" t="s">
        <v>651</v>
      </c>
      <c r="B498" s="63">
        <v>45477</v>
      </c>
      <c r="C498" s="22" t="s">
        <v>297</v>
      </c>
      <c r="D498" s="22" t="str">
        <f>PROPER(TRIM(Raw_Data!D498))</f>
        <v>Australia</v>
      </c>
      <c r="E498" s="22" t="s">
        <v>43</v>
      </c>
      <c r="F498" s="22" t="s">
        <v>44</v>
      </c>
      <c r="G498" s="66">
        <v>34</v>
      </c>
      <c r="H498" s="2">
        <v>63.8</v>
      </c>
      <c r="I498" s="64">
        <f>PRODUCT(Table13[[#This Row],[Quantity]:[Unit_Price]])</f>
        <v>2169.1999999999998</v>
      </c>
      <c r="J498" s="2">
        <v>69.650000000000006</v>
      </c>
      <c r="K498" s="2">
        <v>739.55</v>
      </c>
      <c r="L498" s="22" t="s">
        <v>26</v>
      </c>
      <c r="M498" s="22" t="s">
        <v>32</v>
      </c>
      <c r="N498" s="22" t="s">
        <v>130</v>
      </c>
      <c r="O498" s="64">
        <f>VLOOKUP($E498,Products!$B$2:$F$11,5,0)</f>
        <v>40</v>
      </c>
      <c r="P498" s="64">
        <f>PRODUCT(Table13[[#This Row],[Quantity]],Table13[[#This Row],[Unit_Cost]])</f>
        <v>1360</v>
      </c>
      <c r="Q498" s="65">
        <f>Table13[[#This Row],[Profit]]/Table13[[#This Row],[Total_Sales]]</f>
        <v>0.34093214088143092</v>
      </c>
      <c r="R498" s="1"/>
      <c r="S498" s="1"/>
      <c r="T498" s="1"/>
    </row>
    <row r="499" spans="1:20" x14ac:dyDescent="0.25">
      <c r="A499" s="22" t="s">
        <v>652</v>
      </c>
      <c r="B499" s="63">
        <v>45651</v>
      </c>
      <c r="C499" s="22" t="s">
        <v>176</v>
      </c>
      <c r="D499" s="22" t="str">
        <f>PROPER(TRIM(Raw_Data!D499))</f>
        <v>Mexico</v>
      </c>
      <c r="E499" s="22" t="s">
        <v>83</v>
      </c>
      <c r="F499" s="22" t="s">
        <v>52</v>
      </c>
      <c r="G499" s="66">
        <v>50</v>
      </c>
      <c r="H499" s="2">
        <v>44.61</v>
      </c>
      <c r="I499" s="64">
        <f>PRODUCT(Table13[[#This Row],[Quantity]:[Unit_Price]])</f>
        <v>2230.5</v>
      </c>
      <c r="J499" s="2">
        <v>91.32</v>
      </c>
      <c r="K499" s="2">
        <v>739.18</v>
      </c>
      <c r="L499" s="22" t="s">
        <v>38</v>
      </c>
      <c r="M499" s="22" t="s">
        <v>20</v>
      </c>
      <c r="N499" s="22" t="s">
        <v>21</v>
      </c>
      <c r="O499" s="64">
        <f>VLOOKUP($E499,Products!$B$2:$F$11,5,0)</f>
        <v>28</v>
      </c>
      <c r="P499" s="64">
        <f>PRODUCT(Table13[[#This Row],[Quantity]],Table13[[#This Row],[Unit_Cost]])</f>
        <v>1400</v>
      </c>
      <c r="Q499" s="65">
        <f>Table13[[#This Row],[Profit]]/Table13[[#This Row],[Total_Sales]]</f>
        <v>0.33139654785922434</v>
      </c>
      <c r="R499" s="1"/>
      <c r="S499" s="1"/>
      <c r="T499" s="1"/>
    </row>
    <row r="500" spans="1:20" x14ac:dyDescent="0.25">
      <c r="A500" s="22" t="s">
        <v>653</v>
      </c>
      <c r="B500" s="63">
        <v>45537</v>
      </c>
      <c r="C500" s="22" t="s">
        <v>71</v>
      </c>
      <c r="D500" s="22" t="str">
        <f>PROPER(TRIM(Raw_Data!D500))</f>
        <v>Uae</v>
      </c>
      <c r="E500" s="22" t="s">
        <v>63</v>
      </c>
      <c r="F500" s="22" t="s">
        <v>37</v>
      </c>
      <c r="G500" s="66">
        <v>14</v>
      </c>
      <c r="H500" s="2">
        <v>18.61</v>
      </c>
      <c r="I500" s="64">
        <f>PRODUCT(Table13[[#This Row],[Quantity]:[Unit_Price]])</f>
        <v>260.53999999999996</v>
      </c>
      <c r="J500" s="2">
        <v>5.39</v>
      </c>
      <c r="K500" s="2">
        <v>76.650000000000006</v>
      </c>
      <c r="L500" s="22" t="s">
        <v>26</v>
      </c>
      <c r="M500" s="22" t="s">
        <v>32</v>
      </c>
      <c r="N500" s="22" t="s">
        <v>58</v>
      </c>
      <c r="O500" s="64">
        <f>VLOOKUP($E500,Products!$B$2:$F$11,5,0)</f>
        <v>12.75</v>
      </c>
      <c r="P500" s="64">
        <f>PRODUCT(Table13[[#This Row],[Quantity]],Table13[[#This Row],[Unit_Cost]])</f>
        <v>178.5</v>
      </c>
      <c r="Q500" s="65">
        <f>Table13[[#This Row],[Profit]]/Table13[[#This Row],[Total_Sales]]</f>
        <v>0.29419666845781844</v>
      </c>
      <c r="R500" s="1"/>
      <c r="S500" s="1"/>
      <c r="T500" s="1"/>
    </row>
    <row r="501" spans="1:20" x14ac:dyDescent="0.25">
      <c r="A501" s="22" t="s">
        <v>654</v>
      </c>
      <c r="B501" s="63">
        <v>45487</v>
      </c>
      <c r="C501" s="22" t="s">
        <v>286</v>
      </c>
      <c r="D501" s="22" t="str">
        <f>PROPER(TRIM(Raw_Data!D501))</f>
        <v>Uk</v>
      </c>
      <c r="E501" s="22" t="s">
        <v>60</v>
      </c>
      <c r="F501" s="22" t="s">
        <v>52</v>
      </c>
      <c r="G501" s="66">
        <v>7</v>
      </c>
      <c r="H501" s="2">
        <v>24.61</v>
      </c>
      <c r="I501" s="64">
        <f>PRODUCT(Table13[[#This Row],[Quantity]:[Unit_Price]])</f>
        <v>172.26999999999998</v>
      </c>
      <c r="J501" s="2">
        <v>9.64</v>
      </c>
      <c r="K501" s="2">
        <v>54.13</v>
      </c>
      <c r="L501" s="22" t="s">
        <v>38</v>
      </c>
      <c r="M501" s="22" t="s">
        <v>32</v>
      </c>
      <c r="N501" s="22" t="s">
        <v>28</v>
      </c>
      <c r="O501" s="64">
        <f>VLOOKUP($E501,Products!$B$2:$F$11,5,0)</f>
        <v>15.5</v>
      </c>
      <c r="P501" s="64">
        <f>PRODUCT(Table13[[#This Row],[Quantity]],Table13[[#This Row],[Unit_Cost]])</f>
        <v>108.5</v>
      </c>
      <c r="Q501" s="65">
        <f>Table13[[#This Row],[Profit]]/Table13[[#This Row],[Total_Sales]]</f>
        <v>0.31421605619086324</v>
      </c>
      <c r="R501" s="1"/>
      <c r="S501" s="1"/>
      <c r="T501" s="1"/>
    </row>
  </sheetData>
  <conditionalFormatting sqref="K1:K501">
    <cfRule type="cellIs" dxfId="77" priority="1" operator="lessThan">
      <formula>0</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501"/>
  <sheetViews>
    <sheetView zoomScale="80" zoomScaleNormal="80" workbookViewId="0">
      <selection activeCell="P33" sqref="P33"/>
    </sheetView>
  </sheetViews>
  <sheetFormatPr defaultRowHeight="15" x14ac:dyDescent="0.25"/>
  <cols>
    <col min="1" max="1" width="21.140625" bestFit="1" customWidth="1"/>
    <col min="2" max="2" width="16" bestFit="1" customWidth="1"/>
    <col min="3" max="3" width="15.7109375" style="4" bestFit="1" customWidth="1"/>
    <col min="4" max="4" width="20.42578125" bestFit="1" customWidth="1"/>
  </cols>
  <sheetData>
    <row r="1" spans="1:4" s="107" customFormat="1" ht="15.75" x14ac:dyDescent="0.25">
      <c r="A1" s="107" t="s">
        <v>2</v>
      </c>
      <c r="B1" s="107" t="s">
        <v>682</v>
      </c>
      <c r="C1" s="107" t="s">
        <v>683</v>
      </c>
      <c r="D1" s="107" t="s">
        <v>684</v>
      </c>
    </row>
    <row r="2" spans="1:4" x14ac:dyDescent="0.25">
      <c r="A2" s="22" t="s">
        <v>15</v>
      </c>
      <c r="B2" s="22" t="str">
        <f>RIGHT(Table4[[#This Row],[Customer_Name]],LEN(Table4[[#This Row],[Customer_Name]])-FIND(",",Table4[[#This Row],[Customer_Name]])-1)</f>
        <v>Emily</v>
      </c>
      <c r="C2" s="22" t="str">
        <f>LEFT(Table4[[#This Row],[Customer_Name]],FIND(",",Table4[[#This Row],[Customer_Name]])-1)</f>
        <v>Smith</v>
      </c>
      <c r="D2" s="22" t="str">
        <f>LEFT(Table4[[#This Row],[First_Name]],2)&amp;LEFT(Table4[[#This Row],[Last_Name]],2)&amp;ROW()</f>
        <v>EmSm2</v>
      </c>
    </row>
    <row r="3" spans="1:4" x14ac:dyDescent="0.25">
      <c r="A3" s="22" t="s">
        <v>23</v>
      </c>
      <c r="B3" s="22" t="str">
        <f>RIGHT(Table4[[#This Row],[Customer_Name]],LEN(Table4[[#This Row],[Customer_Name]])-FIND(",",Table4[[#This Row],[Customer_Name]])-1)</f>
        <v>Laura</v>
      </c>
      <c r="C3" s="22" t="str">
        <f>LEFT(Table4[[#This Row],[Customer_Name]],FIND(",",Table4[[#This Row],[Customer_Name]])-1)</f>
        <v>Brown</v>
      </c>
      <c r="D3" s="22" t="str">
        <f>LEFT(Table4[[#This Row],[First_Name]],2)&amp;LEFT(Table4[[#This Row],[Last_Name]],2)&amp;ROW()</f>
        <v>LaBr3</v>
      </c>
    </row>
    <row r="4" spans="1:4" x14ac:dyDescent="0.25">
      <c r="A4" s="22" t="s">
        <v>30</v>
      </c>
      <c r="B4" s="22" t="str">
        <f>RIGHT(Table4[[#This Row],[Customer_Name]],LEN(Table4[[#This Row],[Customer_Name]])-FIND(",",Table4[[#This Row],[Customer_Name]])-1)</f>
        <v>John</v>
      </c>
      <c r="C4" s="22" t="str">
        <f>LEFT(Table4[[#This Row],[Customer_Name]],FIND(",",Table4[[#This Row],[Customer_Name]])-1)</f>
        <v>Davis</v>
      </c>
      <c r="D4" s="22" t="str">
        <f>LEFT(Table4[[#This Row],[First_Name]],2)&amp;LEFT(Table4[[#This Row],[Last_Name]],2)&amp;ROW()</f>
        <v>JoDa4</v>
      </c>
    </row>
    <row r="5" spans="1:4" x14ac:dyDescent="0.25">
      <c r="A5" s="22" t="s">
        <v>34</v>
      </c>
      <c r="B5" s="22" t="str">
        <f>RIGHT(Table4[[#This Row],[Customer_Name]],LEN(Table4[[#This Row],[Customer_Name]])-FIND(",",Table4[[#This Row],[Customer_Name]])-1)</f>
        <v>Daniel</v>
      </c>
      <c r="C5" s="22" t="str">
        <f>LEFT(Table4[[#This Row],[Customer_Name]],FIND(",",Table4[[#This Row],[Customer_Name]])-1)</f>
        <v>Miller</v>
      </c>
      <c r="D5" s="22" t="str">
        <f>LEFT(Table4[[#This Row],[First_Name]],2)&amp;LEFT(Table4[[#This Row],[Last_Name]],2)&amp;ROW()</f>
        <v>DaMi5</v>
      </c>
    </row>
    <row r="6" spans="1:4" x14ac:dyDescent="0.25">
      <c r="A6" s="22" t="s">
        <v>41</v>
      </c>
      <c r="B6" s="22" t="str">
        <f>RIGHT(Table4[[#This Row],[Customer_Name]],LEN(Table4[[#This Row],[Customer_Name]])-FIND(",",Table4[[#This Row],[Customer_Name]])-1)</f>
        <v>Emma</v>
      </c>
      <c r="C6" s="22" t="str">
        <f>LEFT(Table4[[#This Row],[Customer_Name]],FIND(",",Table4[[#This Row],[Customer_Name]])-1)</f>
        <v>Johnson</v>
      </c>
      <c r="D6" s="22" t="str">
        <f>LEFT(Table4[[#This Row],[First_Name]],2)&amp;LEFT(Table4[[#This Row],[Last_Name]],2)&amp;ROW()</f>
        <v>EmJo6</v>
      </c>
    </row>
    <row r="7" spans="1:4" x14ac:dyDescent="0.25">
      <c r="A7" s="22" t="s">
        <v>46</v>
      </c>
      <c r="B7" s="22" t="str">
        <f>RIGHT(Table4[[#This Row],[Customer_Name]],LEN(Table4[[#This Row],[Customer_Name]])-FIND(",",Table4[[#This Row],[Customer_Name]])-1)</f>
        <v>Michael</v>
      </c>
      <c r="C7" s="22" t="str">
        <f>LEFT(Table4[[#This Row],[Customer_Name]],FIND(",",Table4[[#This Row],[Customer_Name]])-1)</f>
        <v>Johnson</v>
      </c>
      <c r="D7" s="22" t="str">
        <f>LEFT(Table4[[#This Row],[First_Name]],2)&amp;LEFT(Table4[[#This Row],[Last_Name]],2)&amp;ROW()</f>
        <v>MiJo7</v>
      </c>
    </row>
    <row r="8" spans="1:4" x14ac:dyDescent="0.25">
      <c r="A8" s="22" t="s">
        <v>50</v>
      </c>
      <c r="B8" s="22" t="str">
        <f>RIGHT(Table4[[#This Row],[Customer_Name]],LEN(Table4[[#This Row],[Customer_Name]])-FIND(",",Table4[[#This Row],[Customer_Name]])-1)</f>
        <v>Emma</v>
      </c>
      <c r="C8" s="22" t="str">
        <f>LEFT(Table4[[#This Row],[Customer_Name]],FIND(",",Table4[[#This Row],[Customer_Name]])-1)</f>
        <v>Hernandez</v>
      </c>
      <c r="D8" s="22" t="str">
        <f>LEFT(Table4[[#This Row],[First_Name]],2)&amp;LEFT(Table4[[#This Row],[Last_Name]],2)&amp;ROW()</f>
        <v>EmHe8</v>
      </c>
    </row>
    <row r="9" spans="1:4" x14ac:dyDescent="0.25">
      <c r="A9" s="22" t="s">
        <v>54</v>
      </c>
      <c r="B9" s="22" t="str">
        <f>RIGHT(Table4[[#This Row],[Customer_Name]],LEN(Table4[[#This Row],[Customer_Name]])-FIND(",",Table4[[#This Row],[Customer_Name]])-1)</f>
        <v>John</v>
      </c>
      <c r="C9" s="22" t="str">
        <f>LEFT(Table4[[#This Row],[Customer_Name]],FIND(",",Table4[[#This Row],[Customer_Name]])-1)</f>
        <v>Miller</v>
      </c>
      <c r="D9" s="22" t="str">
        <f>LEFT(Table4[[#This Row],[First_Name]],2)&amp;LEFT(Table4[[#This Row],[Last_Name]],2)&amp;ROW()</f>
        <v>JoMi9</v>
      </c>
    </row>
    <row r="10" spans="1:4" x14ac:dyDescent="0.25">
      <c r="A10" s="22" t="s">
        <v>30</v>
      </c>
      <c r="B10" s="22" t="str">
        <f>RIGHT(Table4[[#This Row],[Customer_Name]],LEN(Table4[[#This Row],[Customer_Name]])-FIND(",",Table4[[#This Row],[Customer_Name]])-1)</f>
        <v>John</v>
      </c>
      <c r="C10" s="22" t="str">
        <f>LEFT(Table4[[#This Row],[Customer_Name]],FIND(",",Table4[[#This Row],[Customer_Name]])-1)</f>
        <v>Davis</v>
      </c>
      <c r="D10" s="22" t="str">
        <f>LEFT(Table4[[#This Row],[First_Name]],2)&amp;LEFT(Table4[[#This Row],[Last_Name]],2)&amp;ROW()</f>
        <v>JoDa10</v>
      </c>
    </row>
    <row r="11" spans="1:4" x14ac:dyDescent="0.25">
      <c r="A11" s="22" t="s">
        <v>62</v>
      </c>
      <c r="B11" s="22" t="str">
        <f>RIGHT(Table4[[#This Row],[Customer_Name]],LEN(Table4[[#This Row],[Customer_Name]])-FIND(",",Table4[[#This Row],[Customer_Name]])-1)</f>
        <v>Laura</v>
      </c>
      <c r="C11" s="22" t="str">
        <f>LEFT(Table4[[#This Row],[Customer_Name]],FIND(",",Table4[[#This Row],[Customer_Name]])-1)</f>
        <v>Martinez</v>
      </c>
      <c r="D11" s="22" t="str">
        <f>LEFT(Table4[[#This Row],[First_Name]],2)&amp;LEFT(Table4[[#This Row],[Last_Name]],2)&amp;ROW()</f>
        <v>LaMa11</v>
      </c>
    </row>
    <row r="12" spans="1:4" x14ac:dyDescent="0.25">
      <c r="A12" s="22" t="s">
        <v>65</v>
      </c>
      <c r="B12" s="22" t="str">
        <f>RIGHT(Table4[[#This Row],[Customer_Name]],LEN(Table4[[#This Row],[Customer_Name]])-FIND(",",Table4[[#This Row],[Customer_Name]])-1)</f>
        <v>James</v>
      </c>
      <c r="C12" s="22" t="str">
        <f>LEFT(Table4[[#This Row],[Customer_Name]],FIND(",",Table4[[#This Row],[Customer_Name]])-1)</f>
        <v>Martinez</v>
      </c>
      <c r="D12" s="22" t="str">
        <f>LEFT(Table4[[#This Row],[First_Name]],2)&amp;LEFT(Table4[[#This Row],[Last_Name]],2)&amp;ROW()</f>
        <v>JaMa12</v>
      </c>
    </row>
    <row r="13" spans="1:4" x14ac:dyDescent="0.25">
      <c r="A13" s="22" t="s">
        <v>67</v>
      </c>
      <c r="B13" s="22" t="str">
        <f>RIGHT(Table4[[#This Row],[Customer_Name]],LEN(Table4[[#This Row],[Customer_Name]])-FIND(",",Table4[[#This Row],[Customer_Name]])-1)</f>
        <v>James</v>
      </c>
      <c r="C13" s="22" t="str">
        <f>LEFT(Table4[[#This Row],[Customer_Name]],FIND(",",Table4[[#This Row],[Customer_Name]])-1)</f>
        <v>Davis</v>
      </c>
      <c r="D13" s="22" t="str">
        <f>LEFT(Table4[[#This Row],[First_Name]],2)&amp;LEFT(Table4[[#This Row],[Last_Name]],2)&amp;ROW()</f>
        <v>JaDa13</v>
      </c>
    </row>
    <row r="14" spans="1:4" x14ac:dyDescent="0.25">
      <c r="A14" s="22" t="s">
        <v>65</v>
      </c>
      <c r="B14" s="22" t="str">
        <f>RIGHT(Table4[[#This Row],[Customer_Name]],LEN(Table4[[#This Row],[Customer_Name]])-FIND(",",Table4[[#This Row],[Customer_Name]])-1)</f>
        <v>James</v>
      </c>
      <c r="C14" s="22" t="str">
        <f>LEFT(Table4[[#This Row],[Customer_Name]],FIND(",",Table4[[#This Row],[Customer_Name]])-1)</f>
        <v>Martinez</v>
      </c>
      <c r="D14" s="22" t="str">
        <f>LEFT(Table4[[#This Row],[First_Name]],2)&amp;LEFT(Table4[[#This Row],[Last_Name]],2)&amp;ROW()</f>
        <v>JaMa14</v>
      </c>
    </row>
    <row r="15" spans="1:4" x14ac:dyDescent="0.25">
      <c r="A15" s="22" t="s">
        <v>71</v>
      </c>
      <c r="B15" s="22" t="str">
        <f>RIGHT(Table4[[#This Row],[Customer_Name]],LEN(Table4[[#This Row],[Customer_Name]])-FIND(",",Table4[[#This Row],[Customer_Name]])-1)</f>
        <v>Emma</v>
      </c>
      <c r="C15" s="22" t="str">
        <f>LEFT(Table4[[#This Row],[Customer_Name]],FIND(",",Table4[[#This Row],[Customer_Name]])-1)</f>
        <v>Smith</v>
      </c>
      <c r="D15" s="22" t="str">
        <f>LEFT(Table4[[#This Row],[First_Name]],2)&amp;LEFT(Table4[[#This Row],[Last_Name]],2)&amp;ROW()</f>
        <v>EmSm15</v>
      </c>
    </row>
    <row r="16" spans="1:4" x14ac:dyDescent="0.25">
      <c r="A16" s="22" t="s">
        <v>73</v>
      </c>
      <c r="B16" s="22" t="str">
        <f>RIGHT(Table4[[#This Row],[Customer_Name]],LEN(Table4[[#This Row],[Customer_Name]])-FIND(",",Table4[[#This Row],[Customer_Name]])-1)</f>
        <v>Sarah</v>
      </c>
      <c r="C16" s="22" t="str">
        <f>LEFT(Table4[[#This Row],[Customer_Name]],FIND(",",Table4[[#This Row],[Customer_Name]])-1)</f>
        <v>Davis</v>
      </c>
      <c r="D16" s="22" t="str">
        <f>LEFT(Table4[[#This Row],[First_Name]],2)&amp;LEFT(Table4[[#This Row],[Last_Name]],2)&amp;ROW()</f>
        <v>SaDa16</v>
      </c>
    </row>
    <row r="17" spans="1:4" x14ac:dyDescent="0.25">
      <c r="A17" s="22" t="s">
        <v>76</v>
      </c>
      <c r="B17" s="22" t="str">
        <f>RIGHT(Table4[[#This Row],[Customer_Name]],LEN(Table4[[#This Row],[Customer_Name]])-FIND(",",Table4[[#This Row],[Customer_Name]])-1)</f>
        <v>David</v>
      </c>
      <c r="C17" s="22" t="str">
        <f>LEFT(Table4[[#This Row],[Customer_Name]],FIND(",",Table4[[#This Row],[Customer_Name]])-1)</f>
        <v>Williams</v>
      </c>
      <c r="D17" s="22" t="str">
        <f>LEFT(Table4[[#This Row],[First_Name]],2)&amp;LEFT(Table4[[#This Row],[Last_Name]],2)&amp;ROW()</f>
        <v>DaWi17</v>
      </c>
    </row>
    <row r="18" spans="1:4" x14ac:dyDescent="0.25">
      <c r="A18" s="22" t="s">
        <v>65</v>
      </c>
      <c r="B18" s="22" t="str">
        <f>RIGHT(Table4[[#This Row],[Customer_Name]],LEN(Table4[[#This Row],[Customer_Name]])-FIND(",",Table4[[#This Row],[Customer_Name]])-1)</f>
        <v>James</v>
      </c>
      <c r="C18" s="22" t="str">
        <f>LEFT(Table4[[#This Row],[Customer_Name]],FIND(",",Table4[[#This Row],[Customer_Name]])-1)</f>
        <v>Martinez</v>
      </c>
      <c r="D18" s="22" t="str">
        <f>LEFT(Table4[[#This Row],[First_Name]],2)&amp;LEFT(Table4[[#This Row],[Last_Name]],2)&amp;ROW()</f>
        <v>JaMa18</v>
      </c>
    </row>
    <row r="19" spans="1:4" x14ac:dyDescent="0.25">
      <c r="A19" s="22" t="s">
        <v>46</v>
      </c>
      <c r="B19" s="22" t="str">
        <f>RIGHT(Table4[[#This Row],[Customer_Name]],LEN(Table4[[#This Row],[Customer_Name]])-FIND(",",Table4[[#This Row],[Customer_Name]])-1)</f>
        <v>Michael</v>
      </c>
      <c r="C19" s="22" t="str">
        <f>LEFT(Table4[[#This Row],[Customer_Name]],FIND(",",Table4[[#This Row],[Customer_Name]])-1)</f>
        <v>Johnson</v>
      </c>
      <c r="D19" s="22" t="str">
        <f>LEFT(Table4[[#This Row],[First_Name]],2)&amp;LEFT(Table4[[#This Row],[Last_Name]],2)&amp;ROW()</f>
        <v>MiJo19</v>
      </c>
    </row>
    <row r="20" spans="1:4" x14ac:dyDescent="0.25">
      <c r="A20" s="22" t="s">
        <v>81</v>
      </c>
      <c r="B20" s="22" t="str">
        <f>RIGHT(Table4[[#This Row],[Customer_Name]],LEN(Table4[[#This Row],[Customer_Name]])-FIND(",",Table4[[#This Row],[Customer_Name]])-1)</f>
        <v>Sarah</v>
      </c>
      <c r="C20" s="22" t="str">
        <f>LEFT(Table4[[#This Row],[Customer_Name]],FIND(",",Table4[[#This Row],[Customer_Name]])-1)</f>
        <v>Smith</v>
      </c>
      <c r="D20" s="22" t="str">
        <f>LEFT(Table4[[#This Row],[First_Name]],2)&amp;LEFT(Table4[[#This Row],[Last_Name]],2)&amp;ROW()</f>
        <v>SaSm20</v>
      </c>
    </row>
    <row r="21" spans="1:4" x14ac:dyDescent="0.25">
      <c r="A21" s="22" t="s">
        <v>41</v>
      </c>
      <c r="B21" s="22" t="str">
        <f>RIGHT(Table4[[#This Row],[Customer_Name]],LEN(Table4[[#This Row],[Customer_Name]])-FIND(",",Table4[[#This Row],[Customer_Name]])-1)</f>
        <v>Emma</v>
      </c>
      <c r="C21" s="22" t="str">
        <f>LEFT(Table4[[#This Row],[Customer_Name]],FIND(",",Table4[[#This Row],[Customer_Name]])-1)</f>
        <v>Johnson</v>
      </c>
      <c r="D21" s="22" t="str">
        <f>LEFT(Table4[[#This Row],[First_Name]],2)&amp;LEFT(Table4[[#This Row],[Last_Name]],2)&amp;ROW()</f>
        <v>EmJo21</v>
      </c>
    </row>
    <row r="22" spans="1:4" x14ac:dyDescent="0.25">
      <c r="A22" s="22" t="s">
        <v>85</v>
      </c>
      <c r="B22" s="22" t="str">
        <f>RIGHT(Table4[[#This Row],[Customer_Name]],LEN(Table4[[#This Row],[Customer_Name]])-FIND(",",Table4[[#This Row],[Customer_Name]])-1)</f>
        <v>Michael</v>
      </c>
      <c r="C22" s="22" t="str">
        <f>LEFT(Table4[[#This Row],[Customer_Name]],FIND(",",Table4[[#This Row],[Customer_Name]])-1)</f>
        <v>Miller</v>
      </c>
      <c r="D22" s="22" t="str">
        <f>LEFT(Table4[[#This Row],[First_Name]],2)&amp;LEFT(Table4[[#This Row],[Last_Name]],2)&amp;ROW()</f>
        <v>MiMi22</v>
      </c>
    </row>
    <row r="23" spans="1:4" x14ac:dyDescent="0.25">
      <c r="A23" s="22" t="s">
        <v>89</v>
      </c>
      <c r="B23" s="22" t="str">
        <f>RIGHT(Table4[[#This Row],[Customer_Name]],LEN(Table4[[#This Row],[Customer_Name]])-FIND(",",Table4[[#This Row],[Customer_Name]])-1)</f>
        <v>David</v>
      </c>
      <c r="C23" s="22" t="str">
        <f>LEFT(Table4[[#This Row],[Customer_Name]],FIND(",",Table4[[#This Row],[Customer_Name]])-1)</f>
        <v>Davis</v>
      </c>
      <c r="D23" s="22" t="str">
        <f>LEFT(Table4[[#This Row],[First_Name]],2)&amp;LEFT(Table4[[#This Row],[Last_Name]],2)&amp;ROW()</f>
        <v>DaDa23</v>
      </c>
    </row>
    <row r="24" spans="1:4" x14ac:dyDescent="0.25">
      <c r="A24" s="22" t="s">
        <v>91</v>
      </c>
      <c r="B24" s="22" t="str">
        <f>RIGHT(Table4[[#This Row],[Customer_Name]],LEN(Table4[[#This Row],[Customer_Name]])-FIND(",",Table4[[#This Row],[Customer_Name]])-1)</f>
        <v>Sarah</v>
      </c>
      <c r="C24" s="22" t="str">
        <f>LEFT(Table4[[#This Row],[Customer_Name]],FIND(",",Table4[[#This Row],[Customer_Name]])-1)</f>
        <v>Johnson</v>
      </c>
      <c r="D24" s="22" t="str">
        <f>LEFT(Table4[[#This Row],[First_Name]],2)&amp;LEFT(Table4[[#This Row],[Last_Name]],2)&amp;ROW()</f>
        <v>SaJo24</v>
      </c>
    </row>
    <row r="25" spans="1:4" x14ac:dyDescent="0.25">
      <c r="A25" s="22" t="s">
        <v>93</v>
      </c>
      <c r="B25" s="22" t="str">
        <f>RIGHT(Table4[[#This Row],[Customer_Name]],LEN(Table4[[#This Row],[Customer_Name]])-FIND(",",Table4[[#This Row],[Customer_Name]])-1)</f>
        <v>Sophia</v>
      </c>
      <c r="C25" s="22" t="str">
        <f>LEFT(Table4[[#This Row],[Customer_Name]],FIND(",",Table4[[#This Row],[Customer_Name]])-1)</f>
        <v>Hernandez</v>
      </c>
      <c r="D25" s="22" t="str">
        <f>LEFT(Table4[[#This Row],[First_Name]],2)&amp;LEFT(Table4[[#This Row],[Last_Name]],2)&amp;ROW()</f>
        <v>SoHe25</v>
      </c>
    </row>
    <row r="26" spans="1:4" x14ac:dyDescent="0.25">
      <c r="A26" s="22" t="s">
        <v>95</v>
      </c>
      <c r="B26" s="22" t="str">
        <f>RIGHT(Table4[[#This Row],[Customer_Name]],LEN(Table4[[#This Row],[Customer_Name]])-FIND(",",Table4[[#This Row],[Customer_Name]])-1)</f>
        <v>Daniel</v>
      </c>
      <c r="C26" s="22" t="str">
        <f>LEFT(Table4[[#This Row],[Customer_Name]],FIND(",",Table4[[#This Row],[Customer_Name]])-1)</f>
        <v>Williams</v>
      </c>
      <c r="D26" s="22" t="str">
        <f>LEFT(Table4[[#This Row],[First_Name]],2)&amp;LEFT(Table4[[#This Row],[Last_Name]],2)&amp;ROW()</f>
        <v>DaWi26</v>
      </c>
    </row>
    <row r="27" spans="1:4" x14ac:dyDescent="0.25">
      <c r="A27" s="22" t="s">
        <v>97</v>
      </c>
      <c r="B27" s="22" t="str">
        <f>RIGHT(Table4[[#This Row],[Customer_Name]],LEN(Table4[[#This Row],[Customer_Name]])-FIND(",",Table4[[#This Row],[Customer_Name]])-1)</f>
        <v>Michael</v>
      </c>
      <c r="C27" s="22" t="str">
        <f>LEFT(Table4[[#This Row],[Customer_Name]],FIND(",",Table4[[#This Row],[Customer_Name]])-1)</f>
        <v>Martinez</v>
      </c>
      <c r="D27" s="22" t="str">
        <f>LEFT(Table4[[#This Row],[First_Name]],2)&amp;LEFT(Table4[[#This Row],[Last_Name]],2)&amp;ROW()</f>
        <v>MiMa27</v>
      </c>
    </row>
    <row r="28" spans="1:4" x14ac:dyDescent="0.25">
      <c r="A28" s="22" t="s">
        <v>34</v>
      </c>
      <c r="B28" s="22" t="str">
        <f>RIGHT(Table4[[#This Row],[Customer_Name]],LEN(Table4[[#This Row],[Customer_Name]])-FIND(",",Table4[[#This Row],[Customer_Name]])-1)</f>
        <v>Daniel</v>
      </c>
      <c r="C28" s="22" t="str">
        <f>LEFT(Table4[[#This Row],[Customer_Name]],FIND(",",Table4[[#This Row],[Customer_Name]])-1)</f>
        <v>Miller</v>
      </c>
      <c r="D28" s="22" t="str">
        <f>LEFT(Table4[[#This Row],[First_Name]],2)&amp;LEFT(Table4[[#This Row],[Last_Name]],2)&amp;ROW()</f>
        <v>DaMi28</v>
      </c>
    </row>
    <row r="29" spans="1:4" x14ac:dyDescent="0.25">
      <c r="A29" s="22" t="s">
        <v>100</v>
      </c>
      <c r="B29" s="22" t="str">
        <f>RIGHT(Table4[[#This Row],[Customer_Name]],LEN(Table4[[#This Row],[Customer_Name]])-FIND(",",Table4[[#This Row],[Customer_Name]])-1)</f>
        <v>Laura</v>
      </c>
      <c r="C29" s="22" t="str">
        <f>LEFT(Table4[[#This Row],[Customer_Name]],FIND(",",Table4[[#This Row],[Customer_Name]])-1)</f>
        <v>Jones</v>
      </c>
      <c r="D29" s="22" t="str">
        <f>LEFT(Table4[[#This Row],[First_Name]],2)&amp;LEFT(Table4[[#This Row],[Last_Name]],2)&amp;ROW()</f>
        <v>LaJo29</v>
      </c>
    </row>
    <row r="30" spans="1:4" x14ac:dyDescent="0.25">
      <c r="A30" s="22" t="s">
        <v>102</v>
      </c>
      <c r="B30" s="22" t="str">
        <f>RIGHT(Table4[[#This Row],[Customer_Name]],LEN(Table4[[#This Row],[Customer_Name]])-FIND(",",Table4[[#This Row],[Customer_Name]])-1)</f>
        <v>Michael</v>
      </c>
      <c r="C30" s="22" t="str">
        <f>LEFT(Table4[[#This Row],[Customer_Name]],FIND(",",Table4[[#This Row],[Customer_Name]])-1)</f>
        <v>Brown</v>
      </c>
      <c r="D30" s="22" t="str">
        <f>LEFT(Table4[[#This Row],[First_Name]],2)&amp;LEFT(Table4[[#This Row],[Last_Name]],2)&amp;ROW()</f>
        <v>MiBr30</v>
      </c>
    </row>
    <row r="31" spans="1:4" x14ac:dyDescent="0.25">
      <c r="A31" s="22" t="s">
        <v>76</v>
      </c>
      <c r="B31" s="22" t="str">
        <f>RIGHT(Table4[[#This Row],[Customer_Name]],LEN(Table4[[#This Row],[Customer_Name]])-FIND(",",Table4[[#This Row],[Customer_Name]])-1)</f>
        <v>David</v>
      </c>
      <c r="C31" s="22" t="str">
        <f>LEFT(Table4[[#This Row],[Customer_Name]],FIND(",",Table4[[#This Row],[Customer_Name]])-1)</f>
        <v>Williams</v>
      </c>
      <c r="D31" s="22" t="str">
        <f>LEFT(Table4[[#This Row],[First_Name]],2)&amp;LEFT(Table4[[#This Row],[Last_Name]],2)&amp;ROW()</f>
        <v>DaWi31</v>
      </c>
    </row>
    <row r="32" spans="1:4" x14ac:dyDescent="0.25">
      <c r="A32" s="22" t="s">
        <v>105</v>
      </c>
      <c r="B32" s="22" t="str">
        <f>RIGHT(Table4[[#This Row],[Customer_Name]],LEN(Table4[[#This Row],[Customer_Name]])-FIND(",",Table4[[#This Row],[Customer_Name]])-1)</f>
        <v>Laura</v>
      </c>
      <c r="C32" s="22" t="str">
        <f>LEFT(Table4[[#This Row],[Customer_Name]],FIND(",",Table4[[#This Row],[Customer_Name]])-1)</f>
        <v>Miller</v>
      </c>
      <c r="D32" s="22" t="str">
        <f>LEFT(Table4[[#This Row],[First_Name]],2)&amp;LEFT(Table4[[#This Row],[Last_Name]],2)&amp;ROW()</f>
        <v>LaMi32</v>
      </c>
    </row>
    <row r="33" spans="1:4" x14ac:dyDescent="0.25">
      <c r="A33" s="22" t="s">
        <v>108</v>
      </c>
      <c r="B33" s="22" t="str">
        <f>RIGHT(Table4[[#This Row],[Customer_Name]],LEN(Table4[[#This Row],[Customer_Name]])-FIND(",",Table4[[#This Row],[Customer_Name]])-1)</f>
        <v>Sophia</v>
      </c>
      <c r="C33" s="22" t="str">
        <f>LEFT(Table4[[#This Row],[Customer_Name]],FIND(",",Table4[[#This Row],[Customer_Name]])-1)</f>
        <v>Garcia</v>
      </c>
      <c r="D33" s="22" t="str">
        <f>LEFT(Table4[[#This Row],[First_Name]],2)&amp;LEFT(Table4[[#This Row],[Last_Name]],2)&amp;ROW()</f>
        <v>SoGa33</v>
      </c>
    </row>
    <row r="34" spans="1:4" x14ac:dyDescent="0.25">
      <c r="A34" s="22" t="s">
        <v>110</v>
      </c>
      <c r="B34" s="22" t="str">
        <f>RIGHT(Table4[[#This Row],[Customer_Name]],LEN(Table4[[#This Row],[Customer_Name]])-FIND(",",Table4[[#This Row],[Customer_Name]])-1)</f>
        <v>Sophia</v>
      </c>
      <c r="C34" s="22" t="str">
        <f>LEFT(Table4[[#This Row],[Customer_Name]],FIND(",",Table4[[#This Row],[Customer_Name]])-1)</f>
        <v>Smith</v>
      </c>
      <c r="D34" s="22" t="str">
        <f>LEFT(Table4[[#This Row],[First_Name]],2)&amp;LEFT(Table4[[#This Row],[Last_Name]],2)&amp;ROW()</f>
        <v>SoSm34</v>
      </c>
    </row>
    <row r="35" spans="1:4" x14ac:dyDescent="0.25">
      <c r="A35" s="22" t="s">
        <v>34</v>
      </c>
      <c r="B35" s="22" t="str">
        <f>RIGHT(Table4[[#This Row],[Customer_Name]],LEN(Table4[[#This Row],[Customer_Name]])-FIND(",",Table4[[#This Row],[Customer_Name]])-1)</f>
        <v>Daniel</v>
      </c>
      <c r="C35" s="22" t="str">
        <f>LEFT(Table4[[#This Row],[Customer_Name]],FIND(",",Table4[[#This Row],[Customer_Name]])-1)</f>
        <v>Miller</v>
      </c>
      <c r="D35" s="22" t="str">
        <f>LEFT(Table4[[#This Row],[First_Name]],2)&amp;LEFT(Table4[[#This Row],[Last_Name]],2)&amp;ROW()</f>
        <v>DaMi35</v>
      </c>
    </row>
    <row r="36" spans="1:4" x14ac:dyDescent="0.25">
      <c r="A36" s="22" t="s">
        <v>113</v>
      </c>
      <c r="B36" s="22" t="str">
        <f>RIGHT(Table4[[#This Row],[Customer_Name]],LEN(Table4[[#This Row],[Customer_Name]])-FIND(",",Table4[[#This Row],[Customer_Name]])-1)</f>
        <v>John</v>
      </c>
      <c r="C36" s="22" t="str">
        <f>LEFT(Table4[[#This Row],[Customer_Name]],FIND(",",Table4[[#This Row],[Customer_Name]])-1)</f>
        <v>Hernandez</v>
      </c>
      <c r="D36" s="22" t="str">
        <f>LEFT(Table4[[#This Row],[First_Name]],2)&amp;LEFT(Table4[[#This Row],[Last_Name]],2)&amp;ROW()</f>
        <v>JoHe36</v>
      </c>
    </row>
    <row r="37" spans="1:4" x14ac:dyDescent="0.25">
      <c r="A37" s="22" t="s">
        <v>115</v>
      </c>
      <c r="B37" s="22" t="str">
        <f>RIGHT(Table4[[#This Row],[Customer_Name]],LEN(Table4[[#This Row],[Customer_Name]])-FIND(",",Table4[[#This Row],[Customer_Name]])-1)</f>
        <v>Laura</v>
      </c>
      <c r="C37" s="22" t="str">
        <f>LEFT(Table4[[#This Row],[Customer_Name]],FIND(",",Table4[[#This Row],[Customer_Name]])-1)</f>
        <v>Williams</v>
      </c>
      <c r="D37" s="22" t="str">
        <f>LEFT(Table4[[#This Row],[First_Name]],2)&amp;LEFT(Table4[[#This Row],[Last_Name]],2)&amp;ROW()</f>
        <v>LaWi37</v>
      </c>
    </row>
    <row r="38" spans="1:4" x14ac:dyDescent="0.25">
      <c r="A38" s="22" t="s">
        <v>117</v>
      </c>
      <c r="B38" s="22" t="str">
        <f>RIGHT(Table4[[#This Row],[Customer_Name]],LEN(Table4[[#This Row],[Customer_Name]])-FIND(",",Table4[[#This Row],[Customer_Name]])-1)</f>
        <v>David</v>
      </c>
      <c r="C38" s="22" t="str">
        <f>LEFT(Table4[[#This Row],[Customer_Name]],FIND(",",Table4[[#This Row],[Customer_Name]])-1)</f>
        <v>Miller</v>
      </c>
      <c r="D38" s="22" t="str">
        <f>LEFT(Table4[[#This Row],[First_Name]],2)&amp;LEFT(Table4[[#This Row],[Last_Name]],2)&amp;ROW()</f>
        <v>DaMi38</v>
      </c>
    </row>
    <row r="39" spans="1:4" x14ac:dyDescent="0.25">
      <c r="A39" s="22" t="s">
        <v>119</v>
      </c>
      <c r="B39" s="22" t="str">
        <f>RIGHT(Table4[[#This Row],[Customer_Name]],LEN(Table4[[#This Row],[Customer_Name]])-FIND(",",Table4[[#This Row],[Customer_Name]])-1)</f>
        <v>Michael</v>
      </c>
      <c r="C39" s="22" t="str">
        <f>LEFT(Table4[[#This Row],[Customer_Name]],FIND(",",Table4[[#This Row],[Customer_Name]])-1)</f>
        <v>Smith</v>
      </c>
      <c r="D39" s="22" t="str">
        <f>LEFT(Table4[[#This Row],[First_Name]],2)&amp;LEFT(Table4[[#This Row],[Last_Name]],2)&amp;ROW()</f>
        <v>MiSm39</v>
      </c>
    </row>
    <row r="40" spans="1:4" x14ac:dyDescent="0.25">
      <c r="A40" s="22" t="s">
        <v>121</v>
      </c>
      <c r="B40" s="22" t="str">
        <f>RIGHT(Table4[[#This Row],[Customer_Name]],LEN(Table4[[#This Row],[Customer_Name]])-FIND(",",Table4[[#This Row],[Customer_Name]])-1)</f>
        <v>Sarah</v>
      </c>
      <c r="C40" s="22" t="str">
        <f>LEFT(Table4[[#This Row],[Customer_Name]],FIND(",",Table4[[#This Row],[Customer_Name]])-1)</f>
        <v>Martinez</v>
      </c>
      <c r="D40" s="22" t="str">
        <f>LEFT(Table4[[#This Row],[First_Name]],2)&amp;LEFT(Table4[[#This Row],[Last_Name]],2)&amp;ROW()</f>
        <v>SaMa40</v>
      </c>
    </row>
    <row r="41" spans="1:4" x14ac:dyDescent="0.25">
      <c r="A41" s="22" t="s">
        <v>123</v>
      </c>
      <c r="B41" s="22" t="str">
        <f>RIGHT(Table4[[#This Row],[Customer_Name]],LEN(Table4[[#This Row],[Customer_Name]])-FIND(",",Table4[[#This Row],[Customer_Name]])-1)</f>
        <v>Emily</v>
      </c>
      <c r="C41" s="22" t="str">
        <f>LEFT(Table4[[#This Row],[Customer_Name]],FIND(",",Table4[[#This Row],[Customer_Name]])-1)</f>
        <v>Garcia</v>
      </c>
      <c r="D41" s="22" t="str">
        <f>LEFT(Table4[[#This Row],[First_Name]],2)&amp;LEFT(Table4[[#This Row],[Last_Name]],2)&amp;ROW()</f>
        <v>EmGa41</v>
      </c>
    </row>
    <row r="42" spans="1:4" x14ac:dyDescent="0.25">
      <c r="A42" s="22" t="s">
        <v>125</v>
      </c>
      <c r="B42" s="22" t="str">
        <f>RIGHT(Table4[[#This Row],[Customer_Name]],LEN(Table4[[#This Row],[Customer_Name]])-FIND(",",Table4[[#This Row],[Customer_Name]])-1)</f>
        <v>Emma</v>
      </c>
      <c r="C42" s="22" t="str">
        <f>LEFT(Table4[[#This Row],[Customer_Name]],FIND(",",Table4[[#This Row],[Customer_Name]])-1)</f>
        <v>Williams</v>
      </c>
      <c r="D42" s="22" t="str">
        <f>LEFT(Table4[[#This Row],[First_Name]],2)&amp;LEFT(Table4[[#This Row],[Last_Name]],2)&amp;ROW()</f>
        <v>EmWi42</v>
      </c>
    </row>
    <row r="43" spans="1:4" x14ac:dyDescent="0.25">
      <c r="A43" s="22" t="s">
        <v>71</v>
      </c>
      <c r="B43" s="22" t="str">
        <f>RIGHT(Table4[[#This Row],[Customer_Name]],LEN(Table4[[#This Row],[Customer_Name]])-FIND(",",Table4[[#This Row],[Customer_Name]])-1)</f>
        <v>Emma</v>
      </c>
      <c r="C43" s="22" t="str">
        <f>LEFT(Table4[[#This Row],[Customer_Name]],FIND(",",Table4[[#This Row],[Customer_Name]])-1)</f>
        <v>Smith</v>
      </c>
      <c r="D43" s="22" t="str">
        <f>LEFT(Table4[[#This Row],[First_Name]],2)&amp;LEFT(Table4[[#This Row],[Last_Name]],2)&amp;ROW()</f>
        <v>EmSm43</v>
      </c>
    </row>
    <row r="44" spans="1:4" x14ac:dyDescent="0.25">
      <c r="A44" s="22" t="s">
        <v>73</v>
      </c>
      <c r="B44" s="22" t="str">
        <f>RIGHT(Table4[[#This Row],[Customer_Name]],LEN(Table4[[#This Row],[Customer_Name]])-FIND(",",Table4[[#This Row],[Customer_Name]])-1)</f>
        <v>Sarah</v>
      </c>
      <c r="C44" s="22" t="str">
        <f>LEFT(Table4[[#This Row],[Customer_Name]],FIND(",",Table4[[#This Row],[Customer_Name]])-1)</f>
        <v>Davis</v>
      </c>
      <c r="D44" s="22" t="str">
        <f>LEFT(Table4[[#This Row],[First_Name]],2)&amp;LEFT(Table4[[#This Row],[Last_Name]],2)&amp;ROW()</f>
        <v>SaDa44</v>
      </c>
    </row>
    <row r="45" spans="1:4" x14ac:dyDescent="0.25">
      <c r="A45" s="22" t="s">
        <v>67</v>
      </c>
      <c r="B45" s="22" t="str">
        <f>RIGHT(Table4[[#This Row],[Customer_Name]],LEN(Table4[[#This Row],[Customer_Name]])-FIND(",",Table4[[#This Row],[Customer_Name]])-1)</f>
        <v>James</v>
      </c>
      <c r="C45" s="22" t="str">
        <f>LEFT(Table4[[#This Row],[Customer_Name]],FIND(",",Table4[[#This Row],[Customer_Name]])-1)</f>
        <v>Davis</v>
      </c>
      <c r="D45" s="22" t="str">
        <f>LEFT(Table4[[#This Row],[First_Name]],2)&amp;LEFT(Table4[[#This Row],[Last_Name]],2)&amp;ROW()</f>
        <v>JaDa45</v>
      </c>
    </row>
    <row r="46" spans="1:4" x14ac:dyDescent="0.25">
      <c r="A46" s="22" t="s">
        <v>115</v>
      </c>
      <c r="B46" s="22" t="str">
        <f>RIGHT(Table4[[#This Row],[Customer_Name]],LEN(Table4[[#This Row],[Customer_Name]])-FIND(",",Table4[[#This Row],[Customer_Name]])-1)</f>
        <v>Laura</v>
      </c>
      <c r="C46" s="22" t="str">
        <f>LEFT(Table4[[#This Row],[Customer_Name]],FIND(",",Table4[[#This Row],[Customer_Name]])-1)</f>
        <v>Williams</v>
      </c>
      <c r="D46" s="22" t="str">
        <f>LEFT(Table4[[#This Row],[First_Name]],2)&amp;LEFT(Table4[[#This Row],[Last_Name]],2)&amp;ROW()</f>
        <v>LaWi46</v>
      </c>
    </row>
    <row r="47" spans="1:4" x14ac:dyDescent="0.25">
      <c r="A47" s="22" t="s">
        <v>41</v>
      </c>
      <c r="B47" s="22" t="str">
        <f>RIGHT(Table4[[#This Row],[Customer_Name]],LEN(Table4[[#This Row],[Customer_Name]])-FIND(",",Table4[[#This Row],[Customer_Name]])-1)</f>
        <v>Emma</v>
      </c>
      <c r="C47" s="22" t="str">
        <f>LEFT(Table4[[#This Row],[Customer_Name]],FIND(",",Table4[[#This Row],[Customer_Name]])-1)</f>
        <v>Johnson</v>
      </c>
      <c r="D47" s="22" t="str">
        <f>LEFT(Table4[[#This Row],[First_Name]],2)&amp;LEFT(Table4[[#This Row],[Last_Name]],2)&amp;ROW()</f>
        <v>EmJo47</v>
      </c>
    </row>
    <row r="48" spans="1:4" x14ac:dyDescent="0.25">
      <c r="A48" s="22" t="s">
        <v>91</v>
      </c>
      <c r="B48" s="22" t="str">
        <f>RIGHT(Table4[[#This Row],[Customer_Name]],LEN(Table4[[#This Row],[Customer_Name]])-FIND(",",Table4[[#This Row],[Customer_Name]])-1)</f>
        <v>Sarah</v>
      </c>
      <c r="C48" s="22" t="str">
        <f>LEFT(Table4[[#This Row],[Customer_Name]],FIND(",",Table4[[#This Row],[Customer_Name]])-1)</f>
        <v>Johnson</v>
      </c>
      <c r="D48" s="22" t="str">
        <f>LEFT(Table4[[#This Row],[First_Name]],2)&amp;LEFT(Table4[[#This Row],[Last_Name]],2)&amp;ROW()</f>
        <v>SaJo48</v>
      </c>
    </row>
    <row r="49" spans="1:4" x14ac:dyDescent="0.25">
      <c r="A49" s="22" t="s">
        <v>135</v>
      </c>
      <c r="B49" s="22" t="str">
        <f>RIGHT(Table4[[#This Row],[Customer_Name]],LEN(Table4[[#This Row],[Customer_Name]])-FIND(",",Table4[[#This Row],[Customer_Name]])-1)</f>
        <v>Daniel</v>
      </c>
      <c r="C49" s="22" t="str">
        <f>LEFT(Table4[[#This Row],[Customer_Name]],FIND(",",Table4[[#This Row],[Customer_Name]])-1)</f>
        <v>Smith</v>
      </c>
      <c r="D49" s="22" t="str">
        <f>LEFT(Table4[[#This Row],[First_Name]],2)&amp;LEFT(Table4[[#This Row],[Last_Name]],2)&amp;ROW()</f>
        <v>DaSm49</v>
      </c>
    </row>
    <row r="50" spans="1:4" x14ac:dyDescent="0.25">
      <c r="A50" s="22" t="s">
        <v>137</v>
      </c>
      <c r="B50" s="22" t="str">
        <f>RIGHT(Table4[[#This Row],[Customer_Name]],LEN(Table4[[#This Row],[Customer_Name]])-FIND(",",Table4[[#This Row],[Customer_Name]])-1)</f>
        <v>David</v>
      </c>
      <c r="C50" s="22" t="str">
        <f>LEFT(Table4[[#This Row],[Customer_Name]],FIND(",",Table4[[#This Row],[Customer_Name]])-1)</f>
        <v>Jones</v>
      </c>
      <c r="D50" s="22" t="str">
        <f>LEFT(Table4[[#This Row],[First_Name]],2)&amp;LEFT(Table4[[#This Row],[Last_Name]],2)&amp;ROW()</f>
        <v>DaJo50</v>
      </c>
    </row>
    <row r="51" spans="1:4" x14ac:dyDescent="0.25">
      <c r="A51" s="22" t="s">
        <v>139</v>
      </c>
      <c r="B51" s="22" t="str">
        <f>RIGHT(Table4[[#This Row],[Customer_Name]],LEN(Table4[[#This Row],[Customer_Name]])-FIND(",",Table4[[#This Row],[Customer_Name]])-1)</f>
        <v>Sarah</v>
      </c>
      <c r="C51" s="22" t="str">
        <f>LEFT(Table4[[#This Row],[Customer_Name]],FIND(",",Table4[[#This Row],[Customer_Name]])-1)</f>
        <v>Brown</v>
      </c>
      <c r="D51" s="22" t="str">
        <f>LEFT(Table4[[#This Row],[First_Name]],2)&amp;LEFT(Table4[[#This Row],[Last_Name]],2)&amp;ROW()</f>
        <v>SaBr51</v>
      </c>
    </row>
    <row r="52" spans="1:4" x14ac:dyDescent="0.25">
      <c r="A52" s="22" t="s">
        <v>119</v>
      </c>
      <c r="B52" s="22" t="str">
        <f>RIGHT(Table4[[#This Row],[Customer_Name]],LEN(Table4[[#This Row],[Customer_Name]])-FIND(",",Table4[[#This Row],[Customer_Name]])-1)</f>
        <v>Michael</v>
      </c>
      <c r="C52" s="22" t="str">
        <f>LEFT(Table4[[#This Row],[Customer_Name]],FIND(",",Table4[[#This Row],[Customer_Name]])-1)</f>
        <v>Smith</v>
      </c>
      <c r="D52" s="22" t="str">
        <f>LEFT(Table4[[#This Row],[First_Name]],2)&amp;LEFT(Table4[[#This Row],[Last_Name]],2)&amp;ROW()</f>
        <v>MiSm52</v>
      </c>
    </row>
    <row r="53" spans="1:4" x14ac:dyDescent="0.25">
      <c r="A53" s="22" t="s">
        <v>142</v>
      </c>
      <c r="B53" s="22" t="str">
        <f>RIGHT(Table4[[#This Row],[Customer_Name]],LEN(Table4[[#This Row],[Customer_Name]])-FIND(",",Table4[[#This Row],[Customer_Name]])-1)</f>
        <v>Emma</v>
      </c>
      <c r="C53" s="22" t="str">
        <f>LEFT(Table4[[#This Row],[Customer_Name]],FIND(",",Table4[[#This Row],[Customer_Name]])-1)</f>
        <v>Martinez</v>
      </c>
      <c r="D53" s="22" t="str">
        <f>LEFT(Table4[[#This Row],[First_Name]],2)&amp;LEFT(Table4[[#This Row],[Last_Name]],2)&amp;ROW()</f>
        <v>EmMa53</v>
      </c>
    </row>
    <row r="54" spans="1:4" x14ac:dyDescent="0.25">
      <c r="A54" s="22" t="s">
        <v>67</v>
      </c>
      <c r="B54" s="22" t="str">
        <f>RIGHT(Table4[[#This Row],[Customer_Name]],LEN(Table4[[#This Row],[Customer_Name]])-FIND(",",Table4[[#This Row],[Customer_Name]])-1)</f>
        <v>James</v>
      </c>
      <c r="C54" s="22" t="str">
        <f>LEFT(Table4[[#This Row],[Customer_Name]],FIND(",",Table4[[#This Row],[Customer_Name]])-1)</f>
        <v>Davis</v>
      </c>
      <c r="D54" s="22" t="str">
        <f>LEFT(Table4[[#This Row],[First_Name]],2)&amp;LEFT(Table4[[#This Row],[Last_Name]],2)&amp;ROW()</f>
        <v>JaDa54</v>
      </c>
    </row>
    <row r="55" spans="1:4" x14ac:dyDescent="0.25">
      <c r="A55" s="22" t="s">
        <v>145</v>
      </c>
      <c r="B55" s="22" t="str">
        <f>RIGHT(Table4[[#This Row],[Customer_Name]],LEN(Table4[[#This Row],[Customer_Name]])-FIND(",",Table4[[#This Row],[Customer_Name]])-1)</f>
        <v>Daniel</v>
      </c>
      <c r="C55" s="22" t="str">
        <f>LEFT(Table4[[#This Row],[Customer_Name]],FIND(",",Table4[[#This Row],[Customer_Name]])-1)</f>
        <v>Johnson</v>
      </c>
      <c r="D55" s="22" t="str">
        <f>LEFT(Table4[[#This Row],[First_Name]],2)&amp;LEFT(Table4[[#This Row],[Last_Name]],2)&amp;ROW()</f>
        <v>DaJo55</v>
      </c>
    </row>
    <row r="56" spans="1:4" x14ac:dyDescent="0.25">
      <c r="A56" s="22" t="s">
        <v>147</v>
      </c>
      <c r="B56" s="22" t="str">
        <f>RIGHT(Table4[[#This Row],[Customer_Name]],LEN(Table4[[#This Row],[Customer_Name]])-FIND(",",Table4[[#This Row],[Customer_Name]])-1)</f>
        <v>Sophia</v>
      </c>
      <c r="C56" s="22" t="str">
        <f>LEFT(Table4[[#This Row],[Customer_Name]],FIND(",",Table4[[#This Row],[Customer_Name]])-1)</f>
        <v>Jones</v>
      </c>
      <c r="D56" s="22" t="str">
        <f>LEFT(Table4[[#This Row],[First_Name]],2)&amp;LEFT(Table4[[#This Row],[Last_Name]],2)&amp;ROW()</f>
        <v>SoJo56</v>
      </c>
    </row>
    <row r="57" spans="1:4" x14ac:dyDescent="0.25">
      <c r="A57" s="22" t="s">
        <v>149</v>
      </c>
      <c r="B57" s="22" t="str">
        <f>RIGHT(Table4[[#This Row],[Customer_Name]],LEN(Table4[[#This Row],[Customer_Name]])-FIND(",",Table4[[#This Row],[Customer_Name]])-1)</f>
        <v>Sarah</v>
      </c>
      <c r="C57" s="22" t="str">
        <f>LEFT(Table4[[#This Row],[Customer_Name]],FIND(",",Table4[[#This Row],[Customer_Name]])-1)</f>
        <v>Garcia</v>
      </c>
      <c r="D57" s="22" t="str">
        <f>LEFT(Table4[[#This Row],[First_Name]],2)&amp;LEFT(Table4[[#This Row],[Last_Name]],2)&amp;ROW()</f>
        <v>SaGa57</v>
      </c>
    </row>
    <row r="58" spans="1:4" x14ac:dyDescent="0.25">
      <c r="A58" s="22" t="s">
        <v>67</v>
      </c>
      <c r="B58" s="22" t="str">
        <f>RIGHT(Table4[[#This Row],[Customer_Name]],LEN(Table4[[#This Row],[Customer_Name]])-FIND(",",Table4[[#This Row],[Customer_Name]])-1)</f>
        <v>James</v>
      </c>
      <c r="C58" s="22" t="str">
        <f>LEFT(Table4[[#This Row],[Customer_Name]],FIND(",",Table4[[#This Row],[Customer_Name]])-1)</f>
        <v>Davis</v>
      </c>
      <c r="D58" s="22" t="str">
        <f>LEFT(Table4[[#This Row],[First_Name]],2)&amp;LEFT(Table4[[#This Row],[Last_Name]],2)&amp;ROW()</f>
        <v>JaDa58</v>
      </c>
    </row>
    <row r="59" spans="1:4" x14ac:dyDescent="0.25">
      <c r="A59" s="22" t="s">
        <v>149</v>
      </c>
      <c r="B59" s="22" t="str">
        <f>RIGHT(Table4[[#This Row],[Customer_Name]],LEN(Table4[[#This Row],[Customer_Name]])-FIND(",",Table4[[#This Row],[Customer_Name]])-1)</f>
        <v>Sarah</v>
      </c>
      <c r="C59" s="22" t="str">
        <f>LEFT(Table4[[#This Row],[Customer_Name]],FIND(",",Table4[[#This Row],[Customer_Name]])-1)</f>
        <v>Garcia</v>
      </c>
      <c r="D59" s="22" t="str">
        <f>LEFT(Table4[[#This Row],[First_Name]],2)&amp;LEFT(Table4[[#This Row],[Last_Name]],2)&amp;ROW()</f>
        <v>SaGa59</v>
      </c>
    </row>
    <row r="60" spans="1:4" x14ac:dyDescent="0.25">
      <c r="A60" s="22" t="s">
        <v>154</v>
      </c>
      <c r="B60" s="22" t="str">
        <f>RIGHT(Table4[[#This Row],[Customer_Name]],LEN(Table4[[#This Row],[Customer_Name]])-FIND(",",Table4[[#This Row],[Customer_Name]])-1)</f>
        <v>Michael</v>
      </c>
      <c r="C60" s="22" t="str">
        <f>LEFT(Table4[[#This Row],[Customer_Name]],FIND(",",Table4[[#This Row],[Customer_Name]])-1)</f>
        <v>Williams</v>
      </c>
      <c r="D60" s="22" t="str">
        <f>LEFT(Table4[[#This Row],[First_Name]],2)&amp;LEFT(Table4[[#This Row],[Last_Name]],2)&amp;ROW()</f>
        <v>MiWi60</v>
      </c>
    </row>
    <row r="61" spans="1:4" x14ac:dyDescent="0.25">
      <c r="A61" s="22" t="s">
        <v>156</v>
      </c>
      <c r="B61" s="22" t="str">
        <f>RIGHT(Table4[[#This Row],[Customer_Name]],LEN(Table4[[#This Row],[Customer_Name]])-FIND(",",Table4[[#This Row],[Customer_Name]])-1)</f>
        <v>James</v>
      </c>
      <c r="C61" s="22" t="str">
        <f>LEFT(Table4[[#This Row],[Customer_Name]],FIND(",",Table4[[#This Row],[Customer_Name]])-1)</f>
        <v>Hernandez</v>
      </c>
      <c r="D61" s="22" t="str">
        <f>LEFT(Table4[[#This Row],[First_Name]],2)&amp;LEFT(Table4[[#This Row],[Last_Name]],2)&amp;ROW()</f>
        <v>JaHe61</v>
      </c>
    </row>
    <row r="62" spans="1:4" x14ac:dyDescent="0.25">
      <c r="A62" s="22" t="s">
        <v>158</v>
      </c>
      <c r="B62" s="22" t="str">
        <f>RIGHT(Table4[[#This Row],[Customer_Name]],LEN(Table4[[#This Row],[Customer_Name]])-FIND(",",Table4[[#This Row],[Customer_Name]])-1)</f>
        <v>Sarah</v>
      </c>
      <c r="C62" s="22" t="str">
        <f>LEFT(Table4[[#This Row],[Customer_Name]],FIND(",",Table4[[#This Row],[Customer_Name]])-1)</f>
        <v>Williams</v>
      </c>
      <c r="D62" s="22" t="str">
        <f>LEFT(Table4[[#This Row],[First_Name]],2)&amp;LEFT(Table4[[#This Row],[Last_Name]],2)&amp;ROW()</f>
        <v>SaWi62</v>
      </c>
    </row>
    <row r="63" spans="1:4" x14ac:dyDescent="0.25">
      <c r="A63" s="22" t="s">
        <v>91</v>
      </c>
      <c r="B63" s="22" t="str">
        <f>RIGHT(Table4[[#This Row],[Customer_Name]],LEN(Table4[[#This Row],[Customer_Name]])-FIND(",",Table4[[#This Row],[Customer_Name]])-1)</f>
        <v>Sarah</v>
      </c>
      <c r="C63" s="22" t="str">
        <f>LEFT(Table4[[#This Row],[Customer_Name]],FIND(",",Table4[[#This Row],[Customer_Name]])-1)</f>
        <v>Johnson</v>
      </c>
      <c r="D63" s="22" t="str">
        <f>LEFT(Table4[[#This Row],[First_Name]],2)&amp;LEFT(Table4[[#This Row],[Last_Name]],2)&amp;ROW()</f>
        <v>SaJo63</v>
      </c>
    </row>
    <row r="64" spans="1:4" x14ac:dyDescent="0.25">
      <c r="A64" s="22" t="s">
        <v>161</v>
      </c>
      <c r="B64" s="22" t="str">
        <f>RIGHT(Table4[[#This Row],[Customer_Name]],LEN(Table4[[#This Row],[Customer_Name]])-FIND(",",Table4[[#This Row],[Customer_Name]])-1)</f>
        <v>Emily</v>
      </c>
      <c r="C64" s="22" t="str">
        <f>LEFT(Table4[[#This Row],[Customer_Name]],FIND(",",Table4[[#This Row],[Customer_Name]])-1)</f>
        <v>Williams</v>
      </c>
      <c r="D64" s="22" t="str">
        <f>LEFT(Table4[[#This Row],[First_Name]],2)&amp;LEFT(Table4[[#This Row],[Last_Name]],2)&amp;ROW()</f>
        <v>EmWi64</v>
      </c>
    </row>
    <row r="65" spans="1:4" x14ac:dyDescent="0.25">
      <c r="A65" s="22" t="s">
        <v>145</v>
      </c>
      <c r="B65" s="22" t="str">
        <f>RIGHT(Table4[[#This Row],[Customer_Name]],LEN(Table4[[#This Row],[Customer_Name]])-FIND(",",Table4[[#This Row],[Customer_Name]])-1)</f>
        <v>Daniel</v>
      </c>
      <c r="C65" s="22" t="str">
        <f>LEFT(Table4[[#This Row],[Customer_Name]],FIND(",",Table4[[#This Row],[Customer_Name]])-1)</f>
        <v>Johnson</v>
      </c>
      <c r="D65" s="22" t="str">
        <f>LEFT(Table4[[#This Row],[First_Name]],2)&amp;LEFT(Table4[[#This Row],[Last_Name]],2)&amp;ROW()</f>
        <v>DaJo65</v>
      </c>
    </row>
    <row r="66" spans="1:4" x14ac:dyDescent="0.25">
      <c r="A66" s="22" t="s">
        <v>147</v>
      </c>
      <c r="B66" s="22" t="str">
        <f>RIGHT(Table4[[#This Row],[Customer_Name]],LEN(Table4[[#This Row],[Customer_Name]])-FIND(",",Table4[[#This Row],[Customer_Name]])-1)</f>
        <v>Sophia</v>
      </c>
      <c r="C66" s="22" t="str">
        <f>LEFT(Table4[[#This Row],[Customer_Name]],FIND(",",Table4[[#This Row],[Customer_Name]])-1)</f>
        <v>Jones</v>
      </c>
      <c r="D66" s="22" t="str">
        <f>LEFT(Table4[[#This Row],[First_Name]],2)&amp;LEFT(Table4[[#This Row],[Last_Name]],2)&amp;ROW()</f>
        <v>SoJo66</v>
      </c>
    </row>
    <row r="67" spans="1:4" x14ac:dyDescent="0.25">
      <c r="A67" s="22" t="s">
        <v>50</v>
      </c>
      <c r="B67" s="22" t="str">
        <f>RIGHT(Table4[[#This Row],[Customer_Name]],LEN(Table4[[#This Row],[Customer_Name]])-FIND(",",Table4[[#This Row],[Customer_Name]])-1)</f>
        <v>Emma</v>
      </c>
      <c r="C67" s="22" t="str">
        <f>LEFT(Table4[[#This Row],[Customer_Name]],FIND(",",Table4[[#This Row],[Customer_Name]])-1)</f>
        <v>Hernandez</v>
      </c>
      <c r="D67" s="22" t="str">
        <f>LEFT(Table4[[#This Row],[First_Name]],2)&amp;LEFT(Table4[[#This Row],[Last_Name]],2)&amp;ROW()</f>
        <v>EmHe67</v>
      </c>
    </row>
    <row r="68" spans="1:4" x14ac:dyDescent="0.25">
      <c r="A68" s="22" t="s">
        <v>166</v>
      </c>
      <c r="B68" s="22" t="str">
        <f>RIGHT(Table4[[#This Row],[Customer_Name]],LEN(Table4[[#This Row],[Customer_Name]])-FIND(",",Table4[[#This Row],[Customer_Name]])-1)</f>
        <v>Daniel</v>
      </c>
      <c r="C68" s="22" t="str">
        <f>LEFT(Table4[[#This Row],[Customer_Name]],FIND(",",Table4[[#This Row],[Customer_Name]])-1)</f>
        <v>Brown</v>
      </c>
      <c r="D68" s="22" t="str">
        <f>LEFT(Table4[[#This Row],[First_Name]],2)&amp;LEFT(Table4[[#This Row],[Last_Name]],2)&amp;ROW()</f>
        <v>DaBr68</v>
      </c>
    </row>
    <row r="69" spans="1:4" x14ac:dyDescent="0.25">
      <c r="A69" s="22" t="s">
        <v>168</v>
      </c>
      <c r="B69" s="22" t="str">
        <f>RIGHT(Table4[[#This Row],[Customer_Name]],LEN(Table4[[#This Row],[Customer_Name]])-FIND(",",Table4[[#This Row],[Customer_Name]])-1)</f>
        <v>Daniel</v>
      </c>
      <c r="C69" s="22" t="str">
        <f>LEFT(Table4[[#This Row],[Customer_Name]],FIND(",",Table4[[#This Row],[Customer_Name]])-1)</f>
        <v>Martinez</v>
      </c>
      <c r="D69" s="22" t="str">
        <f>LEFT(Table4[[#This Row],[First_Name]],2)&amp;LEFT(Table4[[#This Row],[Last_Name]],2)&amp;ROW()</f>
        <v>DaMa69</v>
      </c>
    </row>
    <row r="70" spans="1:4" x14ac:dyDescent="0.25">
      <c r="A70" s="22" t="s">
        <v>170</v>
      </c>
      <c r="B70" s="22" t="str">
        <f>RIGHT(Table4[[#This Row],[Customer_Name]],LEN(Table4[[#This Row],[Customer_Name]])-FIND(",",Table4[[#This Row],[Customer_Name]])-1)</f>
        <v>Michael</v>
      </c>
      <c r="C70" s="22" t="str">
        <f>LEFT(Table4[[#This Row],[Customer_Name]],FIND(",",Table4[[#This Row],[Customer_Name]])-1)</f>
        <v>Jones</v>
      </c>
      <c r="D70" s="22" t="str">
        <f>LEFT(Table4[[#This Row],[First_Name]],2)&amp;LEFT(Table4[[#This Row],[Last_Name]],2)&amp;ROW()</f>
        <v>MiJo70</v>
      </c>
    </row>
    <row r="71" spans="1:4" x14ac:dyDescent="0.25">
      <c r="A71" s="22" t="s">
        <v>93</v>
      </c>
      <c r="B71" s="22" t="str">
        <f>RIGHT(Table4[[#This Row],[Customer_Name]],LEN(Table4[[#This Row],[Customer_Name]])-FIND(",",Table4[[#This Row],[Customer_Name]])-1)</f>
        <v>Sophia</v>
      </c>
      <c r="C71" s="22" t="str">
        <f>LEFT(Table4[[#This Row],[Customer_Name]],FIND(",",Table4[[#This Row],[Customer_Name]])-1)</f>
        <v>Hernandez</v>
      </c>
      <c r="D71" s="22" t="str">
        <f>LEFT(Table4[[#This Row],[First_Name]],2)&amp;LEFT(Table4[[#This Row],[Last_Name]],2)&amp;ROW()</f>
        <v>SoHe71</v>
      </c>
    </row>
    <row r="72" spans="1:4" x14ac:dyDescent="0.25">
      <c r="A72" s="22" t="s">
        <v>173</v>
      </c>
      <c r="B72" s="22" t="str">
        <f>RIGHT(Table4[[#This Row],[Customer_Name]],LEN(Table4[[#This Row],[Customer_Name]])-FIND(",",Table4[[#This Row],[Customer_Name]])-1)</f>
        <v>Michael</v>
      </c>
      <c r="C72" s="22" t="str">
        <f>LEFT(Table4[[#This Row],[Customer_Name]],FIND(",",Table4[[#This Row],[Customer_Name]])-1)</f>
        <v>Garcia</v>
      </c>
      <c r="D72" s="22" t="str">
        <f>LEFT(Table4[[#This Row],[First_Name]],2)&amp;LEFT(Table4[[#This Row],[Last_Name]],2)&amp;ROW()</f>
        <v>MiGa72</v>
      </c>
    </row>
    <row r="73" spans="1:4" x14ac:dyDescent="0.25">
      <c r="A73" s="22" t="s">
        <v>91</v>
      </c>
      <c r="B73" s="22" t="str">
        <f>RIGHT(Table4[[#This Row],[Customer_Name]],LEN(Table4[[#This Row],[Customer_Name]])-FIND(",",Table4[[#This Row],[Customer_Name]])-1)</f>
        <v>Sarah</v>
      </c>
      <c r="C73" s="22" t="str">
        <f>LEFT(Table4[[#This Row],[Customer_Name]],FIND(",",Table4[[#This Row],[Customer_Name]])-1)</f>
        <v>Johnson</v>
      </c>
      <c r="D73" s="22" t="str">
        <f>LEFT(Table4[[#This Row],[First_Name]],2)&amp;LEFT(Table4[[#This Row],[Last_Name]],2)&amp;ROW()</f>
        <v>SaJo73</v>
      </c>
    </row>
    <row r="74" spans="1:4" x14ac:dyDescent="0.25">
      <c r="A74" s="22" t="s">
        <v>176</v>
      </c>
      <c r="B74" s="22" t="str">
        <f>RIGHT(Table4[[#This Row],[Customer_Name]],LEN(Table4[[#This Row],[Customer_Name]])-FIND(",",Table4[[#This Row],[Customer_Name]])-1)</f>
        <v>David</v>
      </c>
      <c r="C74" s="22" t="str">
        <f>LEFT(Table4[[#This Row],[Customer_Name]],FIND(",",Table4[[#This Row],[Customer_Name]])-1)</f>
        <v>Smith</v>
      </c>
      <c r="D74" s="22" t="str">
        <f>LEFT(Table4[[#This Row],[First_Name]],2)&amp;LEFT(Table4[[#This Row],[Last_Name]],2)&amp;ROW()</f>
        <v>DaSm74</v>
      </c>
    </row>
    <row r="75" spans="1:4" x14ac:dyDescent="0.25">
      <c r="A75" s="22" t="s">
        <v>179</v>
      </c>
      <c r="B75" s="22" t="str">
        <f>RIGHT(Table4[[#This Row],[Customer_Name]],LEN(Table4[[#This Row],[Customer_Name]])-FIND(",",Table4[[#This Row],[Customer_Name]])-1)</f>
        <v>Sophia</v>
      </c>
      <c r="C75" s="22" t="str">
        <f>LEFT(Table4[[#This Row],[Customer_Name]],FIND(",",Table4[[#This Row],[Customer_Name]])-1)</f>
        <v>Miller</v>
      </c>
      <c r="D75" s="22" t="str">
        <f>LEFT(Table4[[#This Row],[First_Name]],2)&amp;LEFT(Table4[[#This Row],[Last_Name]],2)&amp;ROW()</f>
        <v>SoMi75</v>
      </c>
    </row>
    <row r="76" spans="1:4" x14ac:dyDescent="0.25">
      <c r="A76" s="22" t="s">
        <v>181</v>
      </c>
      <c r="B76" s="22" t="str">
        <f>RIGHT(Table4[[#This Row],[Customer_Name]],LEN(Table4[[#This Row],[Customer_Name]])-FIND(",",Table4[[#This Row],[Customer_Name]])-1)</f>
        <v>Laura</v>
      </c>
      <c r="C76" s="22" t="str">
        <f>LEFT(Table4[[#This Row],[Customer_Name]],FIND(",",Table4[[#This Row],[Customer_Name]])-1)</f>
        <v>Garcia</v>
      </c>
      <c r="D76" s="22" t="str">
        <f>LEFT(Table4[[#This Row],[First_Name]],2)&amp;LEFT(Table4[[#This Row],[Last_Name]],2)&amp;ROW()</f>
        <v>LaGa76</v>
      </c>
    </row>
    <row r="77" spans="1:4" x14ac:dyDescent="0.25">
      <c r="A77" s="22" t="s">
        <v>183</v>
      </c>
      <c r="B77" s="22" t="str">
        <f>RIGHT(Table4[[#This Row],[Customer_Name]],LEN(Table4[[#This Row],[Customer_Name]])-FIND(",",Table4[[#This Row],[Customer_Name]])-1)</f>
        <v>Michael</v>
      </c>
      <c r="C77" s="22" t="str">
        <f>LEFT(Table4[[#This Row],[Customer_Name]],FIND(",",Table4[[#This Row],[Customer_Name]])-1)</f>
        <v>Davis</v>
      </c>
      <c r="D77" s="22" t="str">
        <f>LEFT(Table4[[#This Row],[First_Name]],2)&amp;LEFT(Table4[[#This Row],[Last_Name]],2)&amp;ROW()</f>
        <v>MiDa77</v>
      </c>
    </row>
    <row r="78" spans="1:4" x14ac:dyDescent="0.25">
      <c r="A78" s="22" t="s">
        <v>183</v>
      </c>
      <c r="B78" s="22" t="str">
        <f>RIGHT(Table4[[#This Row],[Customer_Name]],LEN(Table4[[#This Row],[Customer_Name]])-FIND(",",Table4[[#This Row],[Customer_Name]])-1)</f>
        <v>Michael</v>
      </c>
      <c r="C78" s="22" t="str">
        <f>LEFT(Table4[[#This Row],[Customer_Name]],FIND(",",Table4[[#This Row],[Customer_Name]])-1)</f>
        <v>Davis</v>
      </c>
      <c r="D78" s="22" t="str">
        <f>LEFT(Table4[[#This Row],[First_Name]],2)&amp;LEFT(Table4[[#This Row],[Last_Name]],2)&amp;ROW()</f>
        <v>MiDa78</v>
      </c>
    </row>
    <row r="79" spans="1:4" x14ac:dyDescent="0.25">
      <c r="A79" s="22" t="s">
        <v>181</v>
      </c>
      <c r="B79" s="22" t="str">
        <f>RIGHT(Table4[[#This Row],[Customer_Name]],LEN(Table4[[#This Row],[Customer_Name]])-FIND(",",Table4[[#This Row],[Customer_Name]])-1)</f>
        <v>Laura</v>
      </c>
      <c r="C79" s="22" t="str">
        <f>LEFT(Table4[[#This Row],[Customer_Name]],FIND(",",Table4[[#This Row],[Customer_Name]])-1)</f>
        <v>Garcia</v>
      </c>
      <c r="D79" s="22" t="str">
        <f>LEFT(Table4[[#This Row],[First_Name]],2)&amp;LEFT(Table4[[#This Row],[Last_Name]],2)&amp;ROW()</f>
        <v>LaGa79</v>
      </c>
    </row>
    <row r="80" spans="1:4" x14ac:dyDescent="0.25">
      <c r="A80" s="22" t="s">
        <v>179</v>
      </c>
      <c r="B80" s="22" t="str">
        <f>RIGHT(Table4[[#This Row],[Customer_Name]],LEN(Table4[[#This Row],[Customer_Name]])-FIND(",",Table4[[#This Row],[Customer_Name]])-1)</f>
        <v>Sophia</v>
      </c>
      <c r="C80" s="22" t="str">
        <f>LEFT(Table4[[#This Row],[Customer_Name]],FIND(",",Table4[[#This Row],[Customer_Name]])-1)</f>
        <v>Miller</v>
      </c>
      <c r="D80" s="22" t="str">
        <f>LEFT(Table4[[#This Row],[First_Name]],2)&amp;LEFT(Table4[[#This Row],[Last_Name]],2)&amp;ROW()</f>
        <v>SoMi80</v>
      </c>
    </row>
    <row r="81" spans="1:4" x14ac:dyDescent="0.25">
      <c r="A81" s="22" t="s">
        <v>23</v>
      </c>
      <c r="B81" s="22" t="str">
        <f>RIGHT(Table4[[#This Row],[Customer_Name]],LEN(Table4[[#This Row],[Customer_Name]])-FIND(",",Table4[[#This Row],[Customer_Name]])-1)</f>
        <v>Laura</v>
      </c>
      <c r="C81" s="22" t="str">
        <f>LEFT(Table4[[#This Row],[Customer_Name]],FIND(",",Table4[[#This Row],[Customer_Name]])-1)</f>
        <v>Brown</v>
      </c>
      <c r="D81" s="22" t="str">
        <f>LEFT(Table4[[#This Row],[First_Name]],2)&amp;LEFT(Table4[[#This Row],[Last_Name]],2)&amp;ROW()</f>
        <v>LaBr81</v>
      </c>
    </row>
    <row r="82" spans="1:4" x14ac:dyDescent="0.25">
      <c r="A82" s="22" t="s">
        <v>189</v>
      </c>
      <c r="B82" s="22" t="str">
        <f>RIGHT(Table4[[#This Row],[Customer_Name]],LEN(Table4[[#This Row],[Customer_Name]])-FIND(",",Table4[[#This Row],[Customer_Name]])-1)</f>
        <v>Emma</v>
      </c>
      <c r="C82" s="22" t="str">
        <f>LEFT(Table4[[#This Row],[Customer_Name]],FIND(",",Table4[[#This Row],[Customer_Name]])-1)</f>
        <v>Davis</v>
      </c>
      <c r="D82" s="22" t="str">
        <f>LEFT(Table4[[#This Row],[First_Name]],2)&amp;LEFT(Table4[[#This Row],[Last_Name]],2)&amp;ROW()</f>
        <v>EmDa82</v>
      </c>
    </row>
    <row r="83" spans="1:4" x14ac:dyDescent="0.25">
      <c r="A83" s="22" t="s">
        <v>119</v>
      </c>
      <c r="B83" s="22" t="str">
        <f>RIGHT(Table4[[#This Row],[Customer_Name]],LEN(Table4[[#This Row],[Customer_Name]])-FIND(",",Table4[[#This Row],[Customer_Name]])-1)</f>
        <v>Michael</v>
      </c>
      <c r="C83" s="22" t="str">
        <f>LEFT(Table4[[#This Row],[Customer_Name]],FIND(",",Table4[[#This Row],[Customer_Name]])-1)</f>
        <v>Smith</v>
      </c>
      <c r="D83" s="22" t="str">
        <f>LEFT(Table4[[#This Row],[First_Name]],2)&amp;LEFT(Table4[[#This Row],[Last_Name]],2)&amp;ROW()</f>
        <v>MiSm83</v>
      </c>
    </row>
    <row r="84" spans="1:4" x14ac:dyDescent="0.25">
      <c r="A84" s="22" t="s">
        <v>89</v>
      </c>
      <c r="B84" s="22" t="str">
        <f>RIGHT(Table4[[#This Row],[Customer_Name]],LEN(Table4[[#This Row],[Customer_Name]])-FIND(",",Table4[[#This Row],[Customer_Name]])-1)</f>
        <v>David</v>
      </c>
      <c r="C84" s="22" t="str">
        <f>LEFT(Table4[[#This Row],[Customer_Name]],FIND(",",Table4[[#This Row],[Customer_Name]])-1)</f>
        <v>Davis</v>
      </c>
      <c r="D84" s="22" t="str">
        <f>LEFT(Table4[[#This Row],[First_Name]],2)&amp;LEFT(Table4[[#This Row],[Last_Name]],2)&amp;ROW()</f>
        <v>DaDa84</v>
      </c>
    </row>
    <row r="85" spans="1:4" x14ac:dyDescent="0.25">
      <c r="A85" s="22" t="s">
        <v>193</v>
      </c>
      <c r="B85" s="22" t="str">
        <f>RIGHT(Table4[[#This Row],[Customer_Name]],LEN(Table4[[#This Row],[Customer_Name]])-FIND(",",Table4[[#This Row],[Customer_Name]])-1)</f>
        <v>Laura</v>
      </c>
      <c r="C85" s="22" t="str">
        <f>LEFT(Table4[[#This Row],[Customer_Name]],FIND(",",Table4[[#This Row],[Customer_Name]])-1)</f>
        <v>Hernandez</v>
      </c>
      <c r="D85" s="22" t="str">
        <f>LEFT(Table4[[#This Row],[First_Name]],2)&amp;LEFT(Table4[[#This Row],[Last_Name]],2)&amp;ROW()</f>
        <v>LaHe85</v>
      </c>
    </row>
    <row r="86" spans="1:4" x14ac:dyDescent="0.25">
      <c r="A86" s="22" t="s">
        <v>193</v>
      </c>
      <c r="B86" s="22" t="str">
        <f>RIGHT(Table4[[#This Row],[Customer_Name]],LEN(Table4[[#This Row],[Customer_Name]])-FIND(",",Table4[[#This Row],[Customer_Name]])-1)</f>
        <v>Laura</v>
      </c>
      <c r="C86" s="22" t="str">
        <f>LEFT(Table4[[#This Row],[Customer_Name]],FIND(",",Table4[[#This Row],[Customer_Name]])-1)</f>
        <v>Hernandez</v>
      </c>
      <c r="D86" s="22" t="str">
        <f>LEFT(Table4[[#This Row],[First_Name]],2)&amp;LEFT(Table4[[#This Row],[Last_Name]],2)&amp;ROW()</f>
        <v>LaHe86</v>
      </c>
    </row>
    <row r="87" spans="1:4" x14ac:dyDescent="0.25">
      <c r="A87" s="22" t="s">
        <v>135</v>
      </c>
      <c r="B87" s="22" t="str">
        <f>RIGHT(Table4[[#This Row],[Customer_Name]],LEN(Table4[[#This Row],[Customer_Name]])-FIND(",",Table4[[#This Row],[Customer_Name]])-1)</f>
        <v>Daniel</v>
      </c>
      <c r="C87" s="22" t="str">
        <f>LEFT(Table4[[#This Row],[Customer_Name]],FIND(",",Table4[[#This Row],[Customer_Name]])-1)</f>
        <v>Smith</v>
      </c>
      <c r="D87" s="22" t="str">
        <f>LEFT(Table4[[#This Row],[First_Name]],2)&amp;LEFT(Table4[[#This Row],[Last_Name]],2)&amp;ROW()</f>
        <v>DaSm87</v>
      </c>
    </row>
    <row r="88" spans="1:4" x14ac:dyDescent="0.25">
      <c r="A88" s="22" t="s">
        <v>108</v>
      </c>
      <c r="B88" s="22" t="str">
        <f>RIGHT(Table4[[#This Row],[Customer_Name]],LEN(Table4[[#This Row],[Customer_Name]])-FIND(",",Table4[[#This Row],[Customer_Name]])-1)</f>
        <v>Sophia</v>
      </c>
      <c r="C88" s="22" t="str">
        <f>LEFT(Table4[[#This Row],[Customer_Name]],FIND(",",Table4[[#This Row],[Customer_Name]])-1)</f>
        <v>Garcia</v>
      </c>
      <c r="D88" s="22" t="str">
        <f>LEFT(Table4[[#This Row],[First_Name]],2)&amp;LEFT(Table4[[#This Row],[Last_Name]],2)&amp;ROW()</f>
        <v>SoGa88</v>
      </c>
    </row>
    <row r="89" spans="1:4" x14ac:dyDescent="0.25">
      <c r="A89" s="22" t="s">
        <v>139</v>
      </c>
      <c r="B89" s="22" t="str">
        <f>RIGHT(Table4[[#This Row],[Customer_Name]],LEN(Table4[[#This Row],[Customer_Name]])-FIND(",",Table4[[#This Row],[Customer_Name]])-1)</f>
        <v>Sarah</v>
      </c>
      <c r="C89" s="22" t="str">
        <f>LEFT(Table4[[#This Row],[Customer_Name]],FIND(",",Table4[[#This Row],[Customer_Name]])-1)</f>
        <v>Brown</v>
      </c>
      <c r="D89" s="22" t="str">
        <f>LEFT(Table4[[#This Row],[First_Name]],2)&amp;LEFT(Table4[[#This Row],[Last_Name]],2)&amp;ROW()</f>
        <v>SaBr89</v>
      </c>
    </row>
    <row r="90" spans="1:4" x14ac:dyDescent="0.25">
      <c r="A90" s="22" t="s">
        <v>199</v>
      </c>
      <c r="B90" s="22" t="str">
        <f>RIGHT(Table4[[#This Row],[Customer_Name]],LEN(Table4[[#This Row],[Customer_Name]])-FIND(",",Table4[[#This Row],[Customer_Name]])-1)</f>
        <v>Emily</v>
      </c>
      <c r="C90" s="22" t="str">
        <f>LEFT(Table4[[#This Row],[Customer_Name]],FIND(",",Table4[[#This Row],[Customer_Name]])-1)</f>
        <v>Davis</v>
      </c>
      <c r="D90" s="22" t="str">
        <f>LEFT(Table4[[#This Row],[First_Name]],2)&amp;LEFT(Table4[[#This Row],[Last_Name]],2)&amp;ROW()</f>
        <v>EmDa90</v>
      </c>
    </row>
    <row r="91" spans="1:4" x14ac:dyDescent="0.25">
      <c r="A91" s="22" t="s">
        <v>41</v>
      </c>
      <c r="B91" s="22" t="str">
        <f>RIGHT(Table4[[#This Row],[Customer_Name]],LEN(Table4[[#This Row],[Customer_Name]])-FIND(",",Table4[[#This Row],[Customer_Name]])-1)</f>
        <v>Emma</v>
      </c>
      <c r="C91" s="22" t="str">
        <f>LEFT(Table4[[#This Row],[Customer_Name]],FIND(",",Table4[[#This Row],[Customer_Name]])-1)</f>
        <v>Johnson</v>
      </c>
      <c r="D91" s="22" t="str">
        <f>LEFT(Table4[[#This Row],[First_Name]],2)&amp;LEFT(Table4[[#This Row],[Last_Name]],2)&amp;ROW()</f>
        <v>EmJo91</v>
      </c>
    </row>
    <row r="92" spans="1:4" x14ac:dyDescent="0.25">
      <c r="A92" s="22" t="s">
        <v>202</v>
      </c>
      <c r="B92" s="22" t="str">
        <f>RIGHT(Table4[[#This Row],[Customer_Name]],LEN(Table4[[#This Row],[Customer_Name]])-FIND(",",Table4[[#This Row],[Customer_Name]])-1)</f>
        <v>James</v>
      </c>
      <c r="C92" s="22" t="str">
        <f>LEFT(Table4[[#This Row],[Customer_Name]],FIND(",",Table4[[#This Row],[Customer_Name]])-1)</f>
        <v>Johnson</v>
      </c>
      <c r="D92" s="22" t="str">
        <f>LEFT(Table4[[#This Row],[First_Name]],2)&amp;LEFT(Table4[[#This Row],[Last_Name]],2)&amp;ROW()</f>
        <v>JaJo92</v>
      </c>
    </row>
    <row r="93" spans="1:4" x14ac:dyDescent="0.25">
      <c r="A93" s="22" t="s">
        <v>204</v>
      </c>
      <c r="B93" s="22" t="str">
        <f>RIGHT(Table4[[#This Row],[Customer_Name]],LEN(Table4[[#This Row],[Customer_Name]])-FIND(",",Table4[[#This Row],[Customer_Name]])-1)</f>
        <v>Sophia</v>
      </c>
      <c r="C93" s="22" t="str">
        <f>LEFT(Table4[[#This Row],[Customer_Name]],FIND(",",Table4[[#This Row],[Customer_Name]])-1)</f>
        <v>Martinez</v>
      </c>
      <c r="D93" s="22" t="str">
        <f>LEFT(Table4[[#This Row],[First_Name]],2)&amp;LEFT(Table4[[#This Row],[Last_Name]],2)&amp;ROW()</f>
        <v>SoMa93</v>
      </c>
    </row>
    <row r="94" spans="1:4" x14ac:dyDescent="0.25">
      <c r="A94" s="22" t="s">
        <v>199</v>
      </c>
      <c r="B94" s="22" t="str">
        <f>RIGHT(Table4[[#This Row],[Customer_Name]],LEN(Table4[[#This Row],[Customer_Name]])-FIND(",",Table4[[#This Row],[Customer_Name]])-1)</f>
        <v>Emily</v>
      </c>
      <c r="C94" s="22" t="str">
        <f>LEFT(Table4[[#This Row],[Customer_Name]],FIND(",",Table4[[#This Row],[Customer_Name]])-1)</f>
        <v>Davis</v>
      </c>
      <c r="D94" s="22" t="str">
        <f>LEFT(Table4[[#This Row],[First_Name]],2)&amp;LEFT(Table4[[#This Row],[Last_Name]],2)&amp;ROW()</f>
        <v>EmDa94</v>
      </c>
    </row>
    <row r="95" spans="1:4" x14ac:dyDescent="0.25">
      <c r="A95" s="22" t="s">
        <v>207</v>
      </c>
      <c r="B95" s="22" t="str">
        <f>RIGHT(Table4[[#This Row],[Customer_Name]],LEN(Table4[[#This Row],[Customer_Name]])-FIND(",",Table4[[#This Row],[Customer_Name]])-1)</f>
        <v>Sarah</v>
      </c>
      <c r="C95" s="22" t="str">
        <f>LEFT(Table4[[#This Row],[Customer_Name]],FIND(",",Table4[[#This Row],[Customer_Name]])-1)</f>
        <v>Miller</v>
      </c>
      <c r="D95" s="22" t="str">
        <f>LEFT(Table4[[#This Row],[First_Name]],2)&amp;LEFT(Table4[[#This Row],[Last_Name]],2)&amp;ROW()</f>
        <v>SaMi95</v>
      </c>
    </row>
    <row r="96" spans="1:4" x14ac:dyDescent="0.25">
      <c r="A96" s="22" t="s">
        <v>209</v>
      </c>
      <c r="B96" s="22" t="str">
        <f>RIGHT(Table4[[#This Row],[Customer_Name]],LEN(Table4[[#This Row],[Customer_Name]])-FIND(",",Table4[[#This Row],[Customer_Name]])-1)</f>
        <v>James</v>
      </c>
      <c r="C96" s="22" t="str">
        <f>LEFT(Table4[[#This Row],[Customer_Name]],FIND(",",Table4[[#This Row],[Customer_Name]])-1)</f>
        <v>Williams</v>
      </c>
      <c r="D96" s="22" t="str">
        <f>LEFT(Table4[[#This Row],[First_Name]],2)&amp;LEFT(Table4[[#This Row],[Last_Name]],2)&amp;ROW()</f>
        <v>JaWi96</v>
      </c>
    </row>
    <row r="97" spans="1:4" x14ac:dyDescent="0.25">
      <c r="A97" s="22" t="s">
        <v>211</v>
      </c>
      <c r="B97" s="22" t="str">
        <f>RIGHT(Table4[[#This Row],[Customer_Name]],LEN(Table4[[#This Row],[Customer_Name]])-FIND(",",Table4[[#This Row],[Customer_Name]])-1)</f>
        <v>Emma</v>
      </c>
      <c r="C97" s="22" t="str">
        <f>LEFT(Table4[[#This Row],[Customer_Name]],FIND(",",Table4[[#This Row],[Customer_Name]])-1)</f>
        <v>Garcia</v>
      </c>
      <c r="D97" s="22" t="str">
        <f>LEFT(Table4[[#This Row],[First_Name]],2)&amp;LEFT(Table4[[#This Row],[Last_Name]],2)&amp;ROW()</f>
        <v>EmGa97</v>
      </c>
    </row>
    <row r="98" spans="1:4" x14ac:dyDescent="0.25">
      <c r="A98" s="22" t="s">
        <v>89</v>
      </c>
      <c r="B98" s="22" t="str">
        <f>RIGHT(Table4[[#This Row],[Customer_Name]],LEN(Table4[[#This Row],[Customer_Name]])-FIND(",",Table4[[#This Row],[Customer_Name]])-1)</f>
        <v>David</v>
      </c>
      <c r="C98" s="22" t="str">
        <f>LEFT(Table4[[#This Row],[Customer_Name]],FIND(",",Table4[[#This Row],[Customer_Name]])-1)</f>
        <v>Davis</v>
      </c>
      <c r="D98" s="22" t="str">
        <f>LEFT(Table4[[#This Row],[First_Name]],2)&amp;LEFT(Table4[[#This Row],[Last_Name]],2)&amp;ROW()</f>
        <v>DaDa98</v>
      </c>
    </row>
    <row r="99" spans="1:4" x14ac:dyDescent="0.25">
      <c r="A99" s="22" t="s">
        <v>119</v>
      </c>
      <c r="B99" s="22" t="str">
        <f>RIGHT(Table4[[#This Row],[Customer_Name]],LEN(Table4[[#This Row],[Customer_Name]])-FIND(",",Table4[[#This Row],[Customer_Name]])-1)</f>
        <v>Michael</v>
      </c>
      <c r="C99" s="22" t="str">
        <f>LEFT(Table4[[#This Row],[Customer_Name]],FIND(",",Table4[[#This Row],[Customer_Name]])-1)</f>
        <v>Smith</v>
      </c>
      <c r="D99" s="22" t="str">
        <f>LEFT(Table4[[#This Row],[First_Name]],2)&amp;LEFT(Table4[[#This Row],[Last_Name]],2)&amp;ROW()</f>
        <v>MiSm99</v>
      </c>
    </row>
    <row r="100" spans="1:4" x14ac:dyDescent="0.25">
      <c r="A100" s="22" t="s">
        <v>189</v>
      </c>
      <c r="B100" s="22" t="str">
        <f>RIGHT(Table4[[#This Row],[Customer_Name]],LEN(Table4[[#This Row],[Customer_Name]])-FIND(",",Table4[[#This Row],[Customer_Name]])-1)</f>
        <v>Emma</v>
      </c>
      <c r="C100" s="22" t="str">
        <f>LEFT(Table4[[#This Row],[Customer_Name]],FIND(",",Table4[[#This Row],[Customer_Name]])-1)</f>
        <v>Davis</v>
      </c>
      <c r="D100" s="22" t="str">
        <f>LEFT(Table4[[#This Row],[First_Name]],2)&amp;LEFT(Table4[[#This Row],[Last_Name]],2)&amp;ROW()</f>
        <v>EmDa100</v>
      </c>
    </row>
    <row r="101" spans="1:4" x14ac:dyDescent="0.25">
      <c r="A101" s="22" t="s">
        <v>168</v>
      </c>
      <c r="B101" s="22" t="str">
        <f>RIGHT(Table4[[#This Row],[Customer_Name]],LEN(Table4[[#This Row],[Customer_Name]])-FIND(",",Table4[[#This Row],[Customer_Name]])-1)</f>
        <v>Daniel</v>
      </c>
      <c r="C101" s="22" t="str">
        <f>LEFT(Table4[[#This Row],[Customer_Name]],FIND(",",Table4[[#This Row],[Customer_Name]])-1)</f>
        <v>Martinez</v>
      </c>
      <c r="D101" s="22" t="str">
        <f>LEFT(Table4[[#This Row],[First_Name]],2)&amp;LEFT(Table4[[#This Row],[Last_Name]],2)&amp;ROW()</f>
        <v>DaMa101</v>
      </c>
    </row>
    <row r="102" spans="1:4" x14ac:dyDescent="0.25">
      <c r="A102" s="22" t="s">
        <v>193</v>
      </c>
      <c r="B102" s="22" t="str">
        <f>RIGHT(Table4[[#This Row],[Customer_Name]],LEN(Table4[[#This Row],[Customer_Name]])-FIND(",",Table4[[#This Row],[Customer_Name]])-1)</f>
        <v>Laura</v>
      </c>
      <c r="C102" s="22" t="str">
        <f>LEFT(Table4[[#This Row],[Customer_Name]],FIND(",",Table4[[#This Row],[Customer_Name]])-1)</f>
        <v>Hernandez</v>
      </c>
      <c r="D102" s="22" t="str">
        <f>LEFT(Table4[[#This Row],[First_Name]],2)&amp;LEFT(Table4[[#This Row],[Last_Name]],2)&amp;ROW()</f>
        <v>LaHe102</v>
      </c>
    </row>
    <row r="103" spans="1:4" x14ac:dyDescent="0.25">
      <c r="A103" s="22" t="s">
        <v>100</v>
      </c>
      <c r="B103" s="22" t="str">
        <f>RIGHT(Table4[[#This Row],[Customer_Name]],LEN(Table4[[#This Row],[Customer_Name]])-FIND(",",Table4[[#This Row],[Customer_Name]])-1)</f>
        <v>Laura</v>
      </c>
      <c r="C103" s="22" t="str">
        <f>LEFT(Table4[[#This Row],[Customer_Name]],FIND(",",Table4[[#This Row],[Customer_Name]])-1)</f>
        <v>Jones</v>
      </c>
      <c r="D103" s="22" t="str">
        <f>LEFT(Table4[[#This Row],[First_Name]],2)&amp;LEFT(Table4[[#This Row],[Last_Name]],2)&amp;ROW()</f>
        <v>LaJo103</v>
      </c>
    </row>
    <row r="104" spans="1:4" x14ac:dyDescent="0.25">
      <c r="A104" s="22" t="s">
        <v>189</v>
      </c>
      <c r="B104" s="22" t="str">
        <f>RIGHT(Table4[[#This Row],[Customer_Name]],LEN(Table4[[#This Row],[Customer_Name]])-FIND(",",Table4[[#This Row],[Customer_Name]])-1)</f>
        <v>Emma</v>
      </c>
      <c r="C104" s="22" t="str">
        <f>LEFT(Table4[[#This Row],[Customer_Name]],FIND(",",Table4[[#This Row],[Customer_Name]])-1)</f>
        <v>Davis</v>
      </c>
      <c r="D104" s="22" t="str">
        <f>LEFT(Table4[[#This Row],[First_Name]],2)&amp;LEFT(Table4[[#This Row],[Last_Name]],2)&amp;ROW()</f>
        <v>EmDa104</v>
      </c>
    </row>
    <row r="105" spans="1:4" x14ac:dyDescent="0.25">
      <c r="A105" s="22" t="s">
        <v>123</v>
      </c>
      <c r="B105" s="22" t="str">
        <f>RIGHT(Table4[[#This Row],[Customer_Name]],LEN(Table4[[#This Row],[Customer_Name]])-FIND(",",Table4[[#This Row],[Customer_Name]])-1)</f>
        <v>Emily</v>
      </c>
      <c r="C105" s="22" t="str">
        <f>LEFT(Table4[[#This Row],[Customer_Name]],FIND(",",Table4[[#This Row],[Customer_Name]])-1)</f>
        <v>Garcia</v>
      </c>
      <c r="D105" s="22" t="str">
        <f>LEFT(Table4[[#This Row],[First_Name]],2)&amp;LEFT(Table4[[#This Row],[Last_Name]],2)&amp;ROW()</f>
        <v>EmGa105</v>
      </c>
    </row>
    <row r="106" spans="1:4" x14ac:dyDescent="0.25">
      <c r="A106" s="22" t="s">
        <v>221</v>
      </c>
      <c r="B106" s="22" t="str">
        <f>RIGHT(Table4[[#This Row],[Customer_Name]],LEN(Table4[[#This Row],[Customer_Name]])-FIND(",",Table4[[#This Row],[Customer_Name]])-1)</f>
        <v>David</v>
      </c>
      <c r="C106" s="22" t="str">
        <f>LEFT(Table4[[#This Row],[Customer_Name]],FIND(",",Table4[[#This Row],[Customer_Name]])-1)</f>
        <v>Johnson</v>
      </c>
      <c r="D106" s="22" t="str">
        <f>LEFT(Table4[[#This Row],[First_Name]],2)&amp;LEFT(Table4[[#This Row],[Last_Name]],2)&amp;ROW()</f>
        <v>DaJo106</v>
      </c>
    </row>
    <row r="107" spans="1:4" x14ac:dyDescent="0.25">
      <c r="A107" s="22" t="s">
        <v>62</v>
      </c>
      <c r="B107" s="22" t="str">
        <f>RIGHT(Table4[[#This Row],[Customer_Name]],LEN(Table4[[#This Row],[Customer_Name]])-FIND(",",Table4[[#This Row],[Customer_Name]])-1)</f>
        <v>Laura</v>
      </c>
      <c r="C107" s="22" t="str">
        <f>LEFT(Table4[[#This Row],[Customer_Name]],FIND(",",Table4[[#This Row],[Customer_Name]])-1)</f>
        <v>Martinez</v>
      </c>
      <c r="D107" s="22" t="str">
        <f>LEFT(Table4[[#This Row],[First_Name]],2)&amp;LEFT(Table4[[#This Row],[Last_Name]],2)&amp;ROW()</f>
        <v>LaMa107</v>
      </c>
    </row>
    <row r="108" spans="1:4" x14ac:dyDescent="0.25">
      <c r="A108" s="22" t="s">
        <v>15</v>
      </c>
      <c r="B108" s="22" t="str">
        <f>RIGHT(Table4[[#This Row],[Customer_Name]],LEN(Table4[[#This Row],[Customer_Name]])-FIND(",",Table4[[#This Row],[Customer_Name]])-1)</f>
        <v>Emily</v>
      </c>
      <c r="C108" s="22" t="str">
        <f>LEFT(Table4[[#This Row],[Customer_Name]],FIND(",",Table4[[#This Row],[Customer_Name]])-1)</f>
        <v>Smith</v>
      </c>
      <c r="D108" s="22" t="str">
        <f>LEFT(Table4[[#This Row],[First_Name]],2)&amp;LEFT(Table4[[#This Row],[Last_Name]],2)&amp;ROW()</f>
        <v>EmSm108</v>
      </c>
    </row>
    <row r="109" spans="1:4" x14ac:dyDescent="0.25">
      <c r="A109" s="22" t="s">
        <v>93</v>
      </c>
      <c r="B109" s="22" t="str">
        <f>RIGHT(Table4[[#This Row],[Customer_Name]],LEN(Table4[[#This Row],[Customer_Name]])-FIND(",",Table4[[#This Row],[Customer_Name]])-1)</f>
        <v>Sophia</v>
      </c>
      <c r="C109" s="22" t="str">
        <f>LEFT(Table4[[#This Row],[Customer_Name]],FIND(",",Table4[[#This Row],[Customer_Name]])-1)</f>
        <v>Hernandez</v>
      </c>
      <c r="D109" s="22" t="str">
        <f>LEFT(Table4[[#This Row],[First_Name]],2)&amp;LEFT(Table4[[#This Row],[Last_Name]],2)&amp;ROW()</f>
        <v>SoHe109</v>
      </c>
    </row>
    <row r="110" spans="1:4" x14ac:dyDescent="0.25">
      <c r="A110" s="22" t="s">
        <v>226</v>
      </c>
      <c r="B110" s="22" t="str">
        <f>RIGHT(Table4[[#This Row],[Customer_Name]],LEN(Table4[[#This Row],[Customer_Name]])-FIND(",",Table4[[#This Row],[Customer_Name]])-1)</f>
        <v>Emily</v>
      </c>
      <c r="C110" s="22" t="str">
        <f>LEFT(Table4[[#This Row],[Customer_Name]],FIND(",",Table4[[#This Row],[Customer_Name]])-1)</f>
        <v>Miller</v>
      </c>
      <c r="D110" s="22" t="str">
        <f>LEFT(Table4[[#This Row],[First_Name]],2)&amp;LEFT(Table4[[#This Row],[Last_Name]],2)&amp;ROW()</f>
        <v>EmMi110</v>
      </c>
    </row>
    <row r="111" spans="1:4" x14ac:dyDescent="0.25">
      <c r="A111" s="22" t="s">
        <v>189</v>
      </c>
      <c r="B111" s="22" t="str">
        <f>RIGHT(Table4[[#This Row],[Customer_Name]],LEN(Table4[[#This Row],[Customer_Name]])-FIND(",",Table4[[#This Row],[Customer_Name]])-1)</f>
        <v>Emma</v>
      </c>
      <c r="C111" s="22" t="str">
        <f>LEFT(Table4[[#This Row],[Customer_Name]],FIND(",",Table4[[#This Row],[Customer_Name]])-1)</f>
        <v>Davis</v>
      </c>
      <c r="D111" s="22" t="str">
        <f>LEFT(Table4[[#This Row],[First_Name]],2)&amp;LEFT(Table4[[#This Row],[Last_Name]],2)&amp;ROW()</f>
        <v>EmDa111</v>
      </c>
    </row>
    <row r="112" spans="1:4" x14ac:dyDescent="0.25">
      <c r="A112" s="22" t="s">
        <v>170</v>
      </c>
      <c r="B112" s="22" t="str">
        <f>RIGHT(Table4[[#This Row],[Customer_Name]],LEN(Table4[[#This Row],[Customer_Name]])-FIND(",",Table4[[#This Row],[Customer_Name]])-1)</f>
        <v>Michael</v>
      </c>
      <c r="C112" s="22" t="str">
        <f>LEFT(Table4[[#This Row],[Customer_Name]],FIND(",",Table4[[#This Row],[Customer_Name]])-1)</f>
        <v>Jones</v>
      </c>
      <c r="D112" s="22" t="str">
        <f>LEFT(Table4[[#This Row],[First_Name]],2)&amp;LEFT(Table4[[#This Row],[Last_Name]],2)&amp;ROW()</f>
        <v>MiJo112</v>
      </c>
    </row>
    <row r="113" spans="1:4" x14ac:dyDescent="0.25">
      <c r="A113" s="22" t="s">
        <v>110</v>
      </c>
      <c r="B113" s="22" t="str">
        <f>RIGHT(Table4[[#This Row],[Customer_Name]],LEN(Table4[[#This Row],[Customer_Name]])-FIND(",",Table4[[#This Row],[Customer_Name]])-1)</f>
        <v>Sophia</v>
      </c>
      <c r="C113" s="22" t="str">
        <f>LEFT(Table4[[#This Row],[Customer_Name]],FIND(",",Table4[[#This Row],[Customer_Name]])-1)</f>
        <v>Smith</v>
      </c>
      <c r="D113" s="22" t="str">
        <f>LEFT(Table4[[#This Row],[First_Name]],2)&amp;LEFT(Table4[[#This Row],[Last_Name]],2)&amp;ROW()</f>
        <v>SoSm113</v>
      </c>
    </row>
    <row r="114" spans="1:4" x14ac:dyDescent="0.25">
      <c r="A114" s="22" t="s">
        <v>231</v>
      </c>
      <c r="B114" s="22" t="str">
        <f>RIGHT(Table4[[#This Row],[Customer_Name]],LEN(Table4[[#This Row],[Customer_Name]])-FIND(",",Table4[[#This Row],[Customer_Name]])-1)</f>
        <v>Emily</v>
      </c>
      <c r="C114" s="22" t="str">
        <f>LEFT(Table4[[#This Row],[Customer_Name]],FIND(",",Table4[[#This Row],[Customer_Name]])-1)</f>
        <v>Martinez</v>
      </c>
      <c r="D114" s="22" t="str">
        <f>LEFT(Table4[[#This Row],[First_Name]],2)&amp;LEFT(Table4[[#This Row],[Last_Name]],2)&amp;ROW()</f>
        <v>EmMa114</v>
      </c>
    </row>
    <row r="115" spans="1:4" x14ac:dyDescent="0.25">
      <c r="A115" s="22" t="s">
        <v>233</v>
      </c>
      <c r="B115" s="22" t="str">
        <f>RIGHT(Table4[[#This Row],[Customer_Name]],LEN(Table4[[#This Row],[Customer_Name]])-FIND(",",Table4[[#This Row],[Customer_Name]])-1)</f>
        <v>Daniel</v>
      </c>
      <c r="C115" s="22" t="str">
        <f>LEFT(Table4[[#This Row],[Customer_Name]],FIND(",",Table4[[#This Row],[Customer_Name]])-1)</f>
        <v>Hernandez</v>
      </c>
      <c r="D115" s="22" t="str">
        <f>LEFT(Table4[[#This Row],[First_Name]],2)&amp;LEFT(Table4[[#This Row],[Last_Name]],2)&amp;ROW()</f>
        <v>DaHe115</v>
      </c>
    </row>
    <row r="116" spans="1:4" x14ac:dyDescent="0.25">
      <c r="A116" s="22" t="s">
        <v>113</v>
      </c>
      <c r="B116" s="22" t="str">
        <f>RIGHT(Table4[[#This Row],[Customer_Name]],LEN(Table4[[#This Row],[Customer_Name]])-FIND(",",Table4[[#This Row],[Customer_Name]])-1)</f>
        <v>John</v>
      </c>
      <c r="C116" s="22" t="str">
        <f>LEFT(Table4[[#This Row],[Customer_Name]],FIND(",",Table4[[#This Row],[Customer_Name]])-1)</f>
        <v>Hernandez</v>
      </c>
      <c r="D116" s="22" t="str">
        <f>LEFT(Table4[[#This Row],[First_Name]],2)&amp;LEFT(Table4[[#This Row],[Last_Name]],2)&amp;ROW()</f>
        <v>JoHe116</v>
      </c>
    </row>
    <row r="117" spans="1:4" x14ac:dyDescent="0.25">
      <c r="A117" s="22" t="s">
        <v>54</v>
      </c>
      <c r="B117" s="22" t="str">
        <f>RIGHT(Table4[[#This Row],[Customer_Name]],LEN(Table4[[#This Row],[Customer_Name]])-FIND(",",Table4[[#This Row],[Customer_Name]])-1)</f>
        <v>John</v>
      </c>
      <c r="C117" s="22" t="str">
        <f>LEFT(Table4[[#This Row],[Customer_Name]],FIND(",",Table4[[#This Row],[Customer_Name]])-1)</f>
        <v>Miller</v>
      </c>
      <c r="D117" s="22" t="str">
        <f>LEFT(Table4[[#This Row],[First_Name]],2)&amp;LEFT(Table4[[#This Row],[Last_Name]],2)&amp;ROW()</f>
        <v>JoMi117</v>
      </c>
    </row>
    <row r="118" spans="1:4" x14ac:dyDescent="0.25">
      <c r="A118" s="22" t="s">
        <v>211</v>
      </c>
      <c r="B118" s="22" t="str">
        <f>RIGHT(Table4[[#This Row],[Customer_Name]],LEN(Table4[[#This Row],[Customer_Name]])-FIND(",",Table4[[#This Row],[Customer_Name]])-1)</f>
        <v>Emma</v>
      </c>
      <c r="C118" s="22" t="str">
        <f>LEFT(Table4[[#This Row],[Customer_Name]],FIND(",",Table4[[#This Row],[Customer_Name]])-1)</f>
        <v>Garcia</v>
      </c>
      <c r="D118" s="22" t="str">
        <f>LEFT(Table4[[#This Row],[First_Name]],2)&amp;LEFT(Table4[[#This Row],[Last_Name]],2)&amp;ROW()</f>
        <v>EmGa118</v>
      </c>
    </row>
    <row r="119" spans="1:4" x14ac:dyDescent="0.25">
      <c r="A119" s="22" t="s">
        <v>139</v>
      </c>
      <c r="B119" s="22" t="str">
        <f>RIGHT(Table4[[#This Row],[Customer_Name]],LEN(Table4[[#This Row],[Customer_Name]])-FIND(",",Table4[[#This Row],[Customer_Name]])-1)</f>
        <v>Sarah</v>
      </c>
      <c r="C119" s="22" t="str">
        <f>LEFT(Table4[[#This Row],[Customer_Name]],FIND(",",Table4[[#This Row],[Customer_Name]])-1)</f>
        <v>Brown</v>
      </c>
      <c r="D119" s="22" t="str">
        <f>LEFT(Table4[[#This Row],[First_Name]],2)&amp;LEFT(Table4[[#This Row],[Last_Name]],2)&amp;ROW()</f>
        <v>SaBr119</v>
      </c>
    </row>
    <row r="120" spans="1:4" x14ac:dyDescent="0.25">
      <c r="A120" s="22" t="s">
        <v>142</v>
      </c>
      <c r="B120" s="22" t="str">
        <f>RIGHT(Table4[[#This Row],[Customer_Name]],LEN(Table4[[#This Row],[Customer_Name]])-FIND(",",Table4[[#This Row],[Customer_Name]])-1)</f>
        <v>Emma</v>
      </c>
      <c r="C120" s="22" t="str">
        <f>LEFT(Table4[[#This Row],[Customer_Name]],FIND(",",Table4[[#This Row],[Customer_Name]])-1)</f>
        <v>Martinez</v>
      </c>
      <c r="D120" s="22" t="str">
        <f>LEFT(Table4[[#This Row],[First_Name]],2)&amp;LEFT(Table4[[#This Row],[Last_Name]],2)&amp;ROW()</f>
        <v>EmMa120</v>
      </c>
    </row>
    <row r="121" spans="1:4" x14ac:dyDescent="0.25">
      <c r="A121" s="22" t="s">
        <v>240</v>
      </c>
      <c r="B121" s="22" t="str">
        <f>RIGHT(Table4[[#This Row],[Customer_Name]],LEN(Table4[[#This Row],[Customer_Name]])-FIND(",",Table4[[#This Row],[Customer_Name]])-1)</f>
        <v>David</v>
      </c>
      <c r="C121" s="22" t="str">
        <f>LEFT(Table4[[#This Row],[Customer_Name]],FIND(",",Table4[[#This Row],[Customer_Name]])-1)</f>
        <v>Hernandez</v>
      </c>
      <c r="D121" s="22" t="str">
        <f>LEFT(Table4[[#This Row],[First_Name]],2)&amp;LEFT(Table4[[#This Row],[Last_Name]],2)&amp;ROW()</f>
        <v>DaHe121</v>
      </c>
    </row>
    <row r="122" spans="1:4" x14ac:dyDescent="0.25">
      <c r="A122" s="22" t="s">
        <v>46</v>
      </c>
      <c r="B122" s="22" t="str">
        <f>RIGHT(Table4[[#This Row],[Customer_Name]],LEN(Table4[[#This Row],[Customer_Name]])-FIND(",",Table4[[#This Row],[Customer_Name]])-1)</f>
        <v>Michael</v>
      </c>
      <c r="C122" s="22" t="str">
        <f>LEFT(Table4[[#This Row],[Customer_Name]],FIND(",",Table4[[#This Row],[Customer_Name]])-1)</f>
        <v>Johnson</v>
      </c>
      <c r="D122" s="22" t="str">
        <f>LEFT(Table4[[#This Row],[First_Name]],2)&amp;LEFT(Table4[[#This Row],[Last_Name]],2)&amp;ROW()</f>
        <v>MiJo122</v>
      </c>
    </row>
    <row r="123" spans="1:4" x14ac:dyDescent="0.25">
      <c r="A123" s="22" t="s">
        <v>193</v>
      </c>
      <c r="B123" s="22" t="str">
        <f>RIGHT(Table4[[#This Row],[Customer_Name]],LEN(Table4[[#This Row],[Customer_Name]])-FIND(",",Table4[[#This Row],[Customer_Name]])-1)</f>
        <v>Laura</v>
      </c>
      <c r="C123" s="22" t="str">
        <f>LEFT(Table4[[#This Row],[Customer_Name]],FIND(",",Table4[[#This Row],[Customer_Name]])-1)</f>
        <v>Hernandez</v>
      </c>
      <c r="D123" s="22" t="str">
        <f>LEFT(Table4[[#This Row],[First_Name]],2)&amp;LEFT(Table4[[#This Row],[Last_Name]],2)&amp;ROW()</f>
        <v>LaHe123</v>
      </c>
    </row>
    <row r="124" spans="1:4" x14ac:dyDescent="0.25">
      <c r="A124" s="22" t="s">
        <v>81</v>
      </c>
      <c r="B124" s="22" t="str">
        <f>RIGHT(Table4[[#This Row],[Customer_Name]],LEN(Table4[[#This Row],[Customer_Name]])-FIND(",",Table4[[#This Row],[Customer_Name]])-1)</f>
        <v>Sarah</v>
      </c>
      <c r="C124" s="22" t="str">
        <f>LEFT(Table4[[#This Row],[Customer_Name]],FIND(",",Table4[[#This Row],[Customer_Name]])-1)</f>
        <v>Smith</v>
      </c>
      <c r="D124" s="22" t="str">
        <f>LEFT(Table4[[#This Row],[First_Name]],2)&amp;LEFT(Table4[[#This Row],[Last_Name]],2)&amp;ROW()</f>
        <v>SaSm124</v>
      </c>
    </row>
    <row r="125" spans="1:4" x14ac:dyDescent="0.25">
      <c r="A125" s="22" t="s">
        <v>199</v>
      </c>
      <c r="B125" s="22" t="str">
        <f>RIGHT(Table4[[#This Row],[Customer_Name]],LEN(Table4[[#This Row],[Customer_Name]])-FIND(",",Table4[[#This Row],[Customer_Name]])-1)</f>
        <v>Emily</v>
      </c>
      <c r="C125" s="22" t="str">
        <f>LEFT(Table4[[#This Row],[Customer_Name]],FIND(",",Table4[[#This Row],[Customer_Name]])-1)</f>
        <v>Davis</v>
      </c>
      <c r="D125" s="22" t="str">
        <f>LEFT(Table4[[#This Row],[First_Name]],2)&amp;LEFT(Table4[[#This Row],[Last_Name]],2)&amp;ROW()</f>
        <v>EmDa125</v>
      </c>
    </row>
    <row r="126" spans="1:4" x14ac:dyDescent="0.25">
      <c r="A126" s="22" t="s">
        <v>246</v>
      </c>
      <c r="B126" s="22" t="str">
        <f>RIGHT(Table4[[#This Row],[Customer_Name]],LEN(Table4[[#This Row],[Customer_Name]])-FIND(",",Table4[[#This Row],[Customer_Name]])-1)</f>
        <v>John</v>
      </c>
      <c r="C126" s="22" t="str">
        <f>LEFT(Table4[[#This Row],[Customer_Name]],FIND(",",Table4[[#This Row],[Customer_Name]])-1)</f>
        <v>Martinez</v>
      </c>
      <c r="D126" s="22" t="str">
        <f>LEFT(Table4[[#This Row],[First_Name]],2)&amp;LEFT(Table4[[#This Row],[Last_Name]],2)&amp;ROW()</f>
        <v>JoMa126</v>
      </c>
    </row>
    <row r="127" spans="1:4" x14ac:dyDescent="0.25">
      <c r="A127" s="22" t="s">
        <v>183</v>
      </c>
      <c r="B127" s="22" t="str">
        <f>RIGHT(Table4[[#This Row],[Customer_Name]],LEN(Table4[[#This Row],[Customer_Name]])-FIND(",",Table4[[#This Row],[Customer_Name]])-1)</f>
        <v>Michael</v>
      </c>
      <c r="C127" s="22" t="str">
        <f>LEFT(Table4[[#This Row],[Customer_Name]],FIND(",",Table4[[#This Row],[Customer_Name]])-1)</f>
        <v>Davis</v>
      </c>
      <c r="D127" s="22" t="str">
        <f>LEFT(Table4[[#This Row],[First_Name]],2)&amp;LEFT(Table4[[#This Row],[Last_Name]],2)&amp;ROW()</f>
        <v>MiDa127</v>
      </c>
    </row>
    <row r="128" spans="1:4" x14ac:dyDescent="0.25">
      <c r="A128" s="22" t="s">
        <v>249</v>
      </c>
      <c r="B128" s="22" t="str">
        <f>RIGHT(Table4[[#This Row],[Customer_Name]],LEN(Table4[[#This Row],[Customer_Name]])-FIND(",",Table4[[#This Row],[Customer_Name]])-1)</f>
        <v>David</v>
      </c>
      <c r="C128" s="22" t="str">
        <f>LEFT(Table4[[#This Row],[Customer_Name]],FIND(",",Table4[[#This Row],[Customer_Name]])-1)</f>
        <v>Garcia</v>
      </c>
      <c r="D128" s="22" t="str">
        <f>LEFT(Table4[[#This Row],[First_Name]],2)&amp;LEFT(Table4[[#This Row],[Last_Name]],2)&amp;ROW()</f>
        <v>DaGa128</v>
      </c>
    </row>
    <row r="129" spans="1:4" x14ac:dyDescent="0.25">
      <c r="A129" s="22" t="s">
        <v>34</v>
      </c>
      <c r="B129" s="22" t="str">
        <f>RIGHT(Table4[[#This Row],[Customer_Name]],LEN(Table4[[#This Row],[Customer_Name]])-FIND(",",Table4[[#This Row],[Customer_Name]])-1)</f>
        <v>Daniel</v>
      </c>
      <c r="C129" s="22" t="str">
        <f>LEFT(Table4[[#This Row],[Customer_Name]],FIND(",",Table4[[#This Row],[Customer_Name]])-1)</f>
        <v>Miller</v>
      </c>
      <c r="D129" s="22" t="str">
        <f>LEFT(Table4[[#This Row],[First_Name]],2)&amp;LEFT(Table4[[#This Row],[Last_Name]],2)&amp;ROW()</f>
        <v>DaMi129</v>
      </c>
    </row>
    <row r="130" spans="1:4" x14ac:dyDescent="0.25">
      <c r="A130" s="22" t="s">
        <v>207</v>
      </c>
      <c r="B130" s="22" t="str">
        <f>RIGHT(Table4[[#This Row],[Customer_Name]],LEN(Table4[[#This Row],[Customer_Name]])-FIND(",",Table4[[#This Row],[Customer_Name]])-1)</f>
        <v>Sarah</v>
      </c>
      <c r="C130" s="22" t="str">
        <f>LEFT(Table4[[#This Row],[Customer_Name]],FIND(",",Table4[[#This Row],[Customer_Name]])-1)</f>
        <v>Miller</v>
      </c>
      <c r="D130" s="22" t="str">
        <f>LEFT(Table4[[#This Row],[First_Name]],2)&amp;LEFT(Table4[[#This Row],[Last_Name]],2)&amp;ROW()</f>
        <v>SaMi130</v>
      </c>
    </row>
    <row r="131" spans="1:4" x14ac:dyDescent="0.25">
      <c r="A131" s="22" t="s">
        <v>193</v>
      </c>
      <c r="B131" s="22" t="str">
        <f>RIGHT(Table4[[#This Row],[Customer_Name]],LEN(Table4[[#This Row],[Customer_Name]])-FIND(",",Table4[[#This Row],[Customer_Name]])-1)</f>
        <v>Laura</v>
      </c>
      <c r="C131" s="22" t="str">
        <f>LEFT(Table4[[#This Row],[Customer_Name]],FIND(",",Table4[[#This Row],[Customer_Name]])-1)</f>
        <v>Hernandez</v>
      </c>
      <c r="D131" s="22" t="str">
        <f>LEFT(Table4[[#This Row],[First_Name]],2)&amp;LEFT(Table4[[#This Row],[Last_Name]],2)&amp;ROW()</f>
        <v>LaHe131</v>
      </c>
    </row>
    <row r="132" spans="1:4" x14ac:dyDescent="0.25">
      <c r="A132" s="22" t="s">
        <v>15</v>
      </c>
      <c r="B132" s="22" t="str">
        <f>RIGHT(Table4[[#This Row],[Customer_Name]],LEN(Table4[[#This Row],[Customer_Name]])-FIND(",",Table4[[#This Row],[Customer_Name]])-1)</f>
        <v>Emily</v>
      </c>
      <c r="C132" s="22" t="str">
        <f>LEFT(Table4[[#This Row],[Customer_Name]],FIND(",",Table4[[#This Row],[Customer_Name]])-1)</f>
        <v>Smith</v>
      </c>
      <c r="D132" s="22" t="str">
        <f>LEFT(Table4[[#This Row],[First_Name]],2)&amp;LEFT(Table4[[#This Row],[Last_Name]],2)&amp;ROW()</f>
        <v>EmSm132</v>
      </c>
    </row>
    <row r="133" spans="1:4" x14ac:dyDescent="0.25">
      <c r="A133" s="22" t="s">
        <v>156</v>
      </c>
      <c r="B133" s="22" t="str">
        <f>RIGHT(Table4[[#This Row],[Customer_Name]],LEN(Table4[[#This Row],[Customer_Name]])-FIND(",",Table4[[#This Row],[Customer_Name]])-1)</f>
        <v>James</v>
      </c>
      <c r="C133" s="22" t="str">
        <f>LEFT(Table4[[#This Row],[Customer_Name]],FIND(",",Table4[[#This Row],[Customer_Name]])-1)</f>
        <v>Hernandez</v>
      </c>
      <c r="D133" s="22" t="str">
        <f>LEFT(Table4[[#This Row],[First_Name]],2)&amp;LEFT(Table4[[#This Row],[Last_Name]],2)&amp;ROW()</f>
        <v>JaHe133</v>
      </c>
    </row>
    <row r="134" spans="1:4" x14ac:dyDescent="0.25">
      <c r="A134" s="22" t="s">
        <v>30</v>
      </c>
      <c r="B134" s="22" t="str">
        <f>RIGHT(Table4[[#This Row],[Customer_Name]],LEN(Table4[[#This Row],[Customer_Name]])-FIND(",",Table4[[#This Row],[Customer_Name]])-1)</f>
        <v>John</v>
      </c>
      <c r="C134" s="22" t="str">
        <f>LEFT(Table4[[#This Row],[Customer_Name]],FIND(",",Table4[[#This Row],[Customer_Name]])-1)</f>
        <v>Davis</v>
      </c>
      <c r="D134" s="22" t="str">
        <f>LEFT(Table4[[#This Row],[First_Name]],2)&amp;LEFT(Table4[[#This Row],[Last_Name]],2)&amp;ROW()</f>
        <v>JoDa134</v>
      </c>
    </row>
    <row r="135" spans="1:4" x14ac:dyDescent="0.25">
      <c r="A135" s="22" t="s">
        <v>257</v>
      </c>
      <c r="B135" s="22" t="str">
        <f>RIGHT(Table4[[#This Row],[Customer_Name]],LEN(Table4[[#This Row],[Customer_Name]])-FIND(",",Table4[[#This Row],[Customer_Name]])-1)</f>
        <v>James</v>
      </c>
      <c r="C135" s="22" t="str">
        <f>LEFT(Table4[[#This Row],[Customer_Name]],FIND(",",Table4[[#This Row],[Customer_Name]])-1)</f>
        <v>Smith</v>
      </c>
      <c r="D135" s="22" t="str">
        <f>LEFT(Table4[[#This Row],[First_Name]],2)&amp;LEFT(Table4[[#This Row],[Last_Name]],2)&amp;ROW()</f>
        <v>JaSm135</v>
      </c>
    </row>
    <row r="136" spans="1:4" x14ac:dyDescent="0.25">
      <c r="A136" s="22" t="s">
        <v>117</v>
      </c>
      <c r="B136" s="22" t="str">
        <f>RIGHT(Table4[[#This Row],[Customer_Name]],LEN(Table4[[#This Row],[Customer_Name]])-FIND(",",Table4[[#This Row],[Customer_Name]])-1)</f>
        <v>David</v>
      </c>
      <c r="C136" s="22" t="str">
        <f>LEFT(Table4[[#This Row],[Customer_Name]],FIND(",",Table4[[#This Row],[Customer_Name]])-1)</f>
        <v>Miller</v>
      </c>
      <c r="D136" s="22" t="str">
        <f>LEFT(Table4[[#This Row],[First_Name]],2)&amp;LEFT(Table4[[#This Row],[Last_Name]],2)&amp;ROW()</f>
        <v>DaMi136</v>
      </c>
    </row>
    <row r="137" spans="1:4" x14ac:dyDescent="0.25">
      <c r="A137" s="22" t="s">
        <v>226</v>
      </c>
      <c r="B137" s="22" t="str">
        <f>RIGHT(Table4[[#This Row],[Customer_Name]],LEN(Table4[[#This Row],[Customer_Name]])-FIND(",",Table4[[#This Row],[Customer_Name]])-1)</f>
        <v>Emily</v>
      </c>
      <c r="C137" s="22" t="str">
        <f>LEFT(Table4[[#This Row],[Customer_Name]],FIND(",",Table4[[#This Row],[Customer_Name]])-1)</f>
        <v>Miller</v>
      </c>
      <c r="D137" s="22" t="str">
        <f>LEFT(Table4[[#This Row],[First_Name]],2)&amp;LEFT(Table4[[#This Row],[Last_Name]],2)&amp;ROW()</f>
        <v>EmMi137</v>
      </c>
    </row>
    <row r="138" spans="1:4" x14ac:dyDescent="0.25">
      <c r="A138" s="22" t="s">
        <v>261</v>
      </c>
      <c r="B138" s="22" t="str">
        <f>RIGHT(Table4[[#This Row],[Customer_Name]],LEN(Table4[[#This Row],[Customer_Name]])-FIND(",",Table4[[#This Row],[Customer_Name]])-1)</f>
        <v>Emily</v>
      </c>
      <c r="C138" s="22" t="str">
        <f>LEFT(Table4[[#This Row],[Customer_Name]],FIND(",",Table4[[#This Row],[Customer_Name]])-1)</f>
        <v>Brown</v>
      </c>
      <c r="D138" s="22" t="str">
        <f>LEFT(Table4[[#This Row],[First_Name]],2)&amp;LEFT(Table4[[#This Row],[Last_Name]],2)&amp;ROW()</f>
        <v>EmBr138</v>
      </c>
    </row>
    <row r="139" spans="1:4" x14ac:dyDescent="0.25">
      <c r="A139" s="22" t="s">
        <v>119</v>
      </c>
      <c r="B139" s="22" t="str">
        <f>RIGHT(Table4[[#This Row],[Customer_Name]],LEN(Table4[[#This Row],[Customer_Name]])-FIND(",",Table4[[#This Row],[Customer_Name]])-1)</f>
        <v>Michael</v>
      </c>
      <c r="C139" s="22" t="str">
        <f>LEFT(Table4[[#This Row],[Customer_Name]],FIND(",",Table4[[#This Row],[Customer_Name]])-1)</f>
        <v>Smith</v>
      </c>
      <c r="D139" s="22" t="str">
        <f>LEFT(Table4[[#This Row],[First_Name]],2)&amp;LEFT(Table4[[#This Row],[Last_Name]],2)&amp;ROW()</f>
        <v>MiSm139</v>
      </c>
    </row>
    <row r="140" spans="1:4" x14ac:dyDescent="0.25">
      <c r="A140" s="22" t="s">
        <v>231</v>
      </c>
      <c r="B140" s="22" t="str">
        <f>RIGHT(Table4[[#This Row],[Customer_Name]],LEN(Table4[[#This Row],[Customer_Name]])-FIND(",",Table4[[#This Row],[Customer_Name]])-1)</f>
        <v>Emily</v>
      </c>
      <c r="C140" s="22" t="str">
        <f>LEFT(Table4[[#This Row],[Customer_Name]],FIND(",",Table4[[#This Row],[Customer_Name]])-1)</f>
        <v>Martinez</v>
      </c>
      <c r="D140" s="22" t="str">
        <f>LEFT(Table4[[#This Row],[First_Name]],2)&amp;LEFT(Table4[[#This Row],[Last_Name]],2)&amp;ROW()</f>
        <v>EmMa140</v>
      </c>
    </row>
    <row r="141" spans="1:4" x14ac:dyDescent="0.25">
      <c r="A141" s="22" t="s">
        <v>170</v>
      </c>
      <c r="B141" s="22" t="str">
        <f>RIGHT(Table4[[#This Row],[Customer_Name]],LEN(Table4[[#This Row],[Customer_Name]])-FIND(",",Table4[[#This Row],[Customer_Name]])-1)</f>
        <v>Michael</v>
      </c>
      <c r="C141" s="22" t="str">
        <f>LEFT(Table4[[#This Row],[Customer_Name]],FIND(",",Table4[[#This Row],[Customer_Name]])-1)</f>
        <v>Jones</v>
      </c>
      <c r="D141" s="22" t="str">
        <f>LEFT(Table4[[#This Row],[First_Name]],2)&amp;LEFT(Table4[[#This Row],[Last_Name]],2)&amp;ROW()</f>
        <v>MiJo141</v>
      </c>
    </row>
    <row r="142" spans="1:4" x14ac:dyDescent="0.25">
      <c r="A142" s="22" t="s">
        <v>168</v>
      </c>
      <c r="B142" s="22" t="str">
        <f>RIGHT(Table4[[#This Row],[Customer_Name]],LEN(Table4[[#This Row],[Customer_Name]])-FIND(",",Table4[[#This Row],[Customer_Name]])-1)</f>
        <v>Daniel</v>
      </c>
      <c r="C142" s="22" t="str">
        <f>LEFT(Table4[[#This Row],[Customer_Name]],FIND(",",Table4[[#This Row],[Customer_Name]])-1)</f>
        <v>Martinez</v>
      </c>
      <c r="D142" s="22" t="str">
        <f>LEFT(Table4[[#This Row],[First_Name]],2)&amp;LEFT(Table4[[#This Row],[Last_Name]],2)&amp;ROW()</f>
        <v>DaMa142</v>
      </c>
    </row>
    <row r="143" spans="1:4" x14ac:dyDescent="0.25">
      <c r="A143" s="22" t="s">
        <v>145</v>
      </c>
      <c r="B143" s="22" t="str">
        <f>RIGHT(Table4[[#This Row],[Customer_Name]],LEN(Table4[[#This Row],[Customer_Name]])-FIND(",",Table4[[#This Row],[Customer_Name]])-1)</f>
        <v>Daniel</v>
      </c>
      <c r="C143" s="22" t="str">
        <f>LEFT(Table4[[#This Row],[Customer_Name]],FIND(",",Table4[[#This Row],[Customer_Name]])-1)</f>
        <v>Johnson</v>
      </c>
      <c r="D143" s="22" t="str">
        <f>LEFT(Table4[[#This Row],[First_Name]],2)&amp;LEFT(Table4[[#This Row],[Last_Name]],2)&amp;ROW()</f>
        <v>DaJo143</v>
      </c>
    </row>
    <row r="144" spans="1:4" x14ac:dyDescent="0.25">
      <c r="A144" s="22" t="s">
        <v>268</v>
      </c>
      <c r="B144" s="22" t="str">
        <f>RIGHT(Table4[[#This Row],[Customer_Name]],LEN(Table4[[#This Row],[Customer_Name]])-FIND(",",Table4[[#This Row],[Customer_Name]])-1)</f>
        <v>James</v>
      </c>
      <c r="C144" s="22" t="str">
        <f>LEFT(Table4[[#This Row],[Customer_Name]],FIND(",",Table4[[#This Row],[Customer_Name]])-1)</f>
        <v>Brown</v>
      </c>
      <c r="D144" s="22" t="str">
        <f>LEFT(Table4[[#This Row],[First_Name]],2)&amp;LEFT(Table4[[#This Row],[Last_Name]],2)&amp;ROW()</f>
        <v>JaBr144</v>
      </c>
    </row>
    <row r="145" spans="1:4" x14ac:dyDescent="0.25">
      <c r="A145" s="22" t="s">
        <v>233</v>
      </c>
      <c r="B145" s="22" t="str">
        <f>RIGHT(Table4[[#This Row],[Customer_Name]],LEN(Table4[[#This Row],[Customer_Name]])-FIND(",",Table4[[#This Row],[Customer_Name]])-1)</f>
        <v>Daniel</v>
      </c>
      <c r="C145" s="22" t="str">
        <f>LEFT(Table4[[#This Row],[Customer_Name]],FIND(",",Table4[[#This Row],[Customer_Name]])-1)</f>
        <v>Hernandez</v>
      </c>
      <c r="D145" s="22" t="str">
        <f>LEFT(Table4[[#This Row],[First_Name]],2)&amp;LEFT(Table4[[#This Row],[Last_Name]],2)&amp;ROW()</f>
        <v>DaHe145</v>
      </c>
    </row>
    <row r="146" spans="1:4" x14ac:dyDescent="0.25">
      <c r="A146" s="22" t="s">
        <v>100</v>
      </c>
      <c r="B146" s="22" t="str">
        <f>RIGHT(Table4[[#This Row],[Customer_Name]],LEN(Table4[[#This Row],[Customer_Name]])-FIND(",",Table4[[#This Row],[Customer_Name]])-1)</f>
        <v>Laura</v>
      </c>
      <c r="C146" s="22" t="str">
        <f>LEFT(Table4[[#This Row],[Customer_Name]],FIND(",",Table4[[#This Row],[Customer_Name]])-1)</f>
        <v>Jones</v>
      </c>
      <c r="D146" s="22" t="str">
        <f>LEFT(Table4[[#This Row],[First_Name]],2)&amp;LEFT(Table4[[#This Row],[Last_Name]],2)&amp;ROW()</f>
        <v>LaJo146</v>
      </c>
    </row>
    <row r="147" spans="1:4" x14ac:dyDescent="0.25">
      <c r="A147" s="22" t="s">
        <v>105</v>
      </c>
      <c r="B147" s="22" t="str">
        <f>RIGHT(Table4[[#This Row],[Customer_Name]],LEN(Table4[[#This Row],[Customer_Name]])-FIND(",",Table4[[#This Row],[Customer_Name]])-1)</f>
        <v>Laura</v>
      </c>
      <c r="C147" s="22" t="str">
        <f>LEFT(Table4[[#This Row],[Customer_Name]],FIND(",",Table4[[#This Row],[Customer_Name]])-1)</f>
        <v>Miller</v>
      </c>
      <c r="D147" s="22" t="str">
        <f>LEFT(Table4[[#This Row],[First_Name]],2)&amp;LEFT(Table4[[#This Row],[Last_Name]],2)&amp;ROW()</f>
        <v>LaMi147</v>
      </c>
    </row>
    <row r="148" spans="1:4" x14ac:dyDescent="0.25">
      <c r="A148" s="22" t="s">
        <v>137</v>
      </c>
      <c r="B148" s="22" t="str">
        <f>RIGHT(Table4[[#This Row],[Customer_Name]],LEN(Table4[[#This Row],[Customer_Name]])-FIND(",",Table4[[#This Row],[Customer_Name]])-1)</f>
        <v>David</v>
      </c>
      <c r="C148" s="22" t="str">
        <f>LEFT(Table4[[#This Row],[Customer_Name]],FIND(",",Table4[[#This Row],[Customer_Name]])-1)</f>
        <v>Jones</v>
      </c>
      <c r="D148" s="22" t="str">
        <f>LEFT(Table4[[#This Row],[First_Name]],2)&amp;LEFT(Table4[[#This Row],[Last_Name]],2)&amp;ROW()</f>
        <v>DaJo148</v>
      </c>
    </row>
    <row r="149" spans="1:4" x14ac:dyDescent="0.25">
      <c r="A149" s="22" t="s">
        <v>274</v>
      </c>
      <c r="B149" s="22" t="str">
        <f>RIGHT(Table4[[#This Row],[Customer_Name]],LEN(Table4[[#This Row],[Customer_Name]])-FIND(",",Table4[[#This Row],[Customer_Name]])-1)</f>
        <v>Sophia</v>
      </c>
      <c r="C149" s="22" t="str">
        <f>LEFT(Table4[[#This Row],[Customer_Name]],FIND(",",Table4[[#This Row],[Customer_Name]])-1)</f>
        <v>Johnson</v>
      </c>
      <c r="D149" s="22" t="str">
        <f>LEFT(Table4[[#This Row],[First_Name]],2)&amp;LEFT(Table4[[#This Row],[Last_Name]],2)&amp;ROW()</f>
        <v>SoJo149</v>
      </c>
    </row>
    <row r="150" spans="1:4" x14ac:dyDescent="0.25">
      <c r="A150" s="22" t="s">
        <v>276</v>
      </c>
      <c r="B150" s="22" t="str">
        <f>RIGHT(Table4[[#This Row],[Customer_Name]],LEN(Table4[[#This Row],[Customer_Name]])-FIND(",",Table4[[#This Row],[Customer_Name]])-1)</f>
        <v>Sophia</v>
      </c>
      <c r="C150" s="22" t="str">
        <f>LEFT(Table4[[#This Row],[Customer_Name]],FIND(",",Table4[[#This Row],[Customer_Name]])-1)</f>
        <v>Davis</v>
      </c>
      <c r="D150" s="22" t="str">
        <f>LEFT(Table4[[#This Row],[First_Name]],2)&amp;LEFT(Table4[[#This Row],[Last_Name]],2)&amp;ROW()</f>
        <v>SoDa150</v>
      </c>
    </row>
    <row r="151" spans="1:4" x14ac:dyDescent="0.25">
      <c r="A151" s="22" t="s">
        <v>278</v>
      </c>
      <c r="B151" s="22" t="str">
        <f>RIGHT(Table4[[#This Row],[Customer_Name]],LEN(Table4[[#This Row],[Customer_Name]])-FIND(",",Table4[[#This Row],[Customer_Name]])-1)</f>
        <v>Daniel</v>
      </c>
      <c r="C151" s="22" t="str">
        <f>LEFT(Table4[[#This Row],[Customer_Name]],FIND(",",Table4[[#This Row],[Customer_Name]])-1)</f>
        <v>Jones</v>
      </c>
      <c r="D151" s="22" t="str">
        <f>LEFT(Table4[[#This Row],[First_Name]],2)&amp;LEFT(Table4[[#This Row],[Last_Name]],2)&amp;ROW()</f>
        <v>DaJo151</v>
      </c>
    </row>
    <row r="152" spans="1:4" x14ac:dyDescent="0.25">
      <c r="A152" s="22" t="s">
        <v>85</v>
      </c>
      <c r="B152" s="22" t="str">
        <f>RIGHT(Table4[[#This Row],[Customer_Name]],LEN(Table4[[#This Row],[Customer_Name]])-FIND(",",Table4[[#This Row],[Customer_Name]])-1)</f>
        <v>Michael</v>
      </c>
      <c r="C152" s="22" t="str">
        <f>LEFT(Table4[[#This Row],[Customer_Name]],FIND(",",Table4[[#This Row],[Customer_Name]])-1)</f>
        <v>Miller</v>
      </c>
      <c r="D152" s="22" t="str">
        <f>LEFT(Table4[[#This Row],[First_Name]],2)&amp;LEFT(Table4[[#This Row],[Last_Name]],2)&amp;ROW()</f>
        <v>MiMi152</v>
      </c>
    </row>
    <row r="153" spans="1:4" x14ac:dyDescent="0.25">
      <c r="A153" s="22" t="s">
        <v>281</v>
      </c>
      <c r="B153" s="22" t="str">
        <f>RIGHT(Table4[[#This Row],[Customer_Name]],LEN(Table4[[#This Row],[Customer_Name]])-FIND(",",Table4[[#This Row],[Customer_Name]])-1)</f>
        <v>Laura</v>
      </c>
      <c r="C153" s="22" t="str">
        <f>LEFT(Table4[[#This Row],[Customer_Name]],FIND(",",Table4[[#This Row],[Customer_Name]])-1)</f>
        <v>Davis</v>
      </c>
      <c r="D153" s="22" t="str">
        <f>LEFT(Table4[[#This Row],[First_Name]],2)&amp;LEFT(Table4[[#This Row],[Last_Name]],2)&amp;ROW()</f>
        <v>LaDa153</v>
      </c>
    </row>
    <row r="154" spans="1:4" x14ac:dyDescent="0.25">
      <c r="A154" s="22" t="s">
        <v>115</v>
      </c>
      <c r="B154" s="22" t="str">
        <f>RIGHT(Table4[[#This Row],[Customer_Name]],LEN(Table4[[#This Row],[Customer_Name]])-FIND(",",Table4[[#This Row],[Customer_Name]])-1)</f>
        <v>Laura</v>
      </c>
      <c r="C154" s="22" t="str">
        <f>LEFT(Table4[[#This Row],[Customer_Name]],FIND(",",Table4[[#This Row],[Customer_Name]])-1)</f>
        <v>Williams</v>
      </c>
      <c r="D154" s="22" t="str">
        <f>LEFT(Table4[[#This Row],[First_Name]],2)&amp;LEFT(Table4[[#This Row],[Last_Name]],2)&amp;ROW()</f>
        <v>LaWi154</v>
      </c>
    </row>
    <row r="155" spans="1:4" x14ac:dyDescent="0.25">
      <c r="A155" s="22" t="s">
        <v>268</v>
      </c>
      <c r="B155" s="22" t="str">
        <f>RIGHT(Table4[[#This Row],[Customer_Name]],LEN(Table4[[#This Row],[Customer_Name]])-FIND(",",Table4[[#This Row],[Customer_Name]])-1)</f>
        <v>James</v>
      </c>
      <c r="C155" s="22" t="str">
        <f>LEFT(Table4[[#This Row],[Customer_Name]],FIND(",",Table4[[#This Row],[Customer_Name]])-1)</f>
        <v>Brown</v>
      </c>
      <c r="D155" s="22" t="str">
        <f>LEFT(Table4[[#This Row],[First_Name]],2)&amp;LEFT(Table4[[#This Row],[Last_Name]],2)&amp;ROW()</f>
        <v>JaBr155</v>
      </c>
    </row>
    <row r="156" spans="1:4" x14ac:dyDescent="0.25">
      <c r="A156" s="22" t="s">
        <v>34</v>
      </c>
      <c r="B156" s="22" t="str">
        <f>RIGHT(Table4[[#This Row],[Customer_Name]],LEN(Table4[[#This Row],[Customer_Name]])-FIND(",",Table4[[#This Row],[Customer_Name]])-1)</f>
        <v>Daniel</v>
      </c>
      <c r="C156" s="22" t="str">
        <f>LEFT(Table4[[#This Row],[Customer_Name]],FIND(",",Table4[[#This Row],[Customer_Name]])-1)</f>
        <v>Miller</v>
      </c>
      <c r="D156" s="22" t="str">
        <f>LEFT(Table4[[#This Row],[First_Name]],2)&amp;LEFT(Table4[[#This Row],[Last_Name]],2)&amp;ROW()</f>
        <v>DaMi156</v>
      </c>
    </row>
    <row r="157" spans="1:4" x14ac:dyDescent="0.25">
      <c r="A157" s="22" t="s">
        <v>286</v>
      </c>
      <c r="B157" s="22" t="str">
        <f>RIGHT(Table4[[#This Row],[Customer_Name]],LEN(Table4[[#This Row],[Customer_Name]])-FIND(",",Table4[[#This Row],[Customer_Name]])-1)</f>
        <v>Michael</v>
      </c>
      <c r="C157" s="22" t="str">
        <f>LEFT(Table4[[#This Row],[Customer_Name]],FIND(",",Table4[[#This Row],[Customer_Name]])-1)</f>
        <v>Hernandez</v>
      </c>
      <c r="D157" s="22" t="str">
        <f>LEFT(Table4[[#This Row],[First_Name]],2)&amp;LEFT(Table4[[#This Row],[Last_Name]],2)&amp;ROW()</f>
        <v>MiHe157</v>
      </c>
    </row>
    <row r="158" spans="1:4" x14ac:dyDescent="0.25">
      <c r="A158" s="22" t="s">
        <v>119</v>
      </c>
      <c r="B158" s="22" t="str">
        <f>RIGHT(Table4[[#This Row],[Customer_Name]],LEN(Table4[[#This Row],[Customer_Name]])-FIND(",",Table4[[#This Row],[Customer_Name]])-1)</f>
        <v>Michael</v>
      </c>
      <c r="C158" s="22" t="str">
        <f>LEFT(Table4[[#This Row],[Customer_Name]],FIND(",",Table4[[#This Row],[Customer_Name]])-1)</f>
        <v>Smith</v>
      </c>
      <c r="D158" s="22" t="str">
        <f>LEFT(Table4[[#This Row],[First_Name]],2)&amp;LEFT(Table4[[#This Row],[Last_Name]],2)&amp;ROW()</f>
        <v>MiSm158</v>
      </c>
    </row>
    <row r="159" spans="1:4" x14ac:dyDescent="0.25">
      <c r="A159" s="22" t="s">
        <v>139</v>
      </c>
      <c r="B159" s="22" t="str">
        <f>RIGHT(Table4[[#This Row],[Customer_Name]],LEN(Table4[[#This Row],[Customer_Name]])-FIND(",",Table4[[#This Row],[Customer_Name]])-1)</f>
        <v>Sarah</v>
      </c>
      <c r="C159" s="22" t="str">
        <f>LEFT(Table4[[#This Row],[Customer_Name]],FIND(",",Table4[[#This Row],[Customer_Name]])-1)</f>
        <v>Brown</v>
      </c>
      <c r="D159" s="22" t="str">
        <f>LEFT(Table4[[#This Row],[First_Name]],2)&amp;LEFT(Table4[[#This Row],[Last_Name]],2)&amp;ROW()</f>
        <v>SaBr159</v>
      </c>
    </row>
    <row r="160" spans="1:4" x14ac:dyDescent="0.25">
      <c r="A160" s="22" t="s">
        <v>95</v>
      </c>
      <c r="B160" s="22" t="str">
        <f>RIGHT(Table4[[#This Row],[Customer_Name]],LEN(Table4[[#This Row],[Customer_Name]])-FIND(",",Table4[[#This Row],[Customer_Name]])-1)</f>
        <v>Daniel</v>
      </c>
      <c r="C160" s="22" t="str">
        <f>LEFT(Table4[[#This Row],[Customer_Name]],FIND(",",Table4[[#This Row],[Customer_Name]])-1)</f>
        <v>Williams</v>
      </c>
      <c r="D160" s="22" t="str">
        <f>LEFT(Table4[[#This Row],[First_Name]],2)&amp;LEFT(Table4[[#This Row],[Last_Name]],2)&amp;ROW()</f>
        <v>DaWi160</v>
      </c>
    </row>
    <row r="161" spans="1:4" x14ac:dyDescent="0.25">
      <c r="A161" s="22" t="s">
        <v>291</v>
      </c>
      <c r="B161" s="22" t="str">
        <f>RIGHT(Table4[[#This Row],[Customer_Name]],LEN(Table4[[#This Row],[Customer_Name]])-FIND(",",Table4[[#This Row],[Customer_Name]])-1)</f>
        <v>John</v>
      </c>
      <c r="C161" s="22" t="str">
        <f>LEFT(Table4[[#This Row],[Customer_Name]],FIND(",",Table4[[#This Row],[Customer_Name]])-1)</f>
        <v>Brown</v>
      </c>
      <c r="D161" s="22" t="str">
        <f>LEFT(Table4[[#This Row],[First_Name]],2)&amp;LEFT(Table4[[#This Row],[Last_Name]],2)&amp;ROW()</f>
        <v>JoBr161</v>
      </c>
    </row>
    <row r="162" spans="1:4" x14ac:dyDescent="0.25">
      <c r="A162" s="22" t="s">
        <v>293</v>
      </c>
      <c r="B162" s="22" t="str">
        <f>RIGHT(Table4[[#This Row],[Customer_Name]],LEN(Table4[[#This Row],[Customer_Name]])-FIND(",",Table4[[#This Row],[Customer_Name]])-1)</f>
        <v>David</v>
      </c>
      <c r="C162" s="22" t="str">
        <f>LEFT(Table4[[#This Row],[Customer_Name]],FIND(",",Table4[[#This Row],[Customer_Name]])-1)</f>
        <v>Martinez</v>
      </c>
      <c r="D162" s="22" t="str">
        <f>LEFT(Table4[[#This Row],[First_Name]],2)&amp;LEFT(Table4[[#This Row],[Last_Name]],2)&amp;ROW()</f>
        <v>DaMa162</v>
      </c>
    </row>
    <row r="163" spans="1:4" x14ac:dyDescent="0.25">
      <c r="A163" s="22" t="s">
        <v>62</v>
      </c>
      <c r="B163" s="22" t="str">
        <f>RIGHT(Table4[[#This Row],[Customer_Name]],LEN(Table4[[#This Row],[Customer_Name]])-FIND(",",Table4[[#This Row],[Customer_Name]])-1)</f>
        <v>Laura</v>
      </c>
      <c r="C163" s="22" t="str">
        <f>LEFT(Table4[[#This Row],[Customer_Name]],FIND(",",Table4[[#This Row],[Customer_Name]])-1)</f>
        <v>Martinez</v>
      </c>
      <c r="D163" s="22" t="str">
        <f>LEFT(Table4[[#This Row],[First_Name]],2)&amp;LEFT(Table4[[#This Row],[Last_Name]],2)&amp;ROW()</f>
        <v>LaMa163</v>
      </c>
    </row>
    <row r="164" spans="1:4" x14ac:dyDescent="0.25">
      <c r="A164" s="22" t="s">
        <v>62</v>
      </c>
      <c r="B164" s="22" t="str">
        <f>RIGHT(Table4[[#This Row],[Customer_Name]],LEN(Table4[[#This Row],[Customer_Name]])-FIND(",",Table4[[#This Row],[Customer_Name]])-1)</f>
        <v>Laura</v>
      </c>
      <c r="C164" s="22" t="str">
        <f>LEFT(Table4[[#This Row],[Customer_Name]],FIND(",",Table4[[#This Row],[Customer_Name]])-1)</f>
        <v>Martinez</v>
      </c>
      <c r="D164" s="22" t="str">
        <f>LEFT(Table4[[#This Row],[First_Name]],2)&amp;LEFT(Table4[[#This Row],[Last_Name]],2)&amp;ROW()</f>
        <v>LaMa164</v>
      </c>
    </row>
    <row r="165" spans="1:4" x14ac:dyDescent="0.25">
      <c r="A165" s="22" t="s">
        <v>297</v>
      </c>
      <c r="B165" s="22" t="str">
        <f>RIGHT(Table4[[#This Row],[Customer_Name]],LEN(Table4[[#This Row],[Customer_Name]])-FIND(",",Table4[[#This Row],[Customer_Name]])-1)</f>
        <v>Emily</v>
      </c>
      <c r="C165" s="22" t="str">
        <f>LEFT(Table4[[#This Row],[Customer_Name]],FIND(",",Table4[[#This Row],[Customer_Name]])-1)</f>
        <v>Johnson</v>
      </c>
      <c r="D165" s="22" t="str">
        <f>LEFT(Table4[[#This Row],[First_Name]],2)&amp;LEFT(Table4[[#This Row],[Last_Name]],2)&amp;ROW()</f>
        <v>EmJo165</v>
      </c>
    </row>
    <row r="166" spans="1:4" x14ac:dyDescent="0.25">
      <c r="A166" s="22" t="s">
        <v>211</v>
      </c>
      <c r="B166" s="22" t="str">
        <f>RIGHT(Table4[[#This Row],[Customer_Name]],LEN(Table4[[#This Row],[Customer_Name]])-FIND(",",Table4[[#This Row],[Customer_Name]])-1)</f>
        <v>Emma</v>
      </c>
      <c r="C166" s="22" t="str">
        <f>LEFT(Table4[[#This Row],[Customer_Name]],FIND(",",Table4[[#This Row],[Customer_Name]])-1)</f>
        <v>Garcia</v>
      </c>
      <c r="D166" s="22" t="str">
        <f>LEFT(Table4[[#This Row],[First_Name]],2)&amp;LEFT(Table4[[#This Row],[Last_Name]],2)&amp;ROW()</f>
        <v>EmGa166</v>
      </c>
    </row>
    <row r="167" spans="1:4" x14ac:dyDescent="0.25">
      <c r="A167" s="22" t="s">
        <v>300</v>
      </c>
      <c r="B167" s="22" t="str">
        <f>RIGHT(Table4[[#This Row],[Customer_Name]],LEN(Table4[[#This Row],[Customer_Name]])-FIND(",",Table4[[#This Row],[Customer_Name]])-1)</f>
        <v>John</v>
      </c>
      <c r="C167" s="22" t="str">
        <f>LEFT(Table4[[#This Row],[Customer_Name]],FIND(",",Table4[[#This Row],[Customer_Name]])-1)</f>
        <v>Garcia</v>
      </c>
      <c r="D167" s="22" t="str">
        <f>LEFT(Table4[[#This Row],[First_Name]],2)&amp;LEFT(Table4[[#This Row],[Last_Name]],2)&amp;ROW()</f>
        <v>JoGa167</v>
      </c>
    </row>
    <row r="168" spans="1:4" x14ac:dyDescent="0.25">
      <c r="A168" s="22" t="s">
        <v>110</v>
      </c>
      <c r="B168" s="22" t="str">
        <f>RIGHT(Table4[[#This Row],[Customer_Name]],LEN(Table4[[#This Row],[Customer_Name]])-FIND(",",Table4[[#This Row],[Customer_Name]])-1)</f>
        <v>Sophia</v>
      </c>
      <c r="C168" s="22" t="str">
        <f>LEFT(Table4[[#This Row],[Customer_Name]],FIND(",",Table4[[#This Row],[Customer_Name]])-1)</f>
        <v>Smith</v>
      </c>
      <c r="D168" s="22" t="str">
        <f>LEFT(Table4[[#This Row],[First_Name]],2)&amp;LEFT(Table4[[#This Row],[Last_Name]],2)&amp;ROW()</f>
        <v>SoSm168</v>
      </c>
    </row>
    <row r="169" spans="1:4" x14ac:dyDescent="0.25">
      <c r="A169" s="22" t="s">
        <v>303</v>
      </c>
      <c r="B169" s="22" t="str">
        <f>RIGHT(Table4[[#This Row],[Customer_Name]],LEN(Table4[[#This Row],[Customer_Name]])-FIND(",",Table4[[#This Row],[Customer_Name]])-1)</f>
        <v>Emily</v>
      </c>
      <c r="C169" s="22" t="str">
        <f>LEFT(Table4[[#This Row],[Customer_Name]],FIND(",",Table4[[#This Row],[Customer_Name]])-1)</f>
        <v>Jones</v>
      </c>
      <c r="D169" s="22" t="str">
        <f>LEFT(Table4[[#This Row],[First_Name]],2)&amp;LEFT(Table4[[#This Row],[Last_Name]],2)&amp;ROW()</f>
        <v>EmJo169</v>
      </c>
    </row>
    <row r="170" spans="1:4" x14ac:dyDescent="0.25">
      <c r="A170" s="22" t="s">
        <v>115</v>
      </c>
      <c r="B170" s="22" t="str">
        <f>RIGHT(Table4[[#This Row],[Customer_Name]],LEN(Table4[[#This Row],[Customer_Name]])-FIND(",",Table4[[#This Row],[Customer_Name]])-1)</f>
        <v>Laura</v>
      </c>
      <c r="C170" s="22" t="str">
        <f>LEFT(Table4[[#This Row],[Customer_Name]],FIND(",",Table4[[#This Row],[Customer_Name]])-1)</f>
        <v>Williams</v>
      </c>
      <c r="D170" s="22" t="str">
        <f>LEFT(Table4[[#This Row],[First_Name]],2)&amp;LEFT(Table4[[#This Row],[Last_Name]],2)&amp;ROW()</f>
        <v>LaWi170</v>
      </c>
    </row>
    <row r="171" spans="1:4" x14ac:dyDescent="0.25">
      <c r="A171" s="22" t="s">
        <v>306</v>
      </c>
      <c r="B171" s="22" t="str">
        <f>RIGHT(Table4[[#This Row],[Customer_Name]],LEN(Table4[[#This Row],[Customer_Name]])-FIND(",",Table4[[#This Row],[Customer_Name]])-1)</f>
        <v>James</v>
      </c>
      <c r="C171" s="22" t="str">
        <f>LEFT(Table4[[#This Row],[Customer_Name]],FIND(",",Table4[[#This Row],[Customer_Name]])-1)</f>
        <v>Miller</v>
      </c>
      <c r="D171" s="22" t="str">
        <f>LEFT(Table4[[#This Row],[First_Name]],2)&amp;LEFT(Table4[[#This Row],[Last_Name]],2)&amp;ROW()</f>
        <v>JaMi171</v>
      </c>
    </row>
    <row r="172" spans="1:4" x14ac:dyDescent="0.25">
      <c r="A172" s="22" t="s">
        <v>50</v>
      </c>
      <c r="B172" s="22" t="str">
        <f>RIGHT(Table4[[#This Row],[Customer_Name]],LEN(Table4[[#This Row],[Customer_Name]])-FIND(",",Table4[[#This Row],[Customer_Name]])-1)</f>
        <v>Emma</v>
      </c>
      <c r="C172" s="22" t="str">
        <f>LEFT(Table4[[#This Row],[Customer_Name]],FIND(",",Table4[[#This Row],[Customer_Name]])-1)</f>
        <v>Hernandez</v>
      </c>
      <c r="D172" s="22" t="str">
        <f>LEFT(Table4[[#This Row],[First_Name]],2)&amp;LEFT(Table4[[#This Row],[Last_Name]],2)&amp;ROW()</f>
        <v>EmHe172</v>
      </c>
    </row>
    <row r="173" spans="1:4" x14ac:dyDescent="0.25">
      <c r="A173" s="22" t="s">
        <v>306</v>
      </c>
      <c r="B173" s="22" t="str">
        <f>RIGHT(Table4[[#This Row],[Customer_Name]],LEN(Table4[[#This Row],[Customer_Name]])-FIND(",",Table4[[#This Row],[Customer_Name]])-1)</f>
        <v>James</v>
      </c>
      <c r="C173" s="22" t="str">
        <f>LEFT(Table4[[#This Row],[Customer_Name]],FIND(",",Table4[[#This Row],[Customer_Name]])-1)</f>
        <v>Miller</v>
      </c>
      <c r="D173" s="22" t="str">
        <f>LEFT(Table4[[#This Row],[First_Name]],2)&amp;LEFT(Table4[[#This Row],[Last_Name]],2)&amp;ROW()</f>
        <v>JaMi173</v>
      </c>
    </row>
    <row r="174" spans="1:4" x14ac:dyDescent="0.25">
      <c r="A174" s="22" t="s">
        <v>154</v>
      </c>
      <c r="B174" s="22" t="str">
        <f>RIGHT(Table4[[#This Row],[Customer_Name]],LEN(Table4[[#This Row],[Customer_Name]])-FIND(",",Table4[[#This Row],[Customer_Name]])-1)</f>
        <v>Michael</v>
      </c>
      <c r="C174" s="22" t="str">
        <f>LEFT(Table4[[#This Row],[Customer_Name]],FIND(",",Table4[[#This Row],[Customer_Name]])-1)</f>
        <v>Williams</v>
      </c>
      <c r="D174" s="22" t="str">
        <f>LEFT(Table4[[#This Row],[First_Name]],2)&amp;LEFT(Table4[[#This Row],[Last_Name]],2)&amp;ROW()</f>
        <v>MiWi174</v>
      </c>
    </row>
    <row r="175" spans="1:4" x14ac:dyDescent="0.25">
      <c r="A175" s="22" t="s">
        <v>193</v>
      </c>
      <c r="B175" s="22" t="str">
        <f>RIGHT(Table4[[#This Row],[Customer_Name]],LEN(Table4[[#This Row],[Customer_Name]])-FIND(",",Table4[[#This Row],[Customer_Name]])-1)</f>
        <v>Laura</v>
      </c>
      <c r="C175" s="22" t="str">
        <f>LEFT(Table4[[#This Row],[Customer_Name]],FIND(",",Table4[[#This Row],[Customer_Name]])-1)</f>
        <v>Hernandez</v>
      </c>
      <c r="D175" s="22" t="str">
        <f>LEFT(Table4[[#This Row],[First_Name]],2)&amp;LEFT(Table4[[#This Row],[Last_Name]],2)&amp;ROW()</f>
        <v>LaHe175</v>
      </c>
    </row>
    <row r="176" spans="1:4" x14ac:dyDescent="0.25">
      <c r="A176" s="22" t="s">
        <v>209</v>
      </c>
      <c r="B176" s="22" t="str">
        <f>RIGHT(Table4[[#This Row],[Customer_Name]],LEN(Table4[[#This Row],[Customer_Name]])-FIND(",",Table4[[#This Row],[Customer_Name]])-1)</f>
        <v>James</v>
      </c>
      <c r="C176" s="22" t="str">
        <f>LEFT(Table4[[#This Row],[Customer_Name]],FIND(",",Table4[[#This Row],[Customer_Name]])-1)</f>
        <v>Williams</v>
      </c>
      <c r="D176" s="22" t="str">
        <f>LEFT(Table4[[#This Row],[First_Name]],2)&amp;LEFT(Table4[[#This Row],[Last_Name]],2)&amp;ROW()</f>
        <v>JaWi176</v>
      </c>
    </row>
    <row r="177" spans="1:4" x14ac:dyDescent="0.25">
      <c r="A177" s="22" t="s">
        <v>105</v>
      </c>
      <c r="B177" s="22" t="str">
        <f>RIGHT(Table4[[#This Row],[Customer_Name]],LEN(Table4[[#This Row],[Customer_Name]])-FIND(",",Table4[[#This Row],[Customer_Name]])-1)</f>
        <v>Laura</v>
      </c>
      <c r="C177" s="22" t="str">
        <f>LEFT(Table4[[#This Row],[Customer_Name]],FIND(",",Table4[[#This Row],[Customer_Name]])-1)</f>
        <v>Miller</v>
      </c>
      <c r="D177" s="22" t="str">
        <f>LEFT(Table4[[#This Row],[First_Name]],2)&amp;LEFT(Table4[[#This Row],[Last_Name]],2)&amp;ROW()</f>
        <v>LaMi177</v>
      </c>
    </row>
    <row r="178" spans="1:4" x14ac:dyDescent="0.25">
      <c r="A178" s="22" t="s">
        <v>246</v>
      </c>
      <c r="B178" s="22" t="str">
        <f>RIGHT(Table4[[#This Row],[Customer_Name]],LEN(Table4[[#This Row],[Customer_Name]])-FIND(",",Table4[[#This Row],[Customer_Name]])-1)</f>
        <v>John</v>
      </c>
      <c r="C178" s="22" t="str">
        <f>LEFT(Table4[[#This Row],[Customer_Name]],FIND(",",Table4[[#This Row],[Customer_Name]])-1)</f>
        <v>Martinez</v>
      </c>
      <c r="D178" s="22" t="str">
        <f>LEFT(Table4[[#This Row],[First_Name]],2)&amp;LEFT(Table4[[#This Row],[Last_Name]],2)&amp;ROW()</f>
        <v>JoMa178</v>
      </c>
    </row>
    <row r="179" spans="1:4" x14ac:dyDescent="0.25">
      <c r="A179" s="22" t="s">
        <v>315</v>
      </c>
      <c r="B179" s="22" t="str">
        <f>RIGHT(Table4[[#This Row],[Customer_Name]],LEN(Table4[[#This Row],[Customer_Name]])-FIND(",",Table4[[#This Row],[Customer_Name]])-1)</f>
        <v>Sarah</v>
      </c>
      <c r="C179" s="22" t="str">
        <f>LEFT(Table4[[#This Row],[Customer_Name]],FIND(",",Table4[[#This Row],[Customer_Name]])-1)</f>
        <v>Hernandez</v>
      </c>
      <c r="D179" s="22" t="str">
        <f>LEFT(Table4[[#This Row],[First_Name]],2)&amp;LEFT(Table4[[#This Row],[Last_Name]],2)&amp;ROW()</f>
        <v>SaHe179</v>
      </c>
    </row>
    <row r="180" spans="1:4" x14ac:dyDescent="0.25">
      <c r="A180" s="22" t="s">
        <v>41</v>
      </c>
      <c r="B180" s="22" t="str">
        <f>RIGHT(Table4[[#This Row],[Customer_Name]],LEN(Table4[[#This Row],[Customer_Name]])-FIND(",",Table4[[#This Row],[Customer_Name]])-1)</f>
        <v>Emma</v>
      </c>
      <c r="C180" s="22" t="str">
        <f>LEFT(Table4[[#This Row],[Customer_Name]],FIND(",",Table4[[#This Row],[Customer_Name]])-1)</f>
        <v>Johnson</v>
      </c>
      <c r="D180" s="22" t="str">
        <f>LEFT(Table4[[#This Row],[First_Name]],2)&amp;LEFT(Table4[[#This Row],[Last_Name]],2)&amp;ROW()</f>
        <v>EmJo180</v>
      </c>
    </row>
    <row r="181" spans="1:4" x14ac:dyDescent="0.25">
      <c r="A181" s="22" t="s">
        <v>121</v>
      </c>
      <c r="B181" s="22" t="str">
        <f>RIGHT(Table4[[#This Row],[Customer_Name]],LEN(Table4[[#This Row],[Customer_Name]])-FIND(",",Table4[[#This Row],[Customer_Name]])-1)</f>
        <v>Sarah</v>
      </c>
      <c r="C181" s="22" t="str">
        <f>LEFT(Table4[[#This Row],[Customer_Name]],FIND(",",Table4[[#This Row],[Customer_Name]])-1)</f>
        <v>Martinez</v>
      </c>
      <c r="D181" s="22" t="str">
        <f>LEFT(Table4[[#This Row],[First_Name]],2)&amp;LEFT(Table4[[#This Row],[Last_Name]],2)&amp;ROW()</f>
        <v>SaMa181</v>
      </c>
    </row>
    <row r="182" spans="1:4" x14ac:dyDescent="0.25">
      <c r="A182" s="22" t="s">
        <v>319</v>
      </c>
      <c r="B182" s="22" t="str">
        <f>RIGHT(Table4[[#This Row],[Customer_Name]],LEN(Table4[[#This Row],[Customer_Name]])-FIND(",",Table4[[#This Row],[Customer_Name]])-1)</f>
        <v>Daniel</v>
      </c>
      <c r="C182" s="22" t="str">
        <f>LEFT(Table4[[#This Row],[Customer_Name]],FIND(",",Table4[[#This Row],[Customer_Name]])-1)</f>
        <v>Davis</v>
      </c>
      <c r="D182" s="22" t="str">
        <f>LEFT(Table4[[#This Row],[First_Name]],2)&amp;LEFT(Table4[[#This Row],[Last_Name]],2)&amp;ROW()</f>
        <v>DaDa182</v>
      </c>
    </row>
    <row r="183" spans="1:4" x14ac:dyDescent="0.25">
      <c r="A183" s="22" t="s">
        <v>193</v>
      </c>
      <c r="B183" s="22" t="str">
        <f>RIGHT(Table4[[#This Row],[Customer_Name]],LEN(Table4[[#This Row],[Customer_Name]])-FIND(",",Table4[[#This Row],[Customer_Name]])-1)</f>
        <v>Laura</v>
      </c>
      <c r="C183" s="22" t="str">
        <f>LEFT(Table4[[#This Row],[Customer_Name]],FIND(",",Table4[[#This Row],[Customer_Name]])-1)</f>
        <v>Hernandez</v>
      </c>
      <c r="D183" s="22" t="str">
        <f>LEFT(Table4[[#This Row],[First_Name]],2)&amp;LEFT(Table4[[#This Row],[Last_Name]],2)&amp;ROW()</f>
        <v>LaHe183</v>
      </c>
    </row>
    <row r="184" spans="1:4" x14ac:dyDescent="0.25">
      <c r="A184" s="22" t="s">
        <v>100</v>
      </c>
      <c r="B184" s="22" t="str">
        <f>RIGHT(Table4[[#This Row],[Customer_Name]],LEN(Table4[[#This Row],[Customer_Name]])-FIND(",",Table4[[#This Row],[Customer_Name]])-1)</f>
        <v>Laura</v>
      </c>
      <c r="C184" s="22" t="str">
        <f>LEFT(Table4[[#This Row],[Customer_Name]],FIND(",",Table4[[#This Row],[Customer_Name]])-1)</f>
        <v>Jones</v>
      </c>
      <c r="D184" s="22" t="str">
        <f>LEFT(Table4[[#This Row],[First_Name]],2)&amp;LEFT(Table4[[#This Row],[Last_Name]],2)&amp;ROW()</f>
        <v>LaJo184</v>
      </c>
    </row>
    <row r="185" spans="1:4" x14ac:dyDescent="0.25">
      <c r="A185" s="22" t="s">
        <v>323</v>
      </c>
      <c r="B185" s="22" t="str">
        <f>RIGHT(Table4[[#This Row],[Customer_Name]],LEN(Table4[[#This Row],[Customer_Name]])-FIND(",",Table4[[#This Row],[Customer_Name]])-1)</f>
        <v>Emma</v>
      </c>
      <c r="C185" s="22" t="str">
        <f>LEFT(Table4[[#This Row],[Customer_Name]],FIND(",",Table4[[#This Row],[Customer_Name]])-1)</f>
        <v>Miller</v>
      </c>
      <c r="D185" s="22" t="str">
        <f>LEFT(Table4[[#This Row],[First_Name]],2)&amp;LEFT(Table4[[#This Row],[Last_Name]],2)&amp;ROW()</f>
        <v>EmMi185</v>
      </c>
    </row>
    <row r="186" spans="1:4" x14ac:dyDescent="0.25">
      <c r="A186" s="22" t="s">
        <v>246</v>
      </c>
      <c r="B186" s="22" t="str">
        <f>RIGHT(Table4[[#This Row],[Customer_Name]],LEN(Table4[[#This Row],[Customer_Name]])-FIND(",",Table4[[#This Row],[Customer_Name]])-1)</f>
        <v>John</v>
      </c>
      <c r="C186" s="22" t="str">
        <f>LEFT(Table4[[#This Row],[Customer_Name]],FIND(",",Table4[[#This Row],[Customer_Name]])-1)</f>
        <v>Martinez</v>
      </c>
      <c r="D186" s="22" t="str">
        <f>LEFT(Table4[[#This Row],[First_Name]],2)&amp;LEFT(Table4[[#This Row],[Last_Name]],2)&amp;ROW()</f>
        <v>JoMa186</v>
      </c>
    </row>
    <row r="187" spans="1:4" x14ac:dyDescent="0.25">
      <c r="A187" s="22" t="s">
        <v>15</v>
      </c>
      <c r="B187" s="22" t="str">
        <f>RIGHT(Table4[[#This Row],[Customer_Name]],LEN(Table4[[#This Row],[Customer_Name]])-FIND(",",Table4[[#This Row],[Customer_Name]])-1)</f>
        <v>Emily</v>
      </c>
      <c r="C187" s="22" t="str">
        <f>LEFT(Table4[[#This Row],[Customer_Name]],FIND(",",Table4[[#This Row],[Customer_Name]])-1)</f>
        <v>Smith</v>
      </c>
      <c r="D187" s="22" t="str">
        <f>LEFT(Table4[[#This Row],[First_Name]],2)&amp;LEFT(Table4[[#This Row],[Last_Name]],2)&amp;ROW()</f>
        <v>EmSm187</v>
      </c>
    </row>
    <row r="188" spans="1:4" x14ac:dyDescent="0.25">
      <c r="A188" s="22" t="s">
        <v>117</v>
      </c>
      <c r="B188" s="22" t="str">
        <f>RIGHT(Table4[[#This Row],[Customer_Name]],LEN(Table4[[#This Row],[Customer_Name]])-FIND(",",Table4[[#This Row],[Customer_Name]])-1)</f>
        <v>David</v>
      </c>
      <c r="C188" s="22" t="str">
        <f>LEFT(Table4[[#This Row],[Customer_Name]],FIND(",",Table4[[#This Row],[Customer_Name]])-1)</f>
        <v>Miller</v>
      </c>
      <c r="D188" s="22" t="str">
        <f>LEFT(Table4[[#This Row],[First_Name]],2)&amp;LEFT(Table4[[#This Row],[Last_Name]],2)&amp;ROW()</f>
        <v>DaMi188</v>
      </c>
    </row>
    <row r="189" spans="1:4" x14ac:dyDescent="0.25">
      <c r="A189" s="22" t="s">
        <v>221</v>
      </c>
      <c r="B189" s="22" t="str">
        <f>RIGHT(Table4[[#This Row],[Customer_Name]],LEN(Table4[[#This Row],[Customer_Name]])-FIND(",",Table4[[#This Row],[Customer_Name]])-1)</f>
        <v>David</v>
      </c>
      <c r="C189" s="22" t="str">
        <f>LEFT(Table4[[#This Row],[Customer_Name]],FIND(",",Table4[[#This Row],[Customer_Name]])-1)</f>
        <v>Johnson</v>
      </c>
      <c r="D189" s="22" t="str">
        <f>LEFT(Table4[[#This Row],[First_Name]],2)&amp;LEFT(Table4[[#This Row],[Last_Name]],2)&amp;ROW()</f>
        <v>DaJo189</v>
      </c>
    </row>
    <row r="190" spans="1:4" x14ac:dyDescent="0.25">
      <c r="A190" s="22" t="s">
        <v>276</v>
      </c>
      <c r="B190" s="22" t="str">
        <f>RIGHT(Table4[[#This Row],[Customer_Name]],LEN(Table4[[#This Row],[Customer_Name]])-FIND(",",Table4[[#This Row],[Customer_Name]])-1)</f>
        <v>Sophia</v>
      </c>
      <c r="C190" s="22" t="str">
        <f>LEFT(Table4[[#This Row],[Customer_Name]],FIND(",",Table4[[#This Row],[Customer_Name]])-1)</f>
        <v>Davis</v>
      </c>
      <c r="D190" s="22" t="str">
        <f>LEFT(Table4[[#This Row],[First_Name]],2)&amp;LEFT(Table4[[#This Row],[Last_Name]],2)&amp;ROW()</f>
        <v>SoDa190</v>
      </c>
    </row>
    <row r="191" spans="1:4" x14ac:dyDescent="0.25">
      <c r="A191" s="22" t="s">
        <v>330</v>
      </c>
      <c r="B191" s="22" t="str">
        <f>RIGHT(Table4[[#This Row],[Customer_Name]],LEN(Table4[[#This Row],[Customer_Name]])-FIND(",",Table4[[#This Row],[Customer_Name]])-1)</f>
        <v>Daniel</v>
      </c>
      <c r="C191" s="22" t="str">
        <f>LEFT(Table4[[#This Row],[Customer_Name]],FIND(",",Table4[[#This Row],[Customer_Name]])-1)</f>
        <v>Garcia</v>
      </c>
      <c r="D191" s="22" t="str">
        <f>LEFT(Table4[[#This Row],[First_Name]],2)&amp;LEFT(Table4[[#This Row],[Last_Name]],2)&amp;ROW()</f>
        <v>DaGa191</v>
      </c>
    </row>
    <row r="192" spans="1:4" x14ac:dyDescent="0.25">
      <c r="A192" s="22" t="s">
        <v>173</v>
      </c>
      <c r="B192" s="22" t="str">
        <f>RIGHT(Table4[[#This Row],[Customer_Name]],LEN(Table4[[#This Row],[Customer_Name]])-FIND(",",Table4[[#This Row],[Customer_Name]])-1)</f>
        <v>Michael</v>
      </c>
      <c r="C192" s="22" t="str">
        <f>LEFT(Table4[[#This Row],[Customer_Name]],FIND(",",Table4[[#This Row],[Customer_Name]])-1)</f>
        <v>Garcia</v>
      </c>
      <c r="D192" s="22" t="str">
        <f>LEFT(Table4[[#This Row],[First_Name]],2)&amp;LEFT(Table4[[#This Row],[Last_Name]],2)&amp;ROW()</f>
        <v>MiGa192</v>
      </c>
    </row>
    <row r="193" spans="1:4" x14ac:dyDescent="0.25">
      <c r="A193" s="22" t="s">
        <v>81</v>
      </c>
      <c r="B193" s="22" t="str">
        <f>RIGHT(Table4[[#This Row],[Customer_Name]],LEN(Table4[[#This Row],[Customer_Name]])-FIND(",",Table4[[#This Row],[Customer_Name]])-1)</f>
        <v>Sarah</v>
      </c>
      <c r="C193" s="22" t="str">
        <f>LEFT(Table4[[#This Row],[Customer_Name]],FIND(",",Table4[[#This Row],[Customer_Name]])-1)</f>
        <v>Smith</v>
      </c>
      <c r="D193" s="22" t="str">
        <f>LEFT(Table4[[#This Row],[First_Name]],2)&amp;LEFT(Table4[[#This Row],[Last_Name]],2)&amp;ROW()</f>
        <v>SaSm193</v>
      </c>
    </row>
    <row r="194" spans="1:4" x14ac:dyDescent="0.25">
      <c r="A194" s="22" t="s">
        <v>91</v>
      </c>
      <c r="B194" s="22" t="str">
        <f>RIGHT(Table4[[#This Row],[Customer_Name]],LEN(Table4[[#This Row],[Customer_Name]])-FIND(",",Table4[[#This Row],[Customer_Name]])-1)</f>
        <v>Sarah</v>
      </c>
      <c r="C194" s="22" t="str">
        <f>LEFT(Table4[[#This Row],[Customer_Name]],FIND(",",Table4[[#This Row],[Customer_Name]])-1)</f>
        <v>Johnson</v>
      </c>
      <c r="D194" s="22" t="str">
        <f>LEFT(Table4[[#This Row],[First_Name]],2)&amp;LEFT(Table4[[#This Row],[Last_Name]],2)&amp;ROW()</f>
        <v>SaJo194</v>
      </c>
    </row>
    <row r="195" spans="1:4" x14ac:dyDescent="0.25">
      <c r="A195" s="22" t="s">
        <v>278</v>
      </c>
      <c r="B195" s="22" t="str">
        <f>RIGHT(Table4[[#This Row],[Customer_Name]],LEN(Table4[[#This Row],[Customer_Name]])-FIND(",",Table4[[#This Row],[Customer_Name]])-1)</f>
        <v>Daniel</v>
      </c>
      <c r="C195" s="22" t="str">
        <f>LEFT(Table4[[#This Row],[Customer_Name]],FIND(",",Table4[[#This Row],[Customer_Name]])-1)</f>
        <v>Jones</v>
      </c>
      <c r="D195" s="22" t="str">
        <f>LEFT(Table4[[#This Row],[First_Name]],2)&amp;LEFT(Table4[[#This Row],[Last_Name]],2)&amp;ROW()</f>
        <v>DaJo195</v>
      </c>
    </row>
    <row r="196" spans="1:4" x14ac:dyDescent="0.25">
      <c r="A196" s="22" t="s">
        <v>207</v>
      </c>
      <c r="B196" s="22" t="str">
        <f>RIGHT(Table4[[#This Row],[Customer_Name]],LEN(Table4[[#This Row],[Customer_Name]])-FIND(",",Table4[[#This Row],[Customer_Name]])-1)</f>
        <v>Sarah</v>
      </c>
      <c r="C196" s="22" t="str">
        <f>LEFT(Table4[[#This Row],[Customer_Name]],FIND(",",Table4[[#This Row],[Customer_Name]])-1)</f>
        <v>Miller</v>
      </c>
      <c r="D196" s="22" t="str">
        <f>LEFT(Table4[[#This Row],[First_Name]],2)&amp;LEFT(Table4[[#This Row],[Last_Name]],2)&amp;ROW()</f>
        <v>SaMi196</v>
      </c>
    </row>
    <row r="197" spans="1:4" x14ac:dyDescent="0.25">
      <c r="A197" s="22" t="s">
        <v>62</v>
      </c>
      <c r="B197" s="22" t="str">
        <f>RIGHT(Table4[[#This Row],[Customer_Name]],LEN(Table4[[#This Row],[Customer_Name]])-FIND(",",Table4[[#This Row],[Customer_Name]])-1)</f>
        <v>Laura</v>
      </c>
      <c r="C197" s="22" t="str">
        <f>LEFT(Table4[[#This Row],[Customer_Name]],FIND(",",Table4[[#This Row],[Customer_Name]])-1)</f>
        <v>Martinez</v>
      </c>
      <c r="D197" s="22" t="str">
        <f>LEFT(Table4[[#This Row],[First_Name]],2)&amp;LEFT(Table4[[#This Row],[Last_Name]],2)&amp;ROW()</f>
        <v>LaMa197</v>
      </c>
    </row>
    <row r="198" spans="1:4" x14ac:dyDescent="0.25">
      <c r="A198" s="22" t="s">
        <v>221</v>
      </c>
      <c r="B198" s="22" t="str">
        <f>RIGHT(Table4[[#This Row],[Customer_Name]],LEN(Table4[[#This Row],[Customer_Name]])-FIND(",",Table4[[#This Row],[Customer_Name]])-1)</f>
        <v>David</v>
      </c>
      <c r="C198" s="22" t="str">
        <f>LEFT(Table4[[#This Row],[Customer_Name]],FIND(",",Table4[[#This Row],[Customer_Name]])-1)</f>
        <v>Johnson</v>
      </c>
      <c r="D198" s="22" t="str">
        <f>LEFT(Table4[[#This Row],[First_Name]],2)&amp;LEFT(Table4[[#This Row],[Last_Name]],2)&amp;ROW()</f>
        <v>DaJo198</v>
      </c>
    </row>
    <row r="199" spans="1:4" x14ac:dyDescent="0.25">
      <c r="A199" s="22" t="s">
        <v>303</v>
      </c>
      <c r="B199" s="22" t="str">
        <f>RIGHT(Table4[[#This Row],[Customer_Name]],LEN(Table4[[#This Row],[Customer_Name]])-FIND(",",Table4[[#This Row],[Customer_Name]])-1)</f>
        <v>Emily</v>
      </c>
      <c r="C199" s="22" t="str">
        <f>LEFT(Table4[[#This Row],[Customer_Name]],FIND(",",Table4[[#This Row],[Customer_Name]])-1)</f>
        <v>Jones</v>
      </c>
      <c r="D199" s="22" t="str">
        <f>LEFT(Table4[[#This Row],[First_Name]],2)&amp;LEFT(Table4[[#This Row],[Last_Name]],2)&amp;ROW()</f>
        <v>EmJo199</v>
      </c>
    </row>
    <row r="200" spans="1:4" x14ac:dyDescent="0.25">
      <c r="A200" s="22" t="s">
        <v>119</v>
      </c>
      <c r="B200" s="22" t="str">
        <f>RIGHT(Table4[[#This Row],[Customer_Name]],LEN(Table4[[#This Row],[Customer_Name]])-FIND(",",Table4[[#This Row],[Customer_Name]])-1)</f>
        <v>Michael</v>
      </c>
      <c r="C200" s="22" t="str">
        <f>LEFT(Table4[[#This Row],[Customer_Name]],FIND(",",Table4[[#This Row],[Customer_Name]])-1)</f>
        <v>Smith</v>
      </c>
      <c r="D200" s="22" t="str">
        <f>LEFT(Table4[[#This Row],[First_Name]],2)&amp;LEFT(Table4[[#This Row],[Last_Name]],2)&amp;ROW()</f>
        <v>MiSm200</v>
      </c>
    </row>
    <row r="201" spans="1:4" x14ac:dyDescent="0.25">
      <c r="A201" s="22" t="s">
        <v>121</v>
      </c>
      <c r="B201" s="22" t="str">
        <f>RIGHT(Table4[[#This Row],[Customer_Name]],LEN(Table4[[#This Row],[Customer_Name]])-FIND(",",Table4[[#This Row],[Customer_Name]])-1)</f>
        <v>Sarah</v>
      </c>
      <c r="C201" s="22" t="str">
        <f>LEFT(Table4[[#This Row],[Customer_Name]],FIND(",",Table4[[#This Row],[Customer_Name]])-1)</f>
        <v>Martinez</v>
      </c>
      <c r="D201" s="22" t="str">
        <f>LEFT(Table4[[#This Row],[First_Name]],2)&amp;LEFT(Table4[[#This Row],[Last_Name]],2)&amp;ROW()</f>
        <v>SaMa201</v>
      </c>
    </row>
    <row r="202" spans="1:4" x14ac:dyDescent="0.25">
      <c r="A202" s="22" t="s">
        <v>342</v>
      </c>
      <c r="B202" s="22" t="str">
        <f>RIGHT(Table4[[#This Row],[Customer_Name]],LEN(Table4[[#This Row],[Customer_Name]])-FIND(",",Table4[[#This Row],[Customer_Name]])-1)</f>
        <v>Sarah</v>
      </c>
      <c r="C202" s="22" t="str">
        <f>LEFT(Table4[[#This Row],[Customer_Name]],FIND(",",Table4[[#This Row],[Customer_Name]])-1)</f>
        <v>Jones</v>
      </c>
      <c r="D202" s="22" t="str">
        <f>LEFT(Table4[[#This Row],[First_Name]],2)&amp;LEFT(Table4[[#This Row],[Last_Name]],2)&amp;ROW()</f>
        <v>SaJo202</v>
      </c>
    </row>
    <row r="203" spans="1:4" x14ac:dyDescent="0.25">
      <c r="A203" s="22" t="s">
        <v>166</v>
      </c>
      <c r="B203" s="22" t="str">
        <f>RIGHT(Table4[[#This Row],[Customer_Name]],LEN(Table4[[#This Row],[Customer_Name]])-FIND(",",Table4[[#This Row],[Customer_Name]])-1)</f>
        <v>Daniel</v>
      </c>
      <c r="C203" s="22" t="str">
        <f>LEFT(Table4[[#This Row],[Customer_Name]],FIND(",",Table4[[#This Row],[Customer_Name]])-1)</f>
        <v>Brown</v>
      </c>
      <c r="D203" s="22" t="str">
        <f>LEFT(Table4[[#This Row],[First_Name]],2)&amp;LEFT(Table4[[#This Row],[Last_Name]],2)&amp;ROW()</f>
        <v>DaBr203</v>
      </c>
    </row>
    <row r="204" spans="1:4" x14ac:dyDescent="0.25">
      <c r="A204" s="22" t="s">
        <v>207</v>
      </c>
      <c r="B204" s="22" t="str">
        <f>RIGHT(Table4[[#This Row],[Customer_Name]],LEN(Table4[[#This Row],[Customer_Name]])-FIND(",",Table4[[#This Row],[Customer_Name]])-1)</f>
        <v>Sarah</v>
      </c>
      <c r="C204" s="22" t="str">
        <f>LEFT(Table4[[#This Row],[Customer_Name]],FIND(",",Table4[[#This Row],[Customer_Name]])-1)</f>
        <v>Miller</v>
      </c>
      <c r="D204" s="22" t="str">
        <f>LEFT(Table4[[#This Row],[First_Name]],2)&amp;LEFT(Table4[[#This Row],[Last_Name]],2)&amp;ROW()</f>
        <v>SaMi204</v>
      </c>
    </row>
    <row r="205" spans="1:4" x14ac:dyDescent="0.25">
      <c r="A205" s="22" t="s">
        <v>268</v>
      </c>
      <c r="B205" s="22" t="str">
        <f>RIGHT(Table4[[#This Row],[Customer_Name]],LEN(Table4[[#This Row],[Customer_Name]])-FIND(",",Table4[[#This Row],[Customer_Name]])-1)</f>
        <v>James</v>
      </c>
      <c r="C205" s="22" t="str">
        <f>LEFT(Table4[[#This Row],[Customer_Name]],FIND(",",Table4[[#This Row],[Customer_Name]])-1)</f>
        <v>Brown</v>
      </c>
      <c r="D205" s="22" t="str">
        <f>LEFT(Table4[[#This Row],[First_Name]],2)&amp;LEFT(Table4[[#This Row],[Last_Name]],2)&amp;ROW()</f>
        <v>JaBr205</v>
      </c>
    </row>
    <row r="206" spans="1:4" x14ac:dyDescent="0.25">
      <c r="A206" s="22" t="s">
        <v>145</v>
      </c>
      <c r="B206" s="22" t="str">
        <f>RIGHT(Table4[[#This Row],[Customer_Name]],LEN(Table4[[#This Row],[Customer_Name]])-FIND(",",Table4[[#This Row],[Customer_Name]])-1)</f>
        <v>Daniel</v>
      </c>
      <c r="C206" s="22" t="str">
        <f>LEFT(Table4[[#This Row],[Customer_Name]],FIND(",",Table4[[#This Row],[Customer_Name]])-1)</f>
        <v>Johnson</v>
      </c>
      <c r="D206" s="22" t="str">
        <f>LEFT(Table4[[#This Row],[First_Name]],2)&amp;LEFT(Table4[[#This Row],[Last_Name]],2)&amp;ROW()</f>
        <v>DaJo206</v>
      </c>
    </row>
    <row r="207" spans="1:4" x14ac:dyDescent="0.25">
      <c r="A207" s="22" t="s">
        <v>189</v>
      </c>
      <c r="B207" s="22" t="str">
        <f>RIGHT(Table4[[#This Row],[Customer_Name]],LEN(Table4[[#This Row],[Customer_Name]])-FIND(",",Table4[[#This Row],[Customer_Name]])-1)</f>
        <v>Emma</v>
      </c>
      <c r="C207" s="22" t="str">
        <f>LEFT(Table4[[#This Row],[Customer_Name]],FIND(",",Table4[[#This Row],[Customer_Name]])-1)</f>
        <v>Davis</v>
      </c>
      <c r="D207" s="22" t="str">
        <f>LEFT(Table4[[#This Row],[First_Name]],2)&amp;LEFT(Table4[[#This Row],[Last_Name]],2)&amp;ROW()</f>
        <v>EmDa207</v>
      </c>
    </row>
    <row r="208" spans="1:4" x14ac:dyDescent="0.25">
      <c r="A208" s="22" t="s">
        <v>261</v>
      </c>
      <c r="B208" s="22" t="str">
        <f>RIGHT(Table4[[#This Row],[Customer_Name]],LEN(Table4[[#This Row],[Customer_Name]])-FIND(",",Table4[[#This Row],[Customer_Name]])-1)</f>
        <v>Emily</v>
      </c>
      <c r="C208" s="22" t="str">
        <f>LEFT(Table4[[#This Row],[Customer_Name]],FIND(",",Table4[[#This Row],[Customer_Name]])-1)</f>
        <v>Brown</v>
      </c>
      <c r="D208" s="22" t="str">
        <f>LEFT(Table4[[#This Row],[First_Name]],2)&amp;LEFT(Table4[[#This Row],[Last_Name]],2)&amp;ROW()</f>
        <v>EmBr208</v>
      </c>
    </row>
    <row r="209" spans="1:4" x14ac:dyDescent="0.25">
      <c r="A209" s="22" t="s">
        <v>100</v>
      </c>
      <c r="B209" s="22" t="str">
        <f>RIGHT(Table4[[#This Row],[Customer_Name]],LEN(Table4[[#This Row],[Customer_Name]])-FIND(",",Table4[[#This Row],[Customer_Name]])-1)</f>
        <v>Laura</v>
      </c>
      <c r="C209" s="22" t="str">
        <f>LEFT(Table4[[#This Row],[Customer_Name]],FIND(",",Table4[[#This Row],[Customer_Name]])-1)</f>
        <v>Jones</v>
      </c>
      <c r="D209" s="22" t="str">
        <f>LEFT(Table4[[#This Row],[First_Name]],2)&amp;LEFT(Table4[[#This Row],[Last_Name]],2)&amp;ROW()</f>
        <v>LaJo209</v>
      </c>
    </row>
    <row r="210" spans="1:4" x14ac:dyDescent="0.25">
      <c r="A210" s="22" t="s">
        <v>71</v>
      </c>
      <c r="B210" s="22" t="str">
        <f>RIGHT(Table4[[#This Row],[Customer_Name]],LEN(Table4[[#This Row],[Customer_Name]])-FIND(",",Table4[[#This Row],[Customer_Name]])-1)</f>
        <v>Emma</v>
      </c>
      <c r="C210" s="22" t="str">
        <f>LEFT(Table4[[#This Row],[Customer_Name]],FIND(",",Table4[[#This Row],[Customer_Name]])-1)</f>
        <v>Smith</v>
      </c>
      <c r="D210" s="22" t="str">
        <f>LEFT(Table4[[#This Row],[First_Name]],2)&amp;LEFT(Table4[[#This Row],[Last_Name]],2)&amp;ROW()</f>
        <v>EmSm210</v>
      </c>
    </row>
    <row r="211" spans="1:4" x14ac:dyDescent="0.25">
      <c r="A211" s="22" t="s">
        <v>108</v>
      </c>
      <c r="B211" s="22" t="str">
        <f>RIGHT(Table4[[#This Row],[Customer_Name]],LEN(Table4[[#This Row],[Customer_Name]])-FIND(",",Table4[[#This Row],[Customer_Name]])-1)</f>
        <v>Sophia</v>
      </c>
      <c r="C211" s="22" t="str">
        <f>LEFT(Table4[[#This Row],[Customer_Name]],FIND(",",Table4[[#This Row],[Customer_Name]])-1)</f>
        <v>Garcia</v>
      </c>
      <c r="D211" s="22" t="str">
        <f>LEFT(Table4[[#This Row],[First_Name]],2)&amp;LEFT(Table4[[#This Row],[Last_Name]],2)&amp;ROW()</f>
        <v>SoGa211</v>
      </c>
    </row>
    <row r="212" spans="1:4" x14ac:dyDescent="0.25">
      <c r="A212" s="22" t="s">
        <v>93</v>
      </c>
      <c r="B212" s="22" t="str">
        <f>RIGHT(Table4[[#This Row],[Customer_Name]],LEN(Table4[[#This Row],[Customer_Name]])-FIND(",",Table4[[#This Row],[Customer_Name]])-1)</f>
        <v>Sophia</v>
      </c>
      <c r="C212" s="22" t="str">
        <f>LEFT(Table4[[#This Row],[Customer_Name]],FIND(",",Table4[[#This Row],[Customer_Name]])-1)</f>
        <v>Hernandez</v>
      </c>
      <c r="D212" s="22" t="str">
        <f>LEFT(Table4[[#This Row],[First_Name]],2)&amp;LEFT(Table4[[#This Row],[Last_Name]],2)&amp;ROW()</f>
        <v>SoHe212</v>
      </c>
    </row>
    <row r="213" spans="1:4" x14ac:dyDescent="0.25">
      <c r="A213" s="22" t="s">
        <v>354</v>
      </c>
      <c r="B213" s="22" t="str">
        <f>RIGHT(Table4[[#This Row],[Customer_Name]],LEN(Table4[[#This Row],[Customer_Name]])-FIND(",",Table4[[#This Row],[Customer_Name]])-1)</f>
        <v>David</v>
      </c>
      <c r="C213" s="22" t="str">
        <f>LEFT(Table4[[#This Row],[Customer_Name]],FIND(",",Table4[[#This Row],[Customer_Name]])-1)</f>
        <v>Brown</v>
      </c>
      <c r="D213" s="22" t="str">
        <f>LEFT(Table4[[#This Row],[First_Name]],2)&amp;LEFT(Table4[[#This Row],[Last_Name]],2)&amp;ROW()</f>
        <v>DaBr213</v>
      </c>
    </row>
    <row r="214" spans="1:4" x14ac:dyDescent="0.25">
      <c r="A214" s="22" t="s">
        <v>149</v>
      </c>
      <c r="B214" s="22" t="str">
        <f>RIGHT(Table4[[#This Row],[Customer_Name]],LEN(Table4[[#This Row],[Customer_Name]])-FIND(",",Table4[[#This Row],[Customer_Name]])-1)</f>
        <v>Sarah</v>
      </c>
      <c r="C214" s="22" t="str">
        <f>LEFT(Table4[[#This Row],[Customer_Name]],FIND(",",Table4[[#This Row],[Customer_Name]])-1)</f>
        <v>Garcia</v>
      </c>
      <c r="D214" s="22" t="str">
        <f>LEFT(Table4[[#This Row],[First_Name]],2)&amp;LEFT(Table4[[#This Row],[Last_Name]],2)&amp;ROW()</f>
        <v>SaGa214</v>
      </c>
    </row>
    <row r="215" spans="1:4" x14ac:dyDescent="0.25">
      <c r="A215" s="22" t="s">
        <v>231</v>
      </c>
      <c r="B215" s="22" t="str">
        <f>RIGHT(Table4[[#This Row],[Customer_Name]],LEN(Table4[[#This Row],[Customer_Name]])-FIND(",",Table4[[#This Row],[Customer_Name]])-1)</f>
        <v>Emily</v>
      </c>
      <c r="C215" s="22" t="str">
        <f>LEFT(Table4[[#This Row],[Customer_Name]],FIND(",",Table4[[#This Row],[Customer_Name]])-1)</f>
        <v>Martinez</v>
      </c>
      <c r="D215" s="22" t="str">
        <f>LEFT(Table4[[#This Row],[First_Name]],2)&amp;LEFT(Table4[[#This Row],[Last_Name]],2)&amp;ROW()</f>
        <v>EmMa215</v>
      </c>
    </row>
    <row r="216" spans="1:4" x14ac:dyDescent="0.25">
      <c r="A216" s="22" t="s">
        <v>354</v>
      </c>
      <c r="B216" s="22" t="str">
        <f>RIGHT(Table4[[#This Row],[Customer_Name]],LEN(Table4[[#This Row],[Customer_Name]])-FIND(",",Table4[[#This Row],[Customer_Name]])-1)</f>
        <v>David</v>
      </c>
      <c r="C216" s="22" t="str">
        <f>LEFT(Table4[[#This Row],[Customer_Name]],FIND(",",Table4[[#This Row],[Customer_Name]])-1)</f>
        <v>Brown</v>
      </c>
      <c r="D216" s="22" t="str">
        <f>LEFT(Table4[[#This Row],[First_Name]],2)&amp;LEFT(Table4[[#This Row],[Last_Name]],2)&amp;ROW()</f>
        <v>DaBr216</v>
      </c>
    </row>
    <row r="217" spans="1:4" x14ac:dyDescent="0.25">
      <c r="A217" s="22" t="s">
        <v>108</v>
      </c>
      <c r="B217" s="22" t="str">
        <f>RIGHT(Table4[[#This Row],[Customer_Name]],LEN(Table4[[#This Row],[Customer_Name]])-FIND(",",Table4[[#This Row],[Customer_Name]])-1)</f>
        <v>Sophia</v>
      </c>
      <c r="C217" s="22" t="str">
        <f>LEFT(Table4[[#This Row],[Customer_Name]],FIND(",",Table4[[#This Row],[Customer_Name]])-1)</f>
        <v>Garcia</v>
      </c>
      <c r="D217" s="22" t="str">
        <f>LEFT(Table4[[#This Row],[First_Name]],2)&amp;LEFT(Table4[[#This Row],[Last_Name]],2)&amp;ROW()</f>
        <v>SoGa217</v>
      </c>
    </row>
    <row r="218" spans="1:4" x14ac:dyDescent="0.25">
      <c r="A218" s="22" t="s">
        <v>360</v>
      </c>
      <c r="B218" s="22" t="str">
        <f>RIGHT(Table4[[#This Row],[Customer_Name]],LEN(Table4[[#This Row],[Customer_Name]])-FIND(",",Table4[[#This Row],[Customer_Name]])-1)</f>
        <v>John</v>
      </c>
      <c r="C218" s="22" t="str">
        <f>LEFT(Table4[[#This Row],[Customer_Name]],FIND(",",Table4[[#This Row],[Customer_Name]])-1)</f>
        <v>Johnson</v>
      </c>
      <c r="D218" s="22" t="str">
        <f>LEFT(Table4[[#This Row],[First_Name]],2)&amp;LEFT(Table4[[#This Row],[Last_Name]],2)&amp;ROW()</f>
        <v>JoJo218</v>
      </c>
    </row>
    <row r="219" spans="1:4" x14ac:dyDescent="0.25">
      <c r="A219" s="22" t="s">
        <v>323</v>
      </c>
      <c r="B219" s="22" t="str">
        <f>RIGHT(Table4[[#This Row],[Customer_Name]],LEN(Table4[[#This Row],[Customer_Name]])-FIND(",",Table4[[#This Row],[Customer_Name]])-1)</f>
        <v>Emma</v>
      </c>
      <c r="C219" s="22" t="str">
        <f>LEFT(Table4[[#This Row],[Customer_Name]],FIND(",",Table4[[#This Row],[Customer_Name]])-1)</f>
        <v>Miller</v>
      </c>
      <c r="D219" s="22" t="str">
        <f>LEFT(Table4[[#This Row],[First_Name]],2)&amp;LEFT(Table4[[#This Row],[Last_Name]],2)&amp;ROW()</f>
        <v>EmMi219</v>
      </c>
    </row>
    <row r="220" spans="1:4" x14ac:dyDescent="0.25">
      <c r="A220" s="22" t="s">
        <v>113</v>
      </c>
      <c r="B220" s="22" t="str">
        <f>RIGHT(Table4[[#This Row],[Customer_Name]],LEN(Table4[[#This Row],[Customer_Name]])-FIND(",",Table4[[#This Row],[Customer_Name]])-1)</f>
        <v>John</v>
      </c>
      <c r="C220" s="22" t="str">
        <f>LEFT(Table4[[#This Row],[Customer_Name]],FIND(",",Table4[[#This Row],[Customer_Name]])-1)</f>
        <v>Hernandez</v>
      </c>
      <c r="D220" s="22" t="str">
        <f>LEFT(Table4[[#This Row],[First_Name]],2)&amp;LEFT(Table4[[#This Row],[Last_Name]],2)&amp;ROW()</f>
        <v>JoHe220</v>
      </c>
    </row>
    <row r="221" spans="1:4" x14ac:dyDescent="0.25">
      <c r="A221" s="22" t="s">
        <v>364</v>
      </c>
      <c r="B221" s="22" t="str">
        <f>RIGHT(Table4[[#This Row],[Customer_Name]],LEN(Table4[[#This Row],[Customer_Name]])-FIND(",",Table4[[#This Row],[Customer_Name]])-1)</f>
        <v>Sophia</v>
      </c>
      <c r="C221" s="22" t="str">
        <f>LEFT(Table4[[#This Row],[Customer_Name]],FIND(",",Table4[[#This Row],[Customer_Name]])-1)</f>
        <v>Brown</v>
      </c>
      <c r="D221" s="22" t="str">
        <f>LEFT(Table4[[#This Row],[First_Name]],2)&amp;LEFT(Table4[[#This Row],[Last_Name]],2)&amp;ROW()</f>
        <v>SoBr221</v>
      </c>
    </row>
    <row r="222" spans="1:4" x14ac:dyDescent="0.25">
      <c r="A222" s="22" t="s">
        <v>65</v>
      </c>
      <c r="B222" s="22" t="str">
        <f>RIGHT(Table4[[#This Row],[Customer_Name]],LEN(Table4[[#This Row],[Customer_Name]])-FIND(",",Table4[[#This Row],[Customer_Name]])-1)</f>
        <v>James</v>
      </c>
      <c r="C222" s="22" t="str">
        <f>LEFT(Table4[[#This Row],[Customer_Name]],FIND(",",Table4[[#This Row],[Customer_Name]])-1)</f>
        <v>Martinez</v>
      </c>
      <c r="D222" s="22" t="str">
        <f>LEFT(Table4[[#This Row],[First_Name]],2)&amp;LEFT(Table4[[#This Row],[Last_Name]],2)&amp;ROW()</f>
        <v>JaMa222</v>
      </c>
    </row>
    <row r="223" spans="1:4" x14ac:dyDescent="0.25">
      <c r="A223" s="22" t="s">
        <v>257</v>
      </c>
      <c r="B223" s="22" t="str">
        <f>RIGHT(Table4[[#This Row],[Customer_Name]],LEN(Table4[[#This Row],[Customer_Name]])-FIND(",",Table4[[#This Row],[Customer_Name]])-1)</f>
        <v>James</v>
      </c>
      <c r="C223" s="22" t="str">
        <f>LEFT(Table4[[#This Row],[Customer_Name]],FIND(",",Table4[[#This Row],[Customer_Name]])-1)</f>
        <v>Smith</v>
      </c>
      <c r="D223" s="22" t="str">
        <f>LEFT(Table4[[#This Row],[First_Name]],2)&amp;LEFT(Table4[[#This Row],[Last_Name]],2)&amp;ROW()</f>
        <v>JaSm223</v>
      </c>
    </row>
    <row r="224" spans="1:4" x14ac:dyDescent="0.25">
      <c r="A224" s="22" t="s">
        <v>117</v>
      </c>
      <c r="B224" s="22" t="str">
        <f>RIGHT(Table4[[#This Row],[Customer_Name]],LEN(Table4[[#This Row],[Customer_Name]])-FIND(",",Table4[[#This Row],[Customer_Name]])-1)</f>
        <v>David</v>
      </c>
      <c r="C224" s="22" t="str">
        <f>LEFT(Table4[[#This Row],[Customer_Name]],FIND(",",Table4[[#This Row],[Customer_Name]])-1)</f>
        <v>Miller</v>
      </c>
      <c r="D224" s="22" t="str">
        <f>LEFT(Table4[[#This Row],[First_Name]],2)&amp;LEFT(Table4[[#This Row],[Last_Name]],2)&amp;ROW()</f>
        <v>DaMi224</v>
      </c>
    </row>
    <row r="225" spans="1:4" x14ac:dyDescent="0.25">
      <c r="A225" s="22" t="s">
        <v>360</v>
      </c>
      <c r="B225" s="22" t="str">
        <f>RIGHT(Table4[[#This Row],[Customer_Name]],LEN(Table4[[#This Row],[Customer_Name]])-FIND(",",Table4[[#This Row],[Customer_Name]])-1)</f>
        <v>John</v>
      </c>
      <c r="C225" s="22" t="str">
        <f>LEFT(Table4[[#This Row],[Customer_Name]],FIND(",",Table4[[#This Row],[Customer_Name]])-1)</f>
        <v>Johnson</v>
      </c>
      <c r="D225" s="22" t="str">
        <f>LEFT(Table4[[#This Row],[First_Name]],2)&amp;LEFT(Table4[[#This Row],[Last_Name]],2)&amp;ROW()</f>
        <v>JoJo225</v>
      </c>
    </row>
    <row r="226" spans="1:4" x14ac:dyDescent="0.25">
      <c r="A226" s="22" t="s">
        <v>46</v>
      </c>
      <c r="B226" s="22" t="str">
        <f>RIGHT(Table4[[#This Row],[Customer_Name]],LEN(Table4[[#This Row],[Customer_Name]])-FIND(",",Table4[[#This Row],[Customer_Name]])-1)</f>
        <v>Michael</v>
      </c>
      <c r="C226" s="22" t="str">
        <f>LEFT(Table4[[#This Row],[Customer_Name]],FIND(",",Table4[[#This Row],[Customer_Name]])-1)</f>
        <v>Johnson</v>
      </c>
      <c r="D226" s="22" t="str">
        <f>LEFT(Table4[[#This Row],[First_Name]],2)&amp;LEFT(Table4[[#This Row],[Last_Name]],2)&amp;ROW()</f>
        <v>MiJo226</v>
      </c>
    </row>
    <row r="227" spans="1:4" x14ac:dyDescent="0.25">
      <c r="A227" s="22" t="s">
        <v>371</v>
      </c>
      <c r="B227" s="22" t="str">
        <f>RIGHT(Table4[[#This Row],[Customer_Name]],LEN(Table4[[#This Row],[Customer_Name]])-FIND(",",Table4[[#This Row],[Customer_Name]])-1)</f>
        <v>Emma</v>
      </c>
      <c r="C227" s="22" t="str">
        <f>LEFT(Table4[[#This Row],[Customer_Name]],FIND(",",Table4[[#This Row],[Customer_Name]])-1)</f>
        <v>Jones</v>
      </c>
      <c r="D227" s="22" t="str">
        <f>LEFT(Table4[[#This Row],[First_Name]],2)&amp;LEFT(Table4[[#This Row],[Last_Name]],2)&amp;ROW()</f>
        <v>EmJo227</v>
      </c>
    </row>
    <row r="228" spans="1:4" x14ac:dyDescent="0.25">
      <c r="A228" s="22" t="s">
        <v>207</v>
      </c>
      <c r="B228" s="22" t="str">
        <f>RIGHT(Table4[[#This Row],[Customer_Name]],LEN(Table4[[#This Row],[Customer_Name]])-FIND(",",Table4[[#This Row],[Customer_Name]])-1)</f>
        <v>Sarah</v>
      </c>
      <c r="C228" s="22" t="str">
        <f>LEFT(Table4[[#This Row],[Customer_Name]],FIND(",",Table4[[#This Row],[Customer_Name]])-1)</f>
        <v>Miller</v>
      </c>
      <c r="D228" s="22" t="str">
        <f>LEFT(Table4[[#This Row],[First_Name]],2)&amp;LEFT(Table4[[#This Row],[Last_Name]],2)&amp;ROW()</f>
        <v>SaMi228</v>
      </c>
    </row>
    <row r="229" spans="1:4" x14ac:dyDescent="0.25">
      <c r="A229" s="22" t="s">
        <v>30</v>
      </c>
      <c r="B229" s="22" t="str">
        <f>RIGHT(Table4[[#This Row],[Customer_Name]],LEN(Table4[[#This Row],[Customer_Name]])-FIND(",",Table4[[#This Row],[Customer_Name]])-1)</f>
        <v>John</v>
      </c>
      <c r="C229" s="22" t="str">
        <f>LEFT(Table4[[#This Row],[Customer_Name]],FIND(",",Table4[[#This Row],[Customer_Name]])-1)</f>
        <v>Davis</v>
      </c>
      <c r="D229" s="22" t="str">
        <f>LEFT(Table4[[#This Row],[First_Name]],2)&amp;LEFT(Table4[[#This Row],[Last_Name]],2)&amp;ROW()</f>
        <v>JoDa229</v>
      </c>
    </row>
    <row r="230" spans="1:4" x14ac:dyDescent="0.25">
      <c r="A230" s="22" t="s">
        <v>34</v>
      </c>
      <c r="B230" s="22" t="str">
        <f>RIGHT(Table4[[#This Row],[Customer_Name]],LEN(Table4[[#This Row],[Customer_Name]])-FIND(",",Table4[[#This Row],[Customer_Name]])-1)</f>
        <v>Daniel</v>
      </c>
      <c r="C230" s="22" t="str">
        <f>LEFT(Table4[[#This Row],[Customer_Name]],FIND(",",Table4[[#This Row],[Customer_Name]])-1)</f>
        <v>Miller</v>
      </c>
      <c r="D230" s="22" t="str">
        <f>LEFT(Table4[[#This Row],[First_Name]],2)&amp;LEFT(Table4[[#This Row],[Last_Name]],2)&amp;ROW()</f>
        <v>DaMi230</v>
      </c>
    </row>
    <row r="231" spans="1:4" x14ac:dyDescent="0.25">
      <c r="A231" s="22" t="s">
        <v>303</v>
      </c>
      <c r="B231" s="22" t="str">
        <f>RIGHT(Table4[[#This Row],[Customer_Name]],LEN(Table4[[#This Row],[Customer_Name]])-FIND(",",Table4[[#This Row],[Customer_Name]])-1)</f>
        <v>Emily</v>
      </c>
      <c r="C231" s="22" t="str">
        <f>LEFT(Table4[[#This Row],[Customer_Name]],FIND(",",Table4[[#This Row],[Customer_Name]])-1)</f>
        <v>Jones</v>
      </c>
      <c r="D231" s="22" t="str">
        <f>LEFT(Table4[[#This Row],[First_Name]],2)&amp;LEFT(Table4[[#This Row],[Last_Name]],2)&amp;ROW()</f>
        <v>EmJo231</v>
      </c>
    </row>
    <row r="232" spans="1:4" x14ac:dyDescent="0.25">
      <c r="A232" s="22" t="s">
        <v>135</v>
      </c>
      <c r="B232" s="22" t="str">
        <f>RIGHT(Table4[[#This Row],[Customer_Name]],LEN(Table4[[#This Row],[Customer_Name]])-FIND(",",Table4[[#This Row],[Customer_Name]])-1)</f>
        <v>Daniel</v>
      </c>
      <c r="C232" s="22" t="str">
        <f>LEFT(Table4[[#This Row],[Customer_Name]],FIND(",",Table4[[#This Row],[Customer_Name]])-1)</f>
        <v>Smith</v>
      </c>
      <c r="D232" s="22" t="str">
        <f>LEFT(Table4[[#This Row],[First_Name]],2)&amp;LEFT(Table4[[#This Row],[Last_Name]],2)&amp;ROW()</f>
        <v>DaSm232</v>
      </c>
    </row>
    <row r="233" spans="1:4" x14ac:dyDescent="0.25">
      <c r="A233" s="22" t="s">
        <v>233</v>
      </c>
      <c r="B233" s="22" t="str">
        <f>RIGHT(Table4[[#This Row],[Customer_Name]],LEN(Table4[[#This Row],[Customer_Name]])-FIND(",",Table4[[#This Row],[Customer_Name]])-1)</f>
        <v>Daniel</v>
      </c>
      <c r="C233" s="22" t="str">
        <f>LEFT(Table4[[#This Row],[Customer_Name]],FIND(",",Table4[[#This Row],[Customer_Name]])-1)</f>
        <v>Hernandez</v>
      </c>
      <c r="D233" s="22" t="str">
        <f>LEFT(Table4[[#This Row],[First_Name]],2)&amp;LEFT(Table4[[#This Row],[Last_Name]],2)&amp;ROW()</f>
        <v>DaHe233</v>
      </c>
    </row>
    <row r="234" spans="1:4" x14ac:dyDescent="0.25">
      <c r="A234" s="22" t="s">
        <v>121</v>
      </c>
      <c r="B234" s="22" t="str">
        <f>RIGHT(Table4[[#This Row],[Customer_Name]],LEN(Table4[[#This Row],[Customer_Name]])-FIND(",",Table4[[#This Row],[Customer_Name]])-1)</f>
        <v>Sarah</v>
      </c>
      <c r="C234" s="22" t="str">
        <f>LEFT(Table4[[#This Row],[Customer_Name]],FIND(",",Table4[[#This Row],[Customer_Name]])-1)</f>
        <v>Martinez</v>
      </c>
      <c r="D234" s="22" t="str">
        <f>LEFT(Table4[[#This Row],[First_Name]],2)&amp;LEFT(Table4[[#This Row],[Last_Name]],2)&amp;ROW()</f>
        <v>SaMa234</v>
      </c>
    </row>
    <row r="235" spans="1:4" x14ac:dyDescent="0.25">
      <c r="A235" s="22" t="s">
        <v>179</v>
      </c>
      <c r="B235" s="22" t="str">
        <f>RIGHT(Table4[[#This Row],[Customer_Name]],LEN(Table4[[#This Row],[Customer_Name]])-FIND(",",Table4[[#This Row],[Customer_Name]])-1)</f>
        <v>Sophia</v>
      </c>
      <c r="C235" s="22" t="str">
        <f>LEFT(Table4[[#This Row],[Customer_Name]],FIND(",",Table4[[#This Row],[Customer_Name]])-1)</f>
        <v>Miller</v>
      </c>
      <c r="D235" s="22" t="str">
        <f>LEFT(Table4[[#This Row],[First_Name]],2)&amp;LEFT(Table4[[#This Row],[Last_Name]],2)&amp;ROW()</f>
        <v>SoMi235</v>
      </c>
    </row>
    <row r="236" spans="1:4" x14ac:dyDescent="0.25">
      <c r="A236" s="22" t="s">
        <v>233</v>
      </c>
      <c r="B236" s="22" t="str">
        <f>RIGHT(Table4[[#This Row],[Customer_Name]],LEN(Table4[[#This Row],[Customer_Name]])-FIND(",",Table4[[#This Row],[Customer_Name]])-1)</f>
        <v>Daniel</v>
      </c>
      <c r="C236" s="22" t="str">
        <f>LEFT(Table4[[#This Row],[Customer_Name]],FIND(",",Table4[[#This Row],[Customer_Name]])-1)</f>
        <v>Hernandez</v>
      </c>
      <c r="D236" s="22" t="str">
        <f>LEFT(Table4[[#This Row],[First_Name]],2)&amp;LEFT(Table4[[#This Row],[Last_Name]],2)&amp;ROW()</f>
        <v>DaHe236</v>
      </c>
    </row>
    <row r="237" spans="1:4" x14ac:dyDescent="0.25">
      <c r="A237" s="22" t="s">
        <v>115</v>
      </c>
      <c r="B237" s="22" t="str">
        <f>RIGHT(Table4[[#This Row],[Customer_Name]],LEN(Table4[[#This Row],[Customer_Name]])-FIND(",",Table4[[#This Row],[Customer_Name]])-1)</f>
        <v>Laura</v>
      </c>
      <c r="C237" s="22" t="str">
        <f>LEFT(Table4[[#This Row],[Customer_Name]],FIND(",",Table4[[#This Row],[Customer_Name]])-1)</f>
        <v>Williams</v>
      </c>
      <c r="D237" s="22" t="str">
        <f>LEFT(Table4[[#This Row],[First_Name]],2)&amp;LEFT(Table4[[#This Row],[Last_Name]],2)&amp;ROW()</f>
        <v>LaWi237</v>
      </c>
    </row>
    <row r="238" spans="1:4" x14ac:dyDescent="0.25">
      <c r="A238" s="22" t="s">
        <v>278</v>
      </c>
      <c r="B238" s="22" t="str">
        <f>RIGHT(Table4[[#This Row],[Customer_Name]],LEN(Table4[[#This Row],[Customer_Name]])-FIND(",",Table4[[#This Row],[Customer_Name]])-1)</f>
        <v>Daniel</v>
      </c>
      <c r="C238" s="22" t="str">
        <f>LEFT(Table4[[#This Row],[Customer_Name]],FIND(",",Table4[[#This Row],[Customer_Name]])-1)</f>
        <v>Jones</v>
      </c>
      <c r="D238" s="22" t="str">
        <f>LEFT(Table4[[#This Row],[First_Name]],2)&amp;LEFT(Table4[[#This Row],[Last_Name]],2)&amp;ROW()</f>
        <v>DaJo238</v>
      </c>
    </row>
    <row r="239" spans="1:4" x14ac:dyDescent="0.25">
      <c r="A239" s="22" t="s">
        <v>207</v>
      </c>
      <c r="B239" s="22" t="str">
        <f>RIGHT(Table4[[#This Row],[Customer_Name]],LEN(Table4[[#This Row],[Customer_Name]])-FIND(",",Table4[[#This Row],[Customer_Name]])-1)</f>
        <v>Sarah</v>
      </c>
      <c r="C239" s="22" t="str">
        <f>LEFT(Table4[[#This Row],[Customer_Name]],FIND(",",Table4[[#This Row],[Customer_Name]])-1)</f>
        <v>Miller</v>
      </c>
      <c r="D239" s="22" t="str">
        <f>LEFT(Table4[[#This Row],[First_Name]],2)&amp;LEFT(Table4[[#This Row],[Last_Name]],2)&amp;ROW()</f>
        <v>SaMi239</v>
      </c>
    </row>
    <row r="240" spans="1:4" x14ac:dyDescent="0.25">
      <c r="A240" s="22" t="s">
        <v>76</v>
      </c>
      <c r="B240" s="22" t="str">
        <f>RIGHT(Table4[[#This Row],[Customer_Name]],LEN(Table4[[#This Row],[Customer_Name]])-FIND(",",Table4[[#This Row],[Customer_Name]])-1)</f>
        <v>David</v>
      </c>
      <c r="C240" s="22" t="str">
        <f>LEFT(Table4[[#This Row],[Customer_Name]],FIND(",",Table4[[#This Row],[Customer_Name]])-1)</f>
        <v>Williams</v>
      </c>
      <c r="D240" s="22" t="str">
        <f>LEFT(Table4[[#This Row],[First_Name]],2)&amp;LEFT(Table4[[#This Row],[Last_Name]],2)&amp;ROW()</f>
        <v>DaWi240</v>
      </c>
    </row>
    <row r="241" spans="1:4" x14ac:dyDescent="0.25">
      <c r="A241" s="22" t="s">
        <v>274</v>
      </c>
      <c r="B241" s="22" t="str">
        <f>RIGHT(Table4[[#This Row],[Customer_Name]],LEN(Table4[[#This Row],[Customer_Name]])-FIND(",",Table4[[#This Row],[Customer_Name]])-1)</f>
        <v>Sophia</v>
      </c>
      <c r="C241" s="22" t="str">
        <f>LEFT(Table4[[#This Row],[Customer_Name]],FIND(",",Table4[[#This Row],[Customer_Name]])-1)</f>
        <v>Johnson</v>
      </c>
      <c r="D241" s="22" t="str">
        <f>LEFT(Table4[[#This Row],[First_Name]],2)&amp;LEFT(Table4[[#This Row],[Last_Name]],2)&amp;ROW()</f>
        <v>SoJo241</v>
      </c>
    </row>
    <row r="242" spans="1:4" x14ac:dyDescent="0.25">
      <c r="A242" s="22" t="s">
        <v>291</v>
      </c>
      <c r="B242" s="22" t="str">
        <f>RIGHT(Table4[[#This Row],[Customer_Name]],LEN(Table4[[#This Row],[Customer_Name]])-FIND(",",Table4[[#This Row],[Customer_Name]])-1)</f>
        <v>John</v>
      </c>
      <c r="C242" s="22" t="str">
        <f>LEFT(Table4[[#This Row],[Customer_Name]],FIND(",",Table4[[#This Row],[Customer_Name]])-1)</f>
        <v>Brown</v>
      </c>
      <c r="D242" s="22" t="str">
        <f>LEFT(Table4[[#This Row],[First_Name]],2)&amp;LEFT(Table4[[#This Row],[Last_Name]],2)&amp;ROW()</f>
        <v>JoBr242</v>
      </c>
    </row>
    <row r="243" spans="1:4" x14ac:dyDescent="0.25">
      <c r="A243" s="22" t="s">
        <v>113</v>
      </c>
      <c r="B243" s="22" t="str">
        <f>RIGHT(Table4[[#This Row],[Customer_Name]],LEN(Table4[[#This Row],[Customer_Name]])-FIND(",",Table4[[#This Row],[Customer_Name]])-1)</f>
        <v>John</v>
      </c>
      <c r="C243" s="22" t="str">
        <f>LEFT(Table4[[#This Row],[Customer_Name]],FIND(",",Table4[[#This Row],[Customer_Name]])-1)</f>
        <v>Hernandez</v>
      </c>
      <c r="D243" s="22" t="str">
        <f>LEFT(Table4[[#This Row],[First_Name]],2)&amp;LEFT(Table4[[#This Row],[Last_Name]],2)&amp;ROW()</f>
        <v>JoHe243</v>
      </c>
    </row>
    <row r="244" spans="1:4" x14ac:dyDescent="0.25">
      <c r="A244" s="22" t="s">
        <v>389</v>
      </c>
      <c r="B244" s="22" t="str">
        <f>RIGHT(Table4[[#This Row],[Customer_Name]],LEN(Table4[[#This Row],[Customer_Name]])-FIND(",",Table4[[#This Row],[Customer_Name]])-1)</f>
        <v>Laura</v>
      </c>
      <c r="C244" s="22" t="str">
        <f>LEFT(Table4[[#This Row],[Customer_Name]],FIND(",",Table4[[#This Row],[Customer_Name]])-1)</f>
        <v>Johnson</v>
      </c>
      <c r="D244" s="22" t="str">
        <f>LEFT(Table4[[#This Row],[First_Name]],2)&amp;LEFT(Table4[[#This Row],[Last_Name]],2)&amp;ROW()</f>
        <v>LaJo244</v>
      </c>
    </row>
    <row r="245" spans="1:4" x14ac:dyDescent="0.25">
      <c r="A245" s="22" t="s">
        <v>15</v>
      </c>
      <c r="B245" s="22" t="str">
        <f>RIGHT(Table4[[#This Row],[Customer_Name]],LEN(Table4[[#This Row],[Customer_Name]])-FIND(",",Table4[[#This Row],[Customer_Name]])-1)</f>
        <v>Emily</v>
      </c>
      <c r="C245" s="22" t="str">
        <f>LEFT(Table4[[#This Row],[Customer_Name]],FIND(",",Table4[[#This Row],[Customer_Name]])-1)</f>
        <v>Smith</v>
      </c>
      <c r="D245" s="22" t="str">
        <f>LEFT(Table4[[#This Row],[First_Name]],2)&amp;LEFT(Table4[[#This Row],[Last_Name]],2)&amp;ROW()</f>
        <v>EmSm245</v>
      </c>
    </row>
    <row r="246" spans="1:4" x14ac:dyDescent="0.25">
      <c r="A246" s="22" t="s">
        <v>102</v>
      </c>
      <c r="B246" s="22" t="str">
        <f>RIGHT(Table4[[#This Row],[Customer_Name]],LEN(Table4[[#This Row],[Customer_Name]])-FIND(",",Table4[[#This Row],[Customer_Name]])-1)</f>
        <v>Michael</v>
      </c>
      <c r="C246" s="22" t="str">
        <f>LEFT(Table4[[#This Row],[Customer_Name]],FIND(",",Table4[[#This Row],[Customer_Name]])-1)</f>
        <v>Brown</v>
      </c>
      <c r="D246" s="22" t="str">
        <f>LEFT(Table4[[#This Row],[First_Name]],2)&amp;LEFT(Table4[[#This Row],[Last_Name]],2)&amp;ROW()</f>
        <v>MiBr246</v>
      </c>
    </row>
    <row r="247" spans="1:4" x14ac:dyDescent="0.25">
      <c r="A247" s="22" t="s">
        <v>125</v>
      </c>
      <c r="B247" s="22" t="str">
        <f>RIGHT(Table4[[#This Row],[Customer_Name]],LEN(Table4[[#This Row],[Customer_Name]])-FIND(",",Table4[[#This Row],[Customer_Name]])-1)</f>
        <v>Emma</v>
      </c>
      <c r="C247" s="22" t="str">
        <f>LEFT(Table4[[#This Row],[Customer_Name]],FIND(",",Table4[[#This Row],[Customer_Name]])-1)</f>
        <v>Williams</v>
      </c>
      <c r="D247" s="22" t="str">
        <f>LEFT(Table4[[#This Row],[First_Name]],2)&amp;LEFT(Table4[[#This Row],[Last_Name]],2)&amp;ROW()</f>
        <v>EmWi247</v>
      </c>
    </row>
    <row r="248" spans="1:4" x14ac:dyDescent="0.25">
      <c r="A248" s="22" t="s">
        <v>211</v>
      </c>
      <c r="B248" s="22" t="str">
        <f>RIGHT(Table4[[#This Row],[Customer_Name]],LEN(Table4[[#This Row],[Customer_Name]])-FIND(",",Table4[[#This Row],[Customer_Name]])-1)</f>
        <v>Emma</v>
      </c>
      <c r="C248" s="22" t="str">
        <f>LEFT(Table4[[#This Row],[Customer_Name]],FIND(",",Table4[[#This Row],[Customer_Name]])-1)</f>
        <v>Garcia</v>
      </c>
      <c r="D248" s="22" t="str">
        <f>LEFT(Table4[[#This Row],[First_Name]],2)&amp;LEFT(Table4[[#This Row],[Last_Name]],2)&amp;ROW()</f>
        <v>EmGa248</v>
      </c>
    </row>
    <row r="249" spans="1:4" x14ac:dyDescent="0.25">
      <c r="A249" s="22" t="s">
        <v>231</v>
      </c>
      <c r="B249" s="22" t="str">
        <f>RIGHT(Table4[[#This Row],[Customer_Name]],LEN(Table4[[#This Row],[Customer_Name]])-FIND(",",Table4[[#This Row],[Customer_Name]])-1)</f>
        <v>Emily</v>
      </c>
      <c r="C249" s="22" t="str">
        <f>LEFT(Table4[[#This Row],[Customer_Name]],FIND(",",Table4[[#This Row],[Customer_Name]])-1)</f>
        <v>Martinez</v>
      </c>
      <c r="D249" s="22" t="str">
        <f>LEFT(Table4[[#This Row],[First_Name]],2)&amp;LEFT(Table4[[#This Row],[Last_Name]],2)&amp;ROW()</f>
        <v>EmMa249</v>
      </c>
    </row>
    <row r="250" spans="1:4" x14ac:dyDescent="0.25">
      <c r="A250" s="22" t="s">
        <v>261</v>
      </c>
      <c r="B250" s="22" t="str">
        <f>RIGHT(Table4[[#This Row],[Customer_Name]],LEN(Table4[[#This Row],[Customer_Name]])-FIND(",",Table4[[#This Row],[Customer_Name]])-1)</f>
        <v>Emily</v>
      </c>
      <c r="C250" s="22" t="str">
        <f>LEFT(Table4[[#This Row],[Customer_Name]],FIND(",",Table4[[#This Row],[Customer_Name]])-1)</f>
        <v>Brown</v>
      </c>
      <c r="D250" s="22" t="str">
        <f>LEFT(Table4[[#This Row],[First_Name]],2)&amp;LEFT(Table4[[#This Row],[Last_Name]],2)&amp;ROW()</f>
        <v>EmBr250</v>
      </c>
    </row>
    <row r="251" spans="1:4" x14ac:dyDescent="0.25">
      <c r="A251" s="22" t="s">
        <v>166</v>
      </c>
      <c r="B251" s="22" t="str">
        <f>RIGHT(Table4[[#This Row],[Customer_Name]],LEN(Table4[[#This Row],[Customer_Name]])-FIND(",",Table4[[#This Row],[Customer_Name]])-1)</f>
        <v>Daniel</v>
      </c>
      <c r="C251" s="22" t="str">
        <f>LEFT(Table4[[#This Row],[Customer_Name]],FIND(",",Table4[[#This Row],[Customer_Name]])-1)</f>
        <v>Brown</v>
      </c>
      <c r="D251" s="22" t="str">
        <f>LEFT(Table4[[#This Row],[First_Name]],2)&amp;LEFT(Table4[[#This Row],[Last_Name]],2)&amp;ROW()</f>
        <v>DaBr251</v>
      </c>
    </row>
    <row r="252" spans="1:4" x14ac:dyDescent="0.25">
      <c r="A252" s="22" t="s">
        <v>389</v>
      </c>
      <c r="B252" s="22" t="str">
        <f>RIGHT(Table4[[#This Row],[Customer_Name]],LEN(Table4[[#This Row],[Customer_Name]])-FIND(",",Table4[[#This Row],[Customer_Name]])-1)</f>
        <v>Laura</v>
      </c>
      <c r="C252" s="22" t="str">
        <f>LEFT(Table4[[#This Row],[Customer_Name]],FIND(",",Table4[[#This Row],[Customer_Name]])-1)</f>
        <v>Johnson</v>
      </c>
      <c r="D252" s="22" t="str">
        <f>LEFT(Table4[[#This Row],[First_Name]],2)&amp;LEFT(Table4[[#This Row],[Last_Name]],2)&amp;ROW()</f>
        <v>LaJo252</v>
      </c>
    </row>
    <row r="253" spans="1:4" x14ac:dyDescent="0.25">
      <c r="A253" s="22" t="s">
        <v>399</v>
      </c>
      <c r="B253" s="22" t="str">
        <f>RIGHT(Table4[[#This Row],[Customer_Name]],LEN(Table4[[#This Row],[Customer_Name]])-FIND(",",Table4[[#This Row],[Customer_Name]])-1)</f>
        <v>John</v>
      </c>
      <c r="C253" s="22" t="str">
        <f>LEFT(Table4[[#This Row],[Customer_Name]],FIND(",",Table4[[#This Row],[Customer_Name]])-1)</f>
        <v>Smith</v>
      </c>
      <c r="D253" s="22" t="str">
        <f>LEFT(Table4[[#This Row],[First_Name]],2)&amp;LEFT(Table4[[#This Row],[Last_Name]],2)&amp;ROW()</f>
        <v>JoSm253</v>
      </c>
    </row>
    <row r="254" spans="1:4" x14ac:dyDescent="0.25">
      <c r="A254" s="22" t="s">
        <v>34</v>
      </c>
      <c r="B254" s="22" t="str">
        <f>RIGHT(Table4[[#This Row],[Customer_Name]],LEN(Table4[[#This Row],[Customer_Name]])-FIND(",",Table4[[#This Row],[Customer_Name]])-1)</f>
        <v>Daniel</v>
      </c>
      <c r="C254" s="22" t="str">
        <f>LEFT(Table4[[#This Row],[Customer_Name]],FIND(",",Table4[[#This Row],[Customer_Name]])-1)</f>
        <v>Miller</v>
      </c>
      <c r="D254" s="22" t="str">
        <f>LEFT(Table4[[#This Row],[First_Name]],2)&amp;LEFT(Table4[[#This Row],[Last_Name]],2)&amp;ROW()</f>
        <v>DaMi254</v>
      </c>
    </row>
    <row r="255" spans="1:4" x14ac:dyDescent="0.25">
      <c r="A255" s="22" t="s">
        <v>319</v>
      </c>
      <c r="B255" s="22" t="str">
        <f>RIGHT(Table4[[#This Row],[Customer_Name]],LEN(Table4[[#This Row],[Customer_Name]])-FIND(",",Table4[[#This Row],[Customer_Name]])-1)</f>
        <v>Daniel</v>
      </c>
      <c r="C255" s="22" t="str">
        <f>LEFT(Table4[[#This Row],[Customer_Name]],FIND(",",Table4[[#This Row],[Customer_Name]])-1)</f>
        <v>Davis</v>
      </c>
      <c r="D255" s="22" t="str">
        <f>LEFT(Table4[[#This Row],[First_Name]],2)&amp;LEFT(Table4[[#This Row],[Last_Name]],2)&amp;ROW()</f>
        <v>DaDa255</v>
      </c>
    </row>
    <row r="256" spans="1:4" x14ac:dyDescent="0.25">
      <c r="A256" s="22" t="s">
        <v>199</v>
      </c>
      <c r="B256" s="22" t="str">
        <f>RIGHT(Table4[[#This Row],[Customer_Name]],LEN(Table4[[#This Row],[Customer_Name]])-FIND(",",Table4[[#This Row],[Customer_Name]])-1)</f>
        <v>Emily</v>
      </c>
      <c r="C256" s="22" t="str">
        <f>LEFT(Table4[[#This Row],[Customer_Name]],FIND(",",Table4[[#This Row],[Customer_Name]])-1)</f>
        <v>Davis</v>
      </c>
      <c r="D256" s="22" t="str">
        <f>LEFT(Table4[[#This Row],[First_Name]],2)&amp;LEFT(Table4[[#This Row],[Last_Name]],2)&amp;ROW()</f>
        <v>EmDa256</v>
      </c>
    </row>
    <row r="257" spans="1:4" x14ac:dyDescent="0.25">
      <c r="A257" s="22" t="s">
        <v>135</v>
      </c>
      <c r="B257" s="22" t="str">
        <f>RIGHT(Table4[[#This Row],[Customer_Name]],LEN(Table4[[#This Row],[Customer_Name]])-FIND(",",Table4[[#This Row],[Customer_Name]])-1)</f>
        <v>Daniel</v>
      </c>
      <c r="C257" s="22" t="str">
        <f>LEFT(Table4[[#This Row],[Customer_Name]],FIND(",",Table4[[#This Row],[Customer_Name]])-1)</f>
        <v>Smith</v>
      </c>
      <c r="D257" s="22" t="str">
        <f>LEFT(Table4[[#This Row],[First_Name]],2)&amp;LEFT(Table4[[#This Row],[Last_Name]],2)&amp;ROW()</f>
        <v>DaSm257</v>
      </c>
    </row>
    <row r="258" spans="1:4" x14ac:dyDescent="0.25">
      <c r="A258" s="22" t="s">
        <v>306</v>
      </c>
      <c r="B258" s="22" t="str">
        <f>RIGHT(Table4[[#This Row],[Customer_Name]],LEN(Table4[[#This Row],[Customer_Name]])-FIND(",",Table4[[#This Row],[Customer_Name]])-1)</f>
        <v>James</v>
      </c>
      <c r="C258" s="22" t="str">
        <f>LEFT(Table4[[#This Row],[Customer_Name]],FIND(",",Table4[[#This Row],[Customer_Name]])-1)</f>
        <v>Miller</v>
      </c>
      <c r="D258" s="22" t="str">
        <f>LEFT(Table4[[#This Row],[First_Name]],2)&amp;LEFT(Table4[[#This Row],[Last_Name]],2)&amp;ROW()</f>
        <v>JaMi258</v>
      </c>
    </row>
    <row r="259" spans="1:4" x14ac:dyDescent="0.25">
      <c r="A259" s="22" t="s">
        <v>166</v>
      </c>
      <c r="B259" s="22" t="str">
        <f>RIGHT(Table4[[#This Row],[Customer_Name]],LEN(Table4[[#This Row],[Customer_Name]])-FIND(",",Table4[[#This Row],[Customer_Name]])-1)</f>
        <v>Daniel</v>
      </c>
      <c r="C259" s="22" t="str">
        <f>LEFT(Table4[[#This Row],[Customer_Name]],FIND(",",Table4[[#This Row],[Customer_Name]])-1)</f>
        <v>Brown</v>
      </c>
      <c r="D259" s="22" t="str">
        <f>LEFT(Table4[[#This Row],[First_Name]],2)&amp;LEFT(Table4[[#This Row],[Last_Name]],2)&amp;ROW()</f>
        <v>DaBr259</v>
      </c>
    </row>
    <row r="260" spans="1:4" x14ac:dyDescent="0.25">
      <c r="A260" s="22" t="s">
        <v>293</v>
      </c>
      <c r="B260" s="22" t="str">
        <f>RIGHT(Table4[[#This Row],[Customer_Name]],LEN(Table4[[#This Row],[Customer_Name]])-FIND(",",Table4[[#This Row],[Customer_Name]])-1)</f>
        <v>David</v>
      </c>
      <c r="C260" s="22" t="str">
        <f>LEFT(Table4[[#This Row],[Customer_Name]],FIND(",",Table4[[#This Row],[Customer_Name]])-1)</f>
        <v>Martinez</v>
      </c>
      <c r="D260" s="22" t="str">
        <f>LEFT(Table4[[#This Row],[First_Name]],2)&amp;LEFT(Table4[[#This Row],[Last_Name]],2)&amp;ROW()</f>
        <v>DaMa260</v>
      </c>
    </row>
    <row r="261" spans="1:4" x14ac:dyDescent="0.25">
      <c r="A261" s="22" t="s">
        <v>408</v>
      </c>
      <c r="B261" s="22" t="str">
        <f>RIGHT(Table4[[#This Row],[Customer_Name]],LEN(Table4[[#This Row],[Customer_Name]])-FIND(",",Table4[[#This Row],[Customer_Name]])-1)</f>
        <v>Sophia</v>
      </c>
      <c r="C261" s="22" t="str">
        <f>LEFT(Table4[[#This Row],[Customer_Name]],FIND(",",Table4[[#This Row],[Customer_Name]])-1)</f>
        <v>Williams</v>
      </c>
      <c r="D261" s="22" t="str">
        <f>LEFT(Table4[[#This Row],[First_Name]],2)&amp;LEFT(Table4[[#This Row],[Last_Name]],2)&amp;ROW()</f>
        <v>SoWi261</v>
      </c>
    </row>
    <row r="262" spans="1:4" x14ac:dyDescent="0.25">
      <c r="A262" s="22" t="s">
        <v>410</v>
      </c>
      <c r="B262" s="22" t="str">
        <f>RIGHT(Table4[[#This Row],[Customer_Name]],LEN(Table4[[#This Row],[Customer_Name]])-FIND(",",Table4[[#This Row],[Customer_Name]])-1)</f>
        <v>James</v>
      </c>
      <c r="C262" s="22" t="str">
        <f>LEFT(Table4[[#This Row],[Customer_Name]],FIND(",",Table4[[#This Row],[Customer_Name]])-1)</f>
        <v>Garcia</v>
      </c>
      <c r="D262" s="22" t="str">
        <f>LEFT(Table4[[#This Row],[First_Name]],2)&amp;LEFT(Table4[[#This Row],[Last_Name]],2)&amp;ROW()</f>
        <v>JaGa262</v>
      </c>
    </row>
    <row r="263" spans="1:4" x14ac:dyDescent="0.25">
      <c r="A263" s="22" t="s">
        <v>278</v>
      </c>
      <c r="B263" s="22" t="str">
        <f>RIGHT(Table4[[#This Row],[Customer_Name]],LEN(Table4[[#This Row],[Customer_Name]])-FIND(",",Table4[[#This Row],[Customer_Name]])-1)</f>
        <v>Daniel</v>
      </c>
      <c r="C263" s="22" t="str">
        <f>LEFT(Table4[[#This Row],[Customer_Name]],FIND(",",Table4[[#This Row],[Customer_Name]])-1)</f>
        <v>Jones</v>
      </c>
      <c r="D263" s="22" t="str">
        <f>LEFT(Table4[[#This Row],[First_Name]],2)&amp;LEFT(Table4[[#This Row],[Last_Name]],2)&amp;ROW()</f>
        <v>DaJo263</v>
      </c>
    </row>
    <row r="264" spans="1:4" x14ac:dyDescent="0.25">
      <c r="A264" s="22" t="s">
        <v>364</v>
      </c>
      <c r="B264" s="22" t="str">
        <f>RIGHT(Table4[[#This Row],[Customer_Name]],LEN(Table4[[#This Row],[Customer_Name]])-FIND(",",Table4[[#This Row],[Customer_Name]])-1)</f>
        <v>Sophia</v>
      </c>
      <c r="C264" s="22" t="str">
        <f>LEFT(Table4[[#This Row],[Customer_Name]],FIND(",",Table4[[#This Row],[Customer_Name]])-1)</f>
        <v>Brown</v>
      </c>
      <c r="D264" s="22" t="str">
        <f>LEFT(Table4[[#This Row],[First_Name]],2)&amp;LEFT(Table4[[#This Row],[Last_Name]],2)&amp;ROW()</f>
        <v>SoBr264</v>
      </c>
    </row>
    <row r="265" spans="1:4" x14ac:dyDescent="0.25">
      <c r="A265" s="22" t="s">
        <v>166</v>
      </c>
      <c r="B265" s="22" t="str">
        <f>RIGHT(Table4[[#This Row],[Customer_Name]],LEN(Table4[[#This Row],[Customer_Name]])-FIND(",",Table4[[#This Row],[Customer_Name]])-1)</f>
        <v>Daniel</v>
      </c>
      <c r="C265" s="22" t="str">
        <f>LEFT(Table4[[#This Row],[Customer_Name]],FIND(",",Table4[[#This Row],[Customer_Name]])-1)</f>
        <v>Brown</v>
      </c>
      <c r="D265" s="22" t="str">
        <f>LEFT(Table4[[#This Row],[First_Name]],2)&amp;LEFT(Table4[[#This Row],[Last_Name]],2)&amp;ROW()</f>
        <v>DaBr265</v>
      </c>
    </row>
    <row r="266" spans="1:4" x14ac:dyDescent="0.25">
      <c r="A266" s="22" t="s">
        <v>199</v>
      </c>
      <c r="B266" s="22" t="str">
        <f>RIGHT(Table4[[#This Row],[Customer_Name]],LEN(Table4[[#This Row],[Customer_Name]])-FIND(",",Table4[[#This Row],[Customer_Name]])-1)</f>
        <v>Emily</v>
      </c>
      <c r="C266" s="22" t="str">
        <f>LEFT(Table4[[#This Row],[Customer_Name]],FIND(",",Table4[[#This Row],[Customer_Name]])-1)</f>
        <v>Davis</v>
      </c>
      <c r="D266" s="22" t="str">
        <f>LEFT(Table4[[#This Row],[First_Name]],2)&amp;LEFT(Table4[[#This Row],[Last_Name]],2)&amp;ROW()</f>
        <v>EmDa266</v>
      </c>
    </row>
    <row r="267" spans="1:4" x14ac:dyDescent="0.25">
      <c r="A267" s="22" t="s">
        <v>276</v>
      </c>
      <c r="B267" s="22" t="str">
        <f>RIGHT(Table4[[#This Row],[Customer_Name]],LEN(Table4[[#This Row],[Customer_Name]])-FIND(",",Table4[[#This Row],[Customer_Name]])-1)</f>
        <v>Sophia</v>
      </c>
      <c r="C267" s="22" t="str">
        <f>LEFT(Table4[[#This Row],[Customer_Name]],FIND(",",Table4[[#This Row],[Customer_Name]])-1)</f>
        <v>Davis</v>
      </c>
      <c r="D267" s="22" t="str">
        <f>LEFT(Table4[[#This Row],[First_Name]],2)&amp;LEFT(Table4[[#This Row],[Last_Name]],2)&amp;ROW()</f>
        <v>SoDa267</v>
      </c>
    </row>
    <row r="268" spans="1:4" x14ac:dyDescent="0.25">
      <c r="A268" s="22" t="s">
        <v>97</v>
      </c>
      <c r="B268" s="22" t="str">
        <f>RIGHT(Table4[[#This Row],[Customer_Name]],LEN(Table4[[#This Row],[Customer_Name]])-FIND(",",Table4[[#This Row],[Customer_Name]])-1)</f>
        <v>Michael</v>
      </c>
      <c r="C268" s="22" t="str">
        <f>LEFT(Table4[[#This Row],[Customer_Name]],FIND(",",Table4[[#This Row],[Customer_Name]])-1)</f>
        <v>Martinez</v>
      </c>
      <c r="D268" s="22" t="str">
        <f>LEFT(Table4[[#This Row],[First_Name]],2)&amp;LEFT(Table4[[#This Row],[Last_Name]],2)&amp;ROW()</f>
        <v>MiMa268</v>
      </c>
    </row>
    <row r="269" spans="1:4" x14ac:dyDescent="0.25">
      <c r="A269" s="22" t="s">
        <v>297</v>
      </c>
      <c r="B269" s="22" t="str">
        <f>RIGHT(Table4[[#This Row],[Customer_Name]],LEN(Table4[[#This Row],[Customer_Name]])-FIND(",",Table4[[#This Row],[Customer_Name]])-1)</f>
        <v>Emily</v>
      </c>
      <c r="C269" s="22" t="str">
        <f>LEFT(Table4[[#This Row],[Customer_Name]],FIND(",",Table4[[#This Row],[Customer_Name]])-1)</f>
        <v>Johnson</v>
      </c>
      <c r="D269" s="22" t="str">
        <f>LEFT(Table4[[#This Row],[First_Name]],2)&amp;LEFT(Table4[[#This Row],[Last_Name]],2)&amp;ROW()</f>
        <v>EmJo269</v>
      </c>
    </row>
    <row r="270" spans="1:4" x14ac:dyDescent="0.25">
      <c r="A270" s="22" t="s">
        <v>50</v>
      </c>
      <c r="B270" s="22" t="str">
        <f>RIGHT(Table4[[#This Row],[Customer_Name]],LEN(Table4[[#This Row],[Customer_Name]])-FIND(",",Table4[[#This Row],[Customer_Name]])-1)</f>
        <v>Emma</v>
      </c>
      <c r="C270" s="22" t="str">
        <f>LEFT(Table4[[#This Row],[Customer_Name]],FIND(",",Table4[[#This Row],[Customer_Name]])-1)</f>
        <v>Hernandez</v>
      </c>
      <c r="D270" s="22" t="str">
        <f>LEFT(Table4[[#This Row],[First_Name]],2)&amp;LEFT(Table4[[#This Row],[Last_Name]],2)&amp;ROW()</f>
        <v>EmHe270</v>
      </c>
    </row>
    <row r="271" spans="1:4" x14ac:dyDescent="0.25">
      <c r="A271" s="22" t="s">
        <v>105</v>
      </c>
      <c r="B271" s="22" t="str">
        <f>RIGHT(Table4[[#This Row],[Customer_Name]],LEN(Table4[[#This Row],[Customer_Name]])-FIND(",",Table4[[#This Row],[Customer_Name]])-1)</f>
        <v>Laura</v>
      </c>
      <c r="C271" s="22" t="str">
        <f>LEFT(Table4[[#This Row],[Customer_Name]],FIND(",",Table4[[#This Row],[Customer_Name]])-1)</f>
        <v>Miller</v>
      </c>
      <c r="D271" s="22" t="str">
        <f>LEFT(Table4[[#This Row],[First_Name]],2)&amp;LEFT(Table4[[#This Row],[Last_Name]],2)&amp;ROW()</f>
        <v>LaMi271</v>
      </c>
    </row>
    <row r="272" spans="1:4" x14ac:dyDescent="0.25">
      <c r="A272" s="22" t="s">
        <v>421</v>
      </c>
      <c r="B272" s="22" t="str">
        <f>RIGHT(Table4[[#This Row],[Customer_Name]],LEN(Table4[[#This Row],[Customer_Name]])-FIND(",",Table4[[#This Row],[Customer_Name]])-1)</f>
        <v>Laura</v>
      </c>
      <c r="C272" s="22" t="str">
        <f>LEFT(Table4[[#This Row],[Customer_Name]],FIND(",",Table4[[#This Row],[Customer_Name]])-1)</f>
        <v>Smith</v>
      </c>
      <c r="D272" s="22" t="str">
        <f>LEFT(Table4[[#This Row],[First_Name]],2)&amp;LEFT(Table4[[#This Row],[Last_Name]],2)&amp;ROW()</f>
        <v>LaSm272</v>
      </c>
    </row>
    <row r="273" spans="1:4" x14ac:dyDescent="0.25">
      <c r="A273" s="22" t="s">
        <v>89</v>
      </c>
      <c r="B273" s="22" t="str">
        <f>RIGHT(Table4[[#This Row],[Customer_Name]],LEN(Table4[[#This Row],[Customer_Name]])-FIND(",",Table4[[#This Row],[Customer_Name]])-1)</f>
        <v>David</v>
      </c>
      <c r="C273" s="22" t="str">
        <f>LEFT(Table4[[#This Row],[Customer_Name]],FIND(",",Table4[[#This Row],[Customer_Name]])-1)</f>
        <v>Davis</v>
      </c>
      <c r="D273" s="22" t="str">
        <f>LEFT(Table4[[#This Row],[First_Name]],2)&amp;LEFT(Table4[[#This Row],[Last_Name]],2)&amp;ROW()</f>
        <v>DaDa273</v>
      </c>
    </row>
    <row r="274" spans="1:4" x14ac:dyDescent="0.25">
      <c r="A274" s="22" t="s">
        <v>300</v>
      </c>
      <c r="B274" s="22" t="str">
        <f>RIGHT(Table4[[#This Row],[Customer_Name]],LEN(Table4[[#This Row],[Customer_Name]])-FIND(",",Table4[[#This Row],[Customer_Name]])-1)</f>
        <v>John</v>
      </c>
      <c r="C274" s="22" t="str">
        <f>LEFT(Table4[[#This Row],[Customer_Name]],FIND(",",Table4[[#This Row],[Customer_Name]])-1)</f>
        <v>Garcia</v>
      </c>
      <c r="D274" s="22" t="str">
        <f>LEFT(Table4[[#This Row],[First_Name]],2)&amp;LEFT(Table4[[#This Row],[Last_Name]],2)&amp;ROW()</f>
        <v>JoGa274</v>
      </c>
    </row>
    <row r="275" spans="1:4" x14ac:dyDescent="0.25">
      <c r="A275" s="22" t="s">
        <v>199</v>
      </c>
      <c r="B275" s="22" t="str">
        <f>RIGHT(Table4[[#This Row],[Customer_Name]],LEN(Table4[[#This Row],[Customer_Name]])-FIND(",",Table4[[#This Row],[Customer_Name]])-1)</f>
        <v>Emily</v>
      </c>
      <c r="C275" s="22" t="str">
        <f>LEFT(Table4[[#This Row],[Customer_Name]],FIND(",",Table4[[#This Row],[Customer_Name]])-1)</f>
        <v>Davis</v>
      </c>
      <c r="D275" s="22" t="str">
        <f>LEFT(Table4[[#This Row],[First_Name]],2)&amp;LEFT(Table4[[#This Row],[Last_Name]],2)&amp;ROW()</f>
        <v>EmDa275</v>
      </c>
    </row>
    <row r="276" spans="1:4" x14ac:dyDescent="0.25">
      <c r="A276" s="22" t="s">
        <v>154</v>
      </c>
      <c r="B276" s="22" t="str">
        <f>RIGHT(Table4[[#This Row],[Customer_Name]],LEN(Table4[[#This Row],[Customer_Name]])-FIND(",",Table4[[#This Row],[Customer_Name]])-1)</f>
        <v>Michael</v>
      </c>
      <c r="C276" s="22" t="str">
        <f>LEFT(Table4[[#This Row],[Customer_Name]],FIND(",",Table4[[#This Row],[Customer_Name]])-1)</f>
        <v>Williams</v>
      </c>
      <c r="D276" s="22" t="str">
        <f>LEFT(Table4[[#This Row],[First_Name]],2)&amp;LEFT(Table4[[#This Row],[Last_Name]],2)&amp;ROW()</f>
        <v>MiWi276</v>
      </c>
    </row>
    <row r="277" spans="1:4" x14ac:dyDescent="0.25">
      <c r="A277" s="22" t="s">
        <v>286</v>
      </c>
      <c r="B277" s="22" t="str">
        <f>RIGHT(Table4[[#This Row],[Customer_Name]],LEN(Table4[[#This Row],[Customer_Name]])-FIND(",",Table4[[#This Row],[Customer_Name]])-1)</f>
        <v>Michael</v>
      </c>
      <c r="C277" s="22" t="str">
        <f>LEFT(Table4[[#This Row],[Customer_Name]],FIND(",",Table4[[#This Row],[Customer_Name]])-1)</f>
        <v>Hernandez</v>
      </c>
      <c r="D277" s="22" t="str">
        <f>LEFT(Table4[[#This Row],[First_Name]],2)&amp;LEFT(Table4[[#This Row],[Last_Name]],2)&amp;ROW()</f>
        <v>MiHe277</v>
      </c>
    </row>
    <row r="278" spans="1:4" x14ac:dyDescent="0.25">
      <c r="A278" s="22" t="s">
        <v>364</v>
      </c>
      <c r="B278" s="22" t="str">
        <f>RIGHT(Table4[[#This Row],[Customer_Name]],LEN(Table4[[#This Row],[Customer_Name]])-FIND(",",Table4[[#This Row],[Customer_Name]])-1)</f>
        <v>Sophia</v>
      </c>
      <c r="C278" s="22" t="str">
        <f>LEFT(Table4[[#This Row],[Customer_Name]],FIND(",",Table4[[#This Row],[Customer_Name]])-1)</f>
        <v>Brown</v>
      </c>
      <c r="D278" s="22" t="str">
        <f>LEFT(Table4[[#This Row],[First_Name]],2)&amp;LEFT(Table4[[#This Row],[Last_Name]],2)&amp;ROW()</f>
        <v>SoBr278</v>
      </c>
    </row>
    <row r="279" spans="1:4" x14ac:dyDescent="0.25">
      <c r="A279" s="22" t="s">
        <v>240</v>
      </c>
      <c r="B279" s="22" t="str">
        <f>RIGHT(Table4[[#This Row],[Customer_Name]],LEN(Table4[[#This Row],[Customer_Name]])-FIND(",",Table4[[#This Row],[Customer_Name]])-1)</f>
        <v>David</v>
      </c>
      <c r="C279" s="22" t="str">
        <f>LEFT(Table4[[#This Row],[Customer_Name]],FIND(",",Table4[[#This Row],[Customer_Name]])-1)</f>
        <v>Hernandez</v>
      </c>
      <c r="D279" s="22" t="str">
        <f>LEFT(Table4[[#This Row],[First_Name]],2)&amp;LEFT(Table4[[#This Row],[Last_Name]],2)&amp;ROW()</f>
        <v>DaHe279</v>
      </c>
    </row>
    <row r="280" spans="1:4" x14ac:dyDescent="0.25">
      <c r="A280" s="22" t="s">
        <v>315</v>
      </c>
      <c r="B280" s="22" t="str">
        <f>RIGHT(Table4[[#This Row],[Customer_Name]],LEN(Table4[[#This Row],[Customer_Name]])-FIND(",",Table4[[#This Row],[Customer_Name]])-1)</f>
        <v>Sarah</v>
      </c>
      <c r="C280" s="22" t="str">
        <f>LEFT(Table4[[#This Row],[Customer_Name]],FIND(",",Table4[[#This Row],[Customer_Name]])-1)</f>
        <v>Hernandez</v>
      </c>
      <c r="D280" s="22" t="str">
        <f>LEFT(Table4[[#This Row],[First_Name]],2)&amp;LEFT(Table4[[#This Row],[Last_Name]],2)&amp;ROW()</f>
        <v>SaHe280</v>
      </c>
    </row>
    <row r="281" spans="1:4" x14ac:dyDescent="0.25">
      <c r="A281" s="22" t="s">
        <v>113</v>
      </c>
      <c r="B281" s="22" t="str">
        <f>RIGHT(Table4[[#This Row],[Customer_Name]],LEN(Table4[[#This Row],[Customer_Name]])-FIND(",",Table4[[#This Row],[Customer_Name]])-1)</f>
        <v>John</v>
      </c>
      <c r="C281" s="22" t="str">
        <f>LEFT(Table4[[#This Row],[Customer_Name]],FIND(",",Table4[[#This Row],[Customer_Name]])-1)</f>
        <v>Hernandez</v>
      </c>
      <c r="D281" s="22" t="str">
        <f>LEFT(Table4[[#This Row],[First_Name]],2)&amp;LEFT(Table4[[#This Row],[Last_Name]],2)&amp;ROW()</f>
        <v>JoHe281</v>
      </c>
    </row>
    <row r="282" spans="1:4" x14ac:dyDescent="0.25">
      <c r="A282" s="22" t="s">
        <v>67</v>
      </c>
      <c r="B282" s="22" t="str">
        <f>RIGHT(Table4[[#This Row],[Customer_Name]],LEN(Table4[[#This Row],[Customer_Name]])-FIND(",",Table4[[#This Row],[Customer_Name]])-1)</f>
        <v>James</v>
      </c>
      <c r="C282" s="22" t="str">
        <f>LEFT(Table4[[#This Row],[Customer_Name]],FIND(",",Table4[[#This Row],[Customer_Name]])-1)</f>
        <v>Davis</v>
      </c>
      <c r="D282" s="22" t="str">
        <f>LEFT(Table4[[#This Row],[First_Name]],2)&amp;LEFT(Table4[[#This Row],[Last_Name]],2)&amp;ROW()</f>
        <v>JaDa282</v>
      </c>
    </row>
    <row r="283" spans="1:4" x14ac:dyDescent="0.25">
      <c r="A283" s="22" t="s">
        <v>297</v>
      </c>
      <c r="B283" s="22" t="str">
        <f>RIGHT(Table4[[#This Row],[Customer_Name]],LEN(Table4[[#This Row],[Customer_Name]])-FIND(",",Table4[[#This Row],[Customer_Name]])-1)</f>
        <v>Emily</v>
      </c>
      <c r="C283" s="22" t="str">
        <f>LEFT(Table4[[#This Row],[Customer_Name]],FIND(",",Table4[[#This Row],[Customer_Name]])-1)</f>
        <v>Johnson</v>
      </c>
      <c r="D283" s="22" t="str">
        <f>LEFT(Table4[[#This Row],[First_Name]],2)&amp;LEFT(Table4[[#This Row],[Last_Name]],2)&amp;ROW()</f>
        <v>EmJo283</v>
      </c>
    </row>
    <row r="284" spans="1:4" x14ac:dyDescent="0.25">
      <c r="A284" s="22" t="s">
        <v>117</v>
      </c>
      <c r="B284" s="22" t="str">
        <f>RIGHT(Table4[[#This Row],[Customer_Name]],LEN(Table4[[#This Row],[Customer_Name]])-FIND(",",Table4[[#This Row],[Customer_Name]])-1)</f>
        <v>David</v>
      </c>
      <c r="C284" s="22" t="str">
        <f>LEFT(Table4[[#This Row],[Customer_Name]],FIND(",",Table4[[#This Row],[Customer_Name]])-1)</f>
        <v>Miller</v>
      </c>
      <c r="D284" s="22" t="str">
        <f>LEFT(Table4[[#This Row],[First_Name]],2)&amp;LEFT(Table4[[#This Row],[Last_Name]],2)&amp;ROW()</f>
        <v>DaMi284</v>
      </c>
    </row>
    <row r="285" spans="1:4" x14ac:dyDescent="0.25">
      <c r="A285" s="22" t="s">
        <v>221</v>
      </c>
      <c r="B285" s="22" t="str">
        <f>RIGHT(Table4[[#This Row],[Customer_Name]],LEN(Table4[[#This Row],[Customer_Name]])-FIND(",",Table4[[#This Row],[Customer_Name]])-1)</f>
        <v>David</v>
      </c>
      <c r="C285" s="22" t="str">
        <f>LEFT(Table4[[#This Row],[Customer_Name]],FIND(",",Table4[[#This Row],[Customer_Name]])-1)</f>
        <v>Johnson</v>
      </c>
      <c r="D285" s="22" t="str">
        <f>LEFT(Table4[[#This Row],[First_Name]],2)&amp;LEFT(Table4[[#This Row],[Last_Name]],2)&amp;ROW()</f>
        <v>DaJo285</v>
      </c>
    </row>
    <row r="286" spans="1:4" x14ac:dyDescent="0.25">
      <c r="A286" s="22" t="s">
        <v>121</v>
      </c>
      <c r="B286" s="22" t="str">
        <f>RIGHT(Table4[[#This Row],[Customer_Name]],LEN(Table4[[#This Row],[Customer_Name]])-FIND(",",Table4[[#This Row],[Customer_Name]])-1)</f>
        <v>Sarah</v>
      </c>
      <c r="C286" s="22" t="str">
        <f>LEFT(Table4[[#This Row],[Customer_Name]],FIND(",",Table4[[#This Row],[Customer_Name]])-1)</f>
        <v>Martinez</v>
      </c>
      <c r="D286" s="22" t="str">
        <f>LEFT(Table4[[#This Row],[First_Name]],2)&amp;LEFT(Table4[[#This Row],[Last_Name]],2)&amp;ROW()</f>
        <v>SaMa286</v>
      </c>
    </row>
    <row r="287" spans="1:4" x14ac:dyDescent="0.25">
      <c r="A287" s="22" t="s">
        <v>110</v>
      </c>
      <c r="B287" s="22" t="str">
        <f>RIGHT(Table4[[#This Row],[Customer_Name]],LEN(Table4[[#This Row],[Customer_Name]])-FIND(",",Table4[[#This Row],[Customer_Name]])-1)</f>
        <v>Sophia</v>
      </c>
      <c r="C287" s="22" t="str">
        <f>LEFT(Table4[[#This Row],[Customer_Name]],FIND(",",Table4[[#This Row],[Customer_Name]])-1)</f>
        <v>Smith</v>
      </c>
      <c r="D287" s="22" t="str">
        <f>LEFT(Table4[[#This Row],[First_Name]],2)&amp;LEFT(Table4[[#This Row],[Last_Name]],2)&amp;ROW()</f>
        <v>SoSm287</v>
      </c>
    </row>
    <row r="288" spans="1:4" x14ac:dyDescent="0.25">
      <c r="A288" s="22" t="s">
        <v>161</v>
      </c>
      <c r="B288" s="22" t="str">
        <f>RIGHT(Table4[[#This Row],[Customer_Name]],LEN(Table4[[#This Row],[Customer_Name]])-FIND(",",Table4[[#This Row],[Customer_Name]])-1)</f>
        <v>Emily</v>
      </c>
      <c r="C288" s="22" t="str">
        <f>LEFT(Table4[[#This Row],[Customer_Name]],FIND(",",Table4[[#This Row],[Customer_Name]])-1)</f>
        <v>Williams</v>
      </c>
      <c r="D288" s="22" t="str">
        <f>LEFT(Table4[[#This Row],[First_Name]],2)&amp;LEFT(Table4[[#This Row],[Last_Name]],2)&amp;ROW()</f>
        <v>EmWi288</v>
      </c>
    </row>
    <row r="289" spans="1:4" x14ac:dyDescent="0.25">
      <c r="A289" s="22" t="s">
        <v>30</v>
      </c>
      <c r="B289" s="22" t="str">
        <f>RIGHT(Table4[[#This Row],[Customer_Name]],LEN(Table4[[#This Row],[Customer_Name]])-FIND(",",Table4[[#This Row],[Customer_Name]])-1)</f>
        <v>John</v>
      </c>
      <c r="C289" s="22" t="str">
        <f>LEFT(Table4[[#This Row],[Customer_Name]],FIND(",",Table4[[#This Row],[Customer_Name]])-1)</f>
        <v>Davis</v>
      </c>
      <c r="D289" s="22" t="str">
        <f>LEFT(Table4[[#This Row],[First_Name]],2)&amp;LEFT(Table4[[#This Row],[Last_Name]],2)&amp;ROW()</f>
        <v>JoDa289</v>
      </c>
    </row>
    <row r="290" spans="1:4" x14ac:dyDescent="0.25">
      <c r="A290" s="22" t="s">
        <v>221</v>
      </c>
      <c r="B290" s="22" t="str">
        <f>RIGHT(Table4[[#This Row],[Customer_Name]],LEN(Table4[[#This Row],[Customer_Name]])-FIND(",",Table4[[#This Row],[Customer_Name]])-1)</f>
        <v>David</v>
      </c>
      <c r="C290" s="22" t="str">
        <f>LEFT(Table4[[#This Row],[Customer_Name]],FIND(",",Table4[[#This Row],[Customer_Name]])-1)</f>
        <v>Johnson</v>
      </c>
      <c r="D290" s="22" t="str">
        <f>LEFT(Table4[[#This Row],[First_Name]],2)&amp;LEFT(Table4[[#This Row],[Last_Name]],2)&amp;ROW()</f>
        <v>DaJo290</v>
      </c>
    </row>
    <row r="291" spans="1:4" x14ac:dyDescent="0.25">
      <c r="A291" s="22" t="s">
        <v>306</v>
      </c>
      <c r="B291" s="22" t="str">
        <f>RIGHT(Table4[[#This Row],[Customer_Name]],LEN(Table4[[#This Row],[Customer_Name]])-FIND(",",Table4[[#This Row],[Customer_Name]])-1)</f>
        <v>James</v>
      </c>
      <c r="C291" s="22" t="str">
        <f>LEFT(Table4[[#This Row],[Customer_Name]],FIND(",",Table4[[#This Row],[Customer_Name]])-1)</f>
        <v>Miller</v>
      </c>
      <c r="D291" s="22" t="str">
        <f>LEFT(Table4[[#This Row],[First_Name]],2)&amp;LEFT(Table4[[#This Row],[Last_Name]],2)&amp;ROW()</f>
        <v>JaMi291</v>
      </c>
    </row>
    <row r="292" spans="1:4" x14ac:dyDescent="0.25">
      <c r="A292" s="22" t="s">
        <v>221</v>
      </c>
      <c r="B292" s="22" t="str">
        <f>RIGHT(Table4[[#This Row],[Customer_Name]],LEN(Table4[[#This Row],[Customer_Name]])-FIND(",",Table4[[#This Row],[Customer_Name]])-1)</f>
        <v>David</v>
      </c>
      <c r="C292" s="22" t="str">
        <f>LEFT(Table4[[#This Row],[Customer_Name]],FIND(",",Table4[[#This Row],[Customer_Name]])-1)</f>
        <v>Johnson</v>
      </c>
      <c r="D292" s="22" t="str">
        <f>LEFT(Table4[[#This Row],[First_Name]],2)&amp;LEFT(Table4[[#This Row],[Last_Name]],2)&amp;ROW()</f>
        <v>DaJo292</v>
      </c>
    </row>
    <row r="293" spans="1:4" x14ac:dyDescent="0.25">
      <c r="A293" s="22" t="s">
        <v>300</v>
      </c>
      <c r="B293" s="22" t="str">
        <f>RIGHT(Table4[[#This Row],[Customer_Name]],LEN(Table4[[#This Row],[Customer_Name]])-FIND(",",Table4[[#This Row],[Customer_Name]])-1)</f>
        <v>John</v>
      </c>
      <c r="C293" s="22" t="str">
        <f>LEFT(Table4[[#This Row],[Customer_Name]],FIND(",",Table4[[#This Row],[Customer_Name]])-1)</f>
        <v>Garcia</v>
      </c>
      <c r="D293" s="22" t="str">
        <f>LEFT(Table4[[#This Row],[First_Name]],2)&amp;LEFT(Table4[[#This Row],[Last_Name]],2)&amp;ROW()</f>
        <v>JoGa293</v>
      </c>
    </row>
    <row r="294" spans="1:4" x14ac:dyDescent="0.25">
      <c r="A294" s="22" t="s">
        <v>67</v>
      </c>
      <c r="B294" s="22" t="str">
        <f>RIGHT(Table4[[#This Row],[Customer_Name]],LEN(Table4[[#This Row],[Customer_Name]])-FIND(",",Table4[[#This Row],[Customer_Name]])-1)</f>
        <v>James</v>
      </c>
      <c r="C294" s="22" t="str">
        <f>LEFT(Table4[[#This Row],[Customer_Name]],FIND(",",Table4[[#This Row],[Customer_Name]])-1)</f>
        <v>Davis</v>
      </c>
      <c r="D294" s="22" t="str">
        <f>LEFT(Table4[[#This Row],[First_Name]],2)&amp;LEFT(Table4[[#This Row],[Last_Name]],2)&amp;ROW()</f>
        <v>JaDa294</v>
      </c>
    </row>
    <row r="295" spans="1:4" x14ac:dyDescent="0.25">
      <c r="A295" s="22" t="s">
        <v>135</v>
      </c>
      <c r="B295" s="22" t="str">
        <f>RIGHT(Table4[[#This Row],[Customer_Name]],LEN(Table4[[#This Row],[Customer_Name]])-FIND(",",Table4[[#This Row],[Customer_Name]])-1)</f>
        <v>Daniel</v>
      </c>
      <c r="C295" s="22" t="str">
        <f>LEFT(Table4[[#This Row],[Customer_Name]],FIND(",",Table4[[#This Row],[Customer_Name]])-1)</f>
        <v>Smith</v>
      </c>
      <c r="D295" s="22" t="str">
        <f>LEFT(Table4[[#This Row],[First_Name]],2)&amp;LEFT(Table4[[#This Row],[Last_Name]],2)&amp;ROW()</f>
        <v>DaSm295</v>
      </c>
    </row>
    <row r="296" spans="1:4" x14ac:dyDescent="0.25">
      <c r="A296" s="22" t="s">
        <v>62</v>
      </c>
      <c r="B296" s="22" t="str">
        <f>RIGHT(Table4[[#This Row],[Customer_Name]],LEN(Table4[[#This Row],[Customer_Name]])-FIND(",",Table4[[#This Row],[Customer_Name]])-1)</f>
        <v>Laura</v>
      </c>
      <c r="C296" s="22" t="str">
        <f>LEFT(Table4[[#This Row],[Customer_Name]],FIND(",",Table4[[#This Row],[Customer_Name]])-1)</f>
        <v>Martinez</v>
      </c>
      <c r="D296" s="22" t="str">
        <f>LEFT(Table4[[#This Row],[First_Name]],2)&amp;LEFT(Table4[[#This Row],[Last_Name]],2)&amp;ROW()</f>
        <v>LaMa296</v>
      </c>
    </row>
    <row r="297" spans="1:4" x14ac:dyDescent="0.25">
      <c r="A297" s="22" t="s">
        <v>364</v>
      </c>
      <c r="B297" s="22" t="str">
        <f>RIGHT(Table4[[#This Row],[Customer_Name]],LEN(Table4[[#This Row],[Customer_Name]])-FIND(",",Table4[[#This Row],[Customer_Name]])-1)</f>
        <v>Sophia</v>
      </c>
      <c r="C297" s="22" t="str">
        <f>LEFT(Table4[[#This Row],[Customer_Name]],FIND(",",Table4[[#This Row],[Customer_Name]])-1)</f>
        <v>Brown</v>
      </c>
      <c r="D297" s="22" t="str">
        <f>LEFT(Table4[[#This Row],[First_Name]],2)&amp;LEFT(Table4[[#This Row],[Last_Name]],2)&amp;ROW()</f>
        <v>SoBr297</v>
      </c>
    </row>
    <row r="298" spans="1:4" x14ac:dyDescent="0.25">
      <c r="A298" s="22" t="s">
        <v>100</v>
      </c>
      <c r="B298" s="22" t="str">
        <f>RIGHT(Table4[[#This Row],[Customer_Name]],LEN(Table4[[#This Row],[Customer_Name]])-FIND(",",Table4[[#This Row],[Customer_Name]])-1)</f>
        <v>Laura</v>
      </c>
      <c r="C298" s="22" t="str">
        <f>LEFT(Table4[[#This Row],[Customer_Name]],FIND(",",Table4[[#This Row],[Customer_Name]])-1)</f>
        <v>Jones</v>
      </c>
      <c r="D298" s="22" t="str">
        <f>LEFT(Table4[[#This Row],[First_Name]],2)&amp;LEFT(Table4[[#This Row],[Last_Name]],2)&amp;ROW()</f>
        <v>LaJo298</v>
      </c>
    </row>
    <row r="299" spans="1:4" x14ac:dyDescent="0.25">
      <c r="A299" s="22" t="s">
        <v>166</v>
      </c>
      <c r="B299" s="22" t="str">
        <f>RIGHT(Table4[[#This Row],[Customer_Name]],LEN(Table4[[#This Row],[Customer_Name]])-FIND(",",Table4[[#This Row],[Customer_Name]])-1)</f>
        <v>Daniel</v>
      </c>
      <c r="C299" s="22" t="str">
        <f>LEFT(Table4[[#This Row],[Customer_Name]],FIND(",",Table4[[#This Row],[Customer_Name]])-1)</f>
        <v>Brown</v>
      </c>
      <c r="D299" s="22" t="str">
        <f>LEFT(Table4[[#This Row],[First_Name]],2)&amp;LEFT(Table4[[#This Row],[Last_Name]],2)&amp;ROW()</f>
        <v>DaBr299</v>
      </c>
    </row>
    <row r="300" spans="1:4" x14ac:dyDescent="0.25">
      <c r="A300" s="22" t="s">
        <v>100</v>
      </c>
      <c r="B300" s="22" t="str">
        <f>RIGHT(Table4[[#This Row],[Customer_Name]],LEN(Table4[[#This Row],[Customer_Name]])-FIND(",",Table4[[#This Row],[Customer_Name]])-1)</f>
        <v>Laura</v>
      </c>
      <c r="C300" s="22" t="str">
        <f>LEFT(Table4[[#This Row],[Customer_Name]],FIND(",",Table4[[#This Row],[Customer_Name]])-1)</f>
        <v>Jones</v>
      </c>
      <c r="D300" s="22" t="str">
        <f>LEFT(Table4[[#This Row],[First_Name]],2)&amp;LEFT(Table4[[#This Row],[Last_Name]],2)&amp;ROW()</f>
        <v>LaJo300</v>
      </c>
    </row>
    <row r="301" spans="1:4" x14ac:dyDescent="0.25">
      <c r="A301" s="22" t="s">
        <v>23</v>
      </c>
      <c r="B301" s="22" t="str">
        <f>RIGHT(Table4[[#This Row],[Customer_Name]],LEN(Table4[[#This Row],[Customer_Name]])-FIND(",",Table4[[#This Row],[Customer_Name]])-1)</f>
        <v>Laura</v>
      </c>
      <c r="C301" s="22" t="str">
        <f>LEFT(Table4[[#This Row],[Customer_Name]],FIND(",",Table4[[#This Row],[Customer_Name]])-1)</f>
        <v>Brown</v>
      </c>
      <c r="D301" s="22" t="str">
        <f>LEFT(Table4[[#This Row],[First_Name]],2)&amp;LEFT(Table4[[#This Row],[Last_Name]],2)&amp;ROW()</f>
        <v>LaBr301</v>
      </c>
    </row>
    <row r="302" spans="1:4" x14ac:dyDescent="0.25">
      <c r="A302" s="22" t="s">
        <v>91</v>
      </c>
      <c r="B302" s="22" t="str">
        <f>RIGHT(Table4[[#This Row],[Customer_Name]],LEN(Table4[[#This Row],[Customer_Name]])-FIND(",",Table4[[#This Row],[Customer_Name]])-1)</f>
        <v>Sarah</v>
      </c>
      <c r="C302" s="22" t="str">
        <f>LEFT(Table4[[#This Row],[Customer_Name]],FIND(",",Table4[[#This Row],[Customer_Name]])-1)</f>
        <v>Johnson</v>
      </c>
      <c r="D302" s="22" t="str">
        <f>LEFT(Table4[[#This Row],[First_Name]],2)&amp;LEFT(Table4[[#This Row],[Last_Name]],2)&amp;ROW()</f>
        <v>SaJo302</v>
      </c>
    </row>
    <row r="303" spans="1:4" x14ac:dyDescent="0.25">
      <c r="A303" s="22" t="s">
        <v>183</v>
      </c>
      <c r="B303" s="22" t="str">
        <f>RIGHT(Table4[[#This Row],[Customer_Name]],LEN(Table4[[#This Row],[Customer_Name]])-FIND(",",Table4[[#This Row],[Customer_Name]])-1)</f>
        <v>Michael</v>
      </c>
      <c r="C303" s="22" t="str">
        <f>LEFT(Table4[[#This Row],[Customer_Name]],FIND(",",Table4[[#This Row],[Customer_Name]])-1)</f>
        <v>Davis</v>
      </c>
      <c r="D303" s="22" t="str">
        <f>LEFT(Table4[[#This Row],[First_Name]],2)&amp;LEFT(Table4[[#This Row],[Last_Name]],2)&amp;ROW()</f>
        <v>MiDa303</v>
      </c>
    </row>
    <row r="304" spans="1:4" x14ac:dyDescent="0.25">
      <c r="A304" s="22" t="s">
        <v>154</v>
      </c>
      <c r="B304" s="22" t="str">
        <f>RIGHT(Table4[[#This Row],[Customer_Name]],LEN(Table4[[#This Row],[Customer_Name]])-FIND(",",Table4[[#This Row],[Customer_Name]])-1)</f>
        <v>Michael</v>
      </c>
      <c r="C304" s="22" t="str">
        <f>LEFT(Table4[[#This Row],[Customer_Name]],FIND(",",Table4[[#This Row],[Customer_Name]])-1)</f>
        <v>Williams</v>
      </c>
      <c r="D304" s="22" t="str">
        <f>LEFT(Table4[[#This Row],[First_Name]],2)&amp;LEFT(Table4[[#This Row],[Last_Name]],2)&amp;ROW()</f>
        <v>MiWi304</v>
      </c>
    </row>
    <row r="305" spans="1:4" x14ac:dyDescent="0.25">
      <c r="A305" s="22" t="s">
        <v>145</v>
      </c>
      <c r="B305" s="22" t="str">
        <f>RIGHT(Table4[[#This Row],[Customer_Name]],LEN(Table4[[#This Row],[Customer_Name]])-FIND(",",Table4[[#This Row],[Customer_Name]])-1)</f>
        <v>Daniel</v>
      </c>
      <c r="C305" s="22" t="str">
        <f>LEFT(Table4[[#This Row],[Customer_Name]],FIND(",",Table4[[#This Row],[Customer_Name]])-1)</f>
        <v>Johnson</v>
      </c>
      <c r="D305" s="22" t="str">
        <f>LEFT(Table4[[#This Row],[First_Name]],2)&amp;LEFT(Table4[[#This Row],[Last_Name]],2)&amp;ROW()</f>
        <v>DaJo305</v>
      </c>
    </row>
    <row r="306" spans="1:4" x14ac:dyDescent="0.25">
      <c r="A306" s="22" t="s">
        <v>119</v>
      </c>
      <c r="B306" s="22" t="str">
        <f>RIGHT(Table4[[#This Row],[Customer_Name]],LEN(Table4[[#This Row],[Customer_Name]])-FIND(",",Table4[[#This Row],[Customer_Name]])-1)</f>
        <v>Michael</v>
      </c>
      <c r="C306" s="22" t="str">
        <f>LEFT(Table4[[#This Row],[Customer_Name]],FIND(",",Table4[[#This Row],[Customer_Name]])-1)</f>
        <v>Smith</v>
      </c>
      <c r="D306" s="22" t="str">
        <f>LEFT(Table4[[#This Row],[First_Name]],2)&amp;LEFT(Table4[[#This Row],[Last_Name]],2)&amp;ROW()</f>
        <v>MiSm306</v>
      </c>
    </row>
    <row r="307" spans="1:4" x14ac:dyDescent="0.25">
      <c r="A307" s="22" t="s">
        <v>246</v>
      </c>
      <c r="B307" s="22" t="str">
        <f>RIGHT(Table4[[#This Row],[Customer_Name]],LEN(Table4[[#This Row],[Customer_Name]])-FIND(",",Table4[[#This Row],[Customer_Name]])-1)</f>
        <v>John</v>
      </c>
      <c r="C307" s="22" t="str">
        <f>LEFT(Table4[[#This Row],[Customer_Name]],FIND(",",Table4[[#This Row],[Customer_Name]])-1)</f>
        <v>Martinez</v>
      </c>
      <c r="D307" s="22" t="str">
        <f>LEFT(Table4[[#This Row],[First_Name]],2)&amp;LEFT(Table4[[#This Row],[Last_Name]],2)&amp;ROW()</f>
        <v>JoMa307</v>
      </c>
    </row>
    <row r="308" spans="1:4" x14ac:dyDescent="0.25">
      <c r="A308" s="22" t="s">
        <v>315</v>
      </c>
      <c r="B308" s="22" t="str">
        <f>RIGHT(Table4[[#This Row],[Customer_Name]],LEN(Table4[[#This Row],[Customer_Name]])-FIND(",",Table4[[#This Row],[Customer_Name]])-1)</f>
        <v>Sarah</v>
      </c>
      <c r="C308" s="22" t="str">
        <f>LEFT(Table4[[#This Row],[Customer_Name]],FIND(",",Table4[[#This Row],[Customer_Name]])-1)</f>
        <v>Hernandez</v>
      </c>
      <c r="D308" s="22" t="str">
        <f>LEFT(Table4[[#This Row],[First_Name]],2)&amp;LEFT(Table4[[#This Row],[Last_Name]],2)&amp;ROW()</f>
        <v>SaHe308</v>
      </c>
    </row>
    <row r="309" spans="1:4" x14ac:dyDescent="0.25">
      <c r="A309" s="22" t="s">
        <v>166</v>
      </c>
      <c r="B309" s="22" t="str">
        <f>RIGHT(Table4[[#This Row],[Customer_Name]],LEN(Table4[[#This Row],[Customer_Name]])-FIND(",",Table4[[#This Row],[Customer_Name]])-1)</f>
        <v>Daniel</v>
      </c>
      <c r="C309" s="22" t="str">
        <f>LEFT(Table4[[#This Row],[Customer_Name]],FIND(",",Table4[[#This Row],[Customer_Name]])-1)</f>
        <v>Brown</v>
      </c>
      <c r="D309" s="22" t="str">
        <f>LEFT(Table4[[#This Row],[First_Name]],2)&amp;LEFT(Table4[[#This Row],[Last_Name]],2)&amp;ROW()</f>
        <v>DaBr309</v>
      </c>
    </row>
    <row r="310" spans="1:4" x14ac:dyDescent="0.25">
      <c r="A310" s="22" t="s">
        <v>291</v>
      </c>
      <c r="B310" s="22" t="str">
        <f>RIGHT(Table4[[#This Row],[Customer_Name]],LEN(Table4[[#This Row],[Customer_Name]])-FIND(",",Table4[[#This Row],[Customer_Name]])-1)</f>
        <v>John</v>
      </c>
      <c r="C310" s="22" t="str">
        <f>LEFT(Table4[[#This Row],[Customer_Name]],FIND(",",Table4[[#This Row],[Customer_Name]])-1)</f>
        <v>Brown</v>
      </c>
      <c r="D310" s="22" t="str">
        <f>LEFT(Table4[[#This Row],[First_Name]],2)&amp;LEFT(Table4[[#This Row],[Last_Name]],2)&amp;ROW()</f>
        <v>JoBr310</v>
      </c>
    </row>
    <row r="311" spans="1:4" x14ac:dyDescent="0.25">
      <c r="A311" s="22" t="s">
        <v>67</v>
      </c>
      <c r="B311" s="22" t="str">
        <f>RIGHT(Table4[[#This Row],[Customer_Name]],LEN(Table4[[#This Row],[Customer_Name]])-FIND(",",Table4[[#This Row],[Customer_Name]])-1)</f>
        <v>James</v>
      </c>
      <c r="C311" s="22" t="str">
        <f>LEFT(Table4[[#This Row],[Customer_Name]],FIND(",",Table4[[#This Row],[Customer_Name]])-1)</f>
        <v>Davis</v>
      </c>
      <c r="D311" s="22" t="str">
        <f>LEFT(Table4[[#This Row],[First_Name]],2)&amp;LEFT(Table4[[#This Row],[Last_Name]],2)&amp;ROW()</f>
        <v>JaDa311</v>
      </c>
    </row>
    <row r="312" spans="1:4" x14ac:dyDescent="0.25">
      <c r="A312" s="22" t="s">
        <v>249</v>
      </c>
      <c r="B312" s="22" t="str">
        <f>RIGHT(Table4[[#This Row],[Customer_Name]],LEN(Table4[[#This Row],[Customer_Name]])-FIND(",",Table4[[#This Row],[Customer_Name]])-1)</f>
        <v>David</v>
      </c>
      <c r="C312" s="22" t="str">
        <f>LEFT(Table4[[#This Row],[Customer_Name]],FIND(",",Table4[[#This Row],[Customer_Name]])-1)</f>
        <v>Garcia</v>
      </c>
      <c r="D312" s="22" t="str">
        <f>LEFT(Table4[[#This Row],[First_Name]],2)&amp;LEFT(Table4[[#This Row],[Last_Name]],2)&amp;ROW()</f>
        <v>DaGa312</v>
      </c>
    </row>
    <row r="313" spans="1:4" x14ac:dyDescent="0.25">
      <c r="A313" s="22" t="s">
        <v>204</v>
      </c>
      <c r="B313" s="22" t="str">
        <f>RIGHT(Table4[[#This Row],[Customer_Name]],LEN(Table4[[#This Row],[Customer_Name]])-FIND(",",Table4[[#This Row],[Customer_Name]])-1)</f>
        <v>Sophia</v>
      </c>
      <c r="C313" s="22" t="str">
        <f>LEFT(Table4[[#This Row],[Customer_Name]],FIND(",",Table4[[#This Row],[Customer_Name]])-1)</f>
        <v>Martinez</v>
      </c>
      <c r="D313" s="22" t="str">
        <f>LEFT(Table4[[#This Row],[First_Name]],2)&amp;LEFT(Table4[[#This Row],[Last_Name]],2)&amp;ROW()</f>
        <v>SoMa313</v>
      </c>
    </row>
    <row r="314" spans="1:4" x14ac:dyDescent="0.25">
      <c r="A314" s="22" t="s">
        <v>113</v>
      </c>
      <c r="B314" s="22" t="str">
        <f>RIGHT(Table4[[#This Row],[Customer_Name]],LEN(Table4[[#This Row],[Customer_Name]])-FIND(",",Table4[[#This Row],[Customer_Name]])-1)</f>
        <v>John</v>
      </c>
      <c r="C314" s="22" t="str">
        <f>LEFT(Table4[[#This Row],[Customer_Name]],FIND(",",Table4[[#This Row],[Customer_Name]])-1)</f>
        <v>Hernandez</v>
      </c>
      <c r="D314" s="22" t="str">
        <f>LEFT(Table4[[#This Row],[First_Name]],2)&amp;LEFT(Table4[[#This Row],[Last_Name]],2)&amp;ROW()</f>
        <v>JoHe314</v>
      </c>
    </row>
    <row r="315" spans="1:4" x14ac:dyDescent="0.25">
      <c r="A315" s="22" t="s">
        <v>465</v>
      </c>
      <c r="B315" s="22" t="str">
        <f>RIGHT(Table4[[#This Row],[Customer_Name]],LEN(Table4[[#This Row],[Customer_Name]])-FIND(",",Table4[[#This Row],[Customer_Name]])-1)</f>
        <v>James</v>
      </c>
      <c r="C315" s="22" t="str">
        <f>LEFT(Table4[[#This Row],[Customer_Name]],FIND(",",Table4[[#This Row],[Customer_Name]])-1)</f>
        <v>Jones</v>
      </c>
      <c r="D315" s="22" t="str">
        <f>LEFT(Table4[[#This Row],[First_Name]],2)&amp;LEFT(Table4[[#This Row],[Last_Name]],2)&amp;ROW()</f>
        <v>JaJo315</v>
      </c>
    </row>
    <row r="316" spans="1:4" x14ac:dyDescent="0.25">
      <c r="A316" s="22" t="s">
        <v>204</v>
      </c>
      <c r="B316" s="22" t="str">
        <f>RIGHT(Table4[[#This Row],[Customer_Name]],LEN(Table4[[#This Row],[Customer_Name]])-FIND(",",Table4[[#This Row],[Customer_Name]])-1)</f>
        <v>Sophia</v>
      </c>
      <c r="C316" s="22" t="str">
        <f>LEFT(Table4[[#This Row],[Customer_Name]],FIND(",",Table4[[#This Row],[Customer_Name]])-1)</f>
        <v>Martinez</v>
      </c>
      <c r="D316" s="22" t="str">
        <f>LEFT(Table4[[#This Row],[First_Name]],2)&amp;LEFT(Table4[[#This Row],[Last_Name]],2)&amp;ROW()</f>
        <v>SoMa316</v>
      </c>
    </row>
    <row r="317" spans="1:4" x14ac:dyDescent="0.25">
      <c r="A317" s="22" t="s">
        <v>364</v>
      </c>
      <c r="B317" s="22" t="str">
        <f>RIGHT(Table4[[#This Row],[Customer_Name]],LEN(Table4[[#This Row],[Customer_Name]])-FIND(",",Table4[[#This Row],[Customer_Name]])-1)</f>
        <v>Sophia</v>
      </c>
      <c r="C317" s="22" t="str">
        <f>LEFT(Table4[[#This Row],[Customer_Name]],FIND(",",Table4[[#This Row],[Customer_Name]])-1)</f>
        <v>Brown</v>
      </c>
      <c r="D317" s="22" t="str">
        <f>LEFT(Table4[[#This Row],[First_Name]],2)&amp;LEFT(Table4[[#This Row],[Last_Name]],2)&amp;ROW()</f>
        <v>SoBr317</v>
      </c>
    </row>
    <row r="318" spans="1:4" x14ac:dyDescent="0.25">
      <c r="A318" s="22" t="s">
        <v>293</v>
      </c>
      <c r="B318" s="22" t="str">
        <f>RIGHT(Table4[[#This Row],[Customer_Name]],LEN(Table4[[#This Row],[Customer_Name]])-FIND(",",Table4[[#This Row],[Customer_Name]])-1)</f>
        <v>David</v>
      </c>
      <c r="C318" s="22" t="str">
        <f>LEFT(Table4[[#This Row],[Customer_Name]],FIND(",",Table4[[#This Row],[Customer_Name]])-1)</f>
        <v>Martinez</v>
      </c>
      <c r="D318" s="22" t="str">
        <f>LEFT(Table4[[#This Row],[First_Name]],2)&amp;LEFT(Table4[[#This Row],[Last_Name]],2)&amp;ROW()</f>
        <v>DaMa318</v>
      </c>
    </row>
    <row r="319" spans="1:4" x14ac:dyDescent="0.25">
      <c r="A319" s="22" t="s">
        <v>181</v>
      </c>
      <c r="B319" s="22" t="str">
        <f>RIGHT(Table4[[#This Row],[Customer_Name]],LEN(Table4[[#This Row],[Customer_Name]])-FIND(",",Table4[[#This Row],[Customer_Name]])-1)</f>
        <v>Laura</v>
      </c>
      <c r="C319" s="22" t="str">
        <f>LEFT(Table4[[#This Row],[Customer_Name]],FIND(",",Table4[[#This Row],[Customer_Name]])-1)</f>
        <v>Garcia</v>
      </c>
      <c r="D319" s="22" t="str">
        <f>LEFT(Table4[[#This Row],[First_Name]],2)&amp;LEFT(Table4[[#This Row],[Last_Name]],2)&amp;ROW()</f>
        <v>LaGa319</v>
      </c>
    </row>
    <row r="320" spans="1:4" x14ac:dyDescent="0.25">
      <c r="A320" s="22" t="s">
        <v>246</v>
      </c>
      <c r="B320" s="22" t="str">
        <f>RIGHT(Table4[[#This Row],[Customer_Name]],LEN(Table4[[#This Row],[Customer_Name]])-FIND(",",Table4[[#This Row],[Customer_Name]])-1)</f>
        <v>John</v>
      </c>
      <c r="C320" s="22" t="str">
        <f>LEFT(Table4[[#This Row],[Customer_Name]],FIND(",",Table4[[#This Row],[Customer_Name]])-1)</f>
        <v>Martinez</v>
      </c>
      <c r="D320" s="22" t="str">
        <f>LEFT(Table4[[#This Row],[First_Name]],2)&amp;LEFT(Table4[[#This Row],[Last_Name]],2)&amp;ROW()</f>
        <v>JoMa320</v>
      </c>
    </row>
    <row r="321" spans="1:4" x14ac:dyDescent="0.25">
      <c r="A321" s="22" t="s">
        <v>399</v>
      </c>
      <c r="B321" s="22" t="str">
        <f>RIGHT(Table4[[#This Row],[Customer_Name]],LEN(Table4[[#This Row],[Customer_Name]])-FIND(",",Table4[[#This Row],[Customer_Name]])-1)</f>
        <v>John</v>
      </c>
      <c r="C321" s="22" t="str">
        <f>LEFT(Table4[[#This Row],[Customer_Name]],FIND(",",Table4[[#This Row],[Customer_Name]])-1)</f>
        <v>Smith</v>
      </c>
      <c r="D321" s="22" t="str">
        <f>LEFT(Table4[[#This Row],[First_Name]],2)&amp;LEFT(Table4[[#This Row],[Last_Name]],2)&amp;ROW()</f>
        <v>JoSm321</v>
      </c>
    </row>
    <row r="322" spans="1:4" x14ac:dyDescent="0.25">
      <c r="A322" s="22" t="s">
        <v>473</v>
      </c>
      <c r="B322" s="22" t="str">
        <f>RIGHT(Table4[[#This Row],[Customer_Name]],LEN(Table4[[#This Row],[Customer_Name]])-FIND(",",Table4[[#This Row],[Customer_Name]])-1)</f>
        <v>John</v>
      </c>
      <c r="C322" s="22" t="str">
        <f>LEFT(Table4[[#This Row],[Customer_Name]],FIND(",",Table4[[#This Row],[Customer_Name]])-1)</f>
        <v>Jones</v>
      </c>
      <c r="D322" s="22" t="str">
        <f>LEFT(Table4[[#This Row],[First_Name]],2)&amp;LEFT(Table4[[#This Row],[Last_Name]],2)&amp;ROW()</f>
        <v>JoJo322</v>
      </c>
    </row>
    <row r="323" spans="1:4" x14ac:dyDescent="0.25">
      <c r="A323" s="22" t="s">
        <v>100</v>
      </c>
      <c r="B323" s="22" t="str">
        <f>RIGHT(Table4[[#This Row],[Customer_Name]],LEN(Table4[[#This Row],[Customer_Name]])-FIND(",",Table4[[#This Row],[Customer_Name]])-1)</f>
        <v>Laura</v>
      </c>
      <c r="C323" s="22" t="str">
        <f>LEFT(Table4[[#This Row],[Customer_Name]],FIND(",",Table4[[#This Row],[Customer_Name]])-1)</f>
        <v>Jones</v>
      </c>
      <c r="D323" s="22" t="str">
        <f>LEFT(Table4[[#This Row],[First_Name]],2)&amp;LEFT(Table4[[#This Row],[Last_Name]],2)&amp;ROW()</f>
        <v>LaJo323</v>
      </c>
    </row>
    <row r="324" spans="1:4" x14ac:dyDescent="0.25">
      <c r="A324" s="22" t="s">
        <v>161</v>
      </c>
      <c r="B324" s="22" t="str">
        <f>RIGHT(Table4[[#This Row],[Customer_Name]],LEN(Table4[[#This Row],[Customer_Name]])-FIND(",",Table4[[#This Row],[Customer_Name]])-1)</f>
        <v>Emily</v>
      </c>
      <c r="C324" s="22" t="str">
        <f>LEFT(Table4[[#This Row],[Customer_Name]],FIND(",",Table4[[#This Row],[Customer_Name]])-1)</f>
        <v>Williams</v>
      </c>
      <c r="D324" s="22" t="str">
        <f>LEFT(Table4[[#This Row],[First_Name]],2)&amp;LEFT(Table4[[#This Row],[Last_Name]],2)&amp;ROW()</f>
        <v>EmWi324</v>
      </c>
    </row>
    <row r="325" spans="1:4" x14ac:dyDescent="0.25">
      <c r="A325" s="22" t="s">
        <v>410</v>
      </c>
      <c r="B325" s="22" t="str">
        <f>RIGHT(Table4[[#This Row],[Customer_Name]],LEN(Table4[[#This Row],[Customer_Name]])-FIND(",",Table4[[#This Row],[Customer_Name]])-1)</f>
        <v>James</v>
      </c>
      <c r="C325" s="22" t="str">
        <f>LEFT(Table4[[#This Row],[Customer_Name]],FIND(",",Table4[[#This Row],[Customer_Name]])-1)</f>
        <v>Garcia</v>
      </c>
      <c r="D325" s="22" t="str">
        <f>LEFT(Table4[[#This Row],[First_Name]],2)&amp;LEFT(Table4[[#This Row],[Last_Name]],2)&amp;ROW()</f>
        <v>JaGa325</v>
      </c>
    </row>
    <row r="326" spans="1:4" x14ac:dyDescent="0.25">
      <c r="A326" s="22" t="s">
        <v>364</v>
      </c>
      <c r="B326" s="22" t="str">
        <f>RIGHT(Table4[[#This Row],[Customer_Name]],LEN(Table4[[#This Row],[Customer_Name]])-FIND(",",Table4[[#This Row],[Customer_Name]])-1)</f>
        <v>Sophia</v>
      </c>
      <c r="C326" s="22" t="str">
        <f>LEFT(Table4[[#This Row],[Customer_Name]],FIND(",",Table4[[#This Row],[Customer_Name]])-1)</f>
        <v>Brown</v>
      </c>
      <c r="D326" s="22" t="str">
        <f>LEFT(Table4[[#This Row],[First_Name]],2)&amp;LEFT(Table4[[#This Row],[Last_Name]],2)&amp;ROW()</f>
        <v>SoBr326</v>
      </c>
    </row>
    <row r="327" spans="1:4" x14ac:dyDescent="0.25">
      <c r="A327" s="22" t="s">
        <v>209</v>
      </c>
      <c r="B327" s="22" t="str">
        <f>RIGHT(Table4[[#This Row],[Customer_Name]],LEN(Table4[[#This Row],[Customer_Name]])-FIND(",",Table4[[#This Row],[Customer_Name]])-1)</f>
        <v>James</v>
      </c>
      <c r="C327" s="22" t="str">
        <f>LEFT(Table4[[#This Row],[Customer_Name]],FIND(",",Table4[[#This Row],[Customer_Name]])-1)</f>
        <v>Williams</v>
      </c>
      <c r="D327" s="22" t="str">
        <f>LEFT(Table4[[#This Row],[First_Name]],2)&amp;LEFT(Table4[[#This Row],[Last_Name]],2)&amp;ROW()</f>
        <v>JaWi327</v>
      </c>
    </row>
    <row r="328" spans="1:4" x14ac:dyDescent="0.25">
      <c r="A328" s="22" t="s">
        <v>54</v>
      </c>
      <c r="B328" s="22" t="str">
        <f>RIGHT(Table4[[#This Row],[Customer_Name]],LEN(Table4[[#This Row],[Customer_Name]])-FIND(",",Table4[[#This Row],[Customer_Name]])-1)</f>
        <v>John</v>
      </c>
      <c r="C328" s="22" t="str">
        <f>LEFT(Table4[[#This Row],[Customer_Name]],FIND(",",Table4[[#This Row],[Customer_Name]])-1)</f>
        <v>Miller</v>
      </c>
      <c r="D328" s="22" t="str">
        <f>LEFT(Table4[[#This Row],[First_Name]],2)&amp;LEFT(Table4[[#This Row],[Last_Name]],2)&amp;ROW()</f>
        <v>JoMi328</v>
      </c>
    </row>
    <row r="329" spans="1:4" x14ac:dyDescent="0.25">
      <c r="A329" s="22" t="s">
        <v>261</v>
      </c>
      <c r="B329" s="22" t="str">
        <f>RIGHT(Table4[[#This Row],[Customer_Name]],LEN(Table4[[#This Row],[Customer_Name]])-FIND(",",Table4[[#This Row],[Customer_Name]])-1)</f>
        <v>Emily</v>
      </c>
      <c r="C329" s="22" t="str">
        <f>LEFT(Table4[[#This Row],[Customer_Name]],FIND(",",Table4[[#This Row],[Customer_Name]])-1)</f>
        <v>Brown</v>
      </c>
      <c r="D329" s="22" t="str">
        <f>LEFT(Table4[[#This Row],[First_Name]],2)&amp;LEFT(Table4[[#This Row],[Last_Name]],2)&amp;ROW()</f>
        <v>EmBr329</v>
      </c>
    </row>
    <row r="330" spans="1:4" x14ac:dyDescent="0.25">
      <c r="A330" s="22" t="s">
        <v>173</v>
      </c>
      <c r="B330" s="22" t="str">
        <f>RIGHT(Table4[[#This Row],[Customer_Name]],LEN(Table4[[#This Row],[Customer_Name]])-FIND(",",Table4[[#This Row],[Customer_Name]])-1)</f>
        <v>Michael</v>
      </c>
      <c r="C330" s="22" t="str">
        <f>LEFT(Table4[[#This Row],[Customer_Name]],FIND(",",Table4[[#This Row],[Customer_Name]])-1)</f>
        <v>Garcia</v>
      </c>
      <c r="D330" s="22" t="str">
        <f>LEFT(Table4[[#This Row],[First_Name]],2)&amp;LEFT(Table4[[#This Row],[Last_Name]],2)&amp;ROW()</f>
        <v>MiGa330</v>
      </c>
    </row>
    <row r="331" spans="1:4" x14ac:dyDescent="0.25">
      <c r="A331" s="22" t="s">
        <v>483</v>
      </c>
      <c r="B331" s="22" t="str">
        <f>RIGHT(Table4[[#This Row],[Customer_Name]],LEN(Table4[[#This Row],[Customer_Name]])-FIND(",",Table4[[#This Row],[Customer_Name]])-1)</f>
        <v>Emily</v>
      </c>
      <c r="C331" s="22" t="str">
        <f>LEFT(Table4[[#This Row],[Customer_Name]],FIND(",",Table4[[#This Row],[Customer_Name]])-1)</f>
        <v>Hernandez</v>
      </c>
      <c r="D331" s="22" t="str">
        <f>LEFT(Table4[[#This Row],[First_Name]],2)&amp;LEFT(Table4[[#This Row],[Last_Name]],2)&amp;ROW()</f>
        <v>EmHe331</v>
      </c>
    </row>
    <row r="332" spans="1:4" x14ac:dyDescent="0.25">
      <c r="A332" s="22" t="s">
        <v>211</v>
      </c>
      <c r="B332" s="22" t="str">
        <f>RIGHT(Table4[[#This Row],[Customer_Name]],LEN(Table4[[#This Row],[Customer_Name]])-FIND(",",Table4[[#This Row],[Customer_Name]])-1)</f>
        <v>Emma</v>
      </c>
      <c r="C332" s="22" t="str">
        <f>LEFT(Table4[[#This Row],[Customer_Name]],FIND(",",Table4[[#This Row],[Customer_Name]])-1)</f>
        <v>Garcia</v>
      </c>
      <c r="D332" s="22" t="str">
        <f>LEFT(Table4[[#This Row],[First_Name]],2)&amp;LEFT(Table4[[#This Row],[Last_Name]],2)&amp;ROW()</f>
        <v>EmGa332</v>
      </c>
    </row>
    <row r="333" spans="1:4" x14ac:dyDescent="0.25">
      <c r="A333" s="22" t="s">
        <v>410</v>
      </c>
      <c r="B333" s="22" t="str">
        <f>RIGHT(Table4[[#This Row],[Customer_Name]],LEN(Table4[[#This Row],[Customer_Name]])-FIND(",",Table4[[#This Row],[Customer_Name]])-1)</f>
        <v>James</v>
      </c>
      <c r="C333" s="22" t="str">
        <f>LEFT(Table4[[#This Row],[Customer_Name]],FIND(",",Table4[[#This Row],[Customer_Name]])-1)</f>
        <v>Garcia</v>
      </c>
      <c r="D333" s="22" t="str">
        <f>LEFT(Table4[[#This Row],[First_Name]],2)&amp;LEFT(Table4[[#This Row],[Last_Name]],2)&amp;ROW()</f>
        <v>JaGa333</v>
      </c>
    </row>
    <row r="334" spans="1:4" x14ac:dyDescent="0.25">
      <c r="A334" s="22" t="s">
        <v>110</v>
      </c>
      <c r="B334" s="22" t="str">
        <f>RIGHT(Table4[[#This Row],[Customer_Name]],LEN(Table4[[#This Row],[Customer_Name]])-FIND(",",Table4[[#This Row],[Customer_Name]])-1)</f>
        <v>Sophia</v>
      </c>
      <c r="C334" s="22" t="str">
        <f>LEFT(Table4[[#This Row],[Customer_Name]],FIND(",",Table4[[#This Row],[Customer_Name]])-1)</f>
        <v>Smith</v>
      </c>
      <c r="D334" s="22" t="str">
        <f>LEFT(Table4[[#This Row],[First_Name]],2)&amp;LEFT(Table4[[#This Row],[Last_Name]],2)&amp;ROW()</f>
        <v>SoSm334</v>
      </c>
    </row>
    <row r="335" spans="1:4" x14ac:dyDescent="0.25">
      <c r="A335" s="22" t="s">
        <v>108</v>
      </c>
      <c r="B335" s="22" t="str">
        <f>RIGHT(Table4[[#This Row],[Customer_Name]],LEN(Table4[[#This Row],[Customer_Name]])-FIND(",",Table4[[#This Row],[Customer_Name]])-1)</f>
        <v>Sophia</v>
      </c>
      <c r="C335" s="22" t="str">
        <f>LEFT(Table4[[#This Row],[Customer_Name]],FIND(",",Table4[[#This Row],[Customer_Name]])-1)</f>
        <v>Garcia</v>
      </c>
      <c r="D335" s="22" t="str">
        <f>LEFT(Table4[[#This Row],[First_Name]],2)&amp;LEFT(Table4[[#This Row],[Last_Name]],2)&amp;ROW()</f>
        <v>SoGa335</v>
      </c>
    </row>
    <row r="336" spans="1:4" x14ac:dyDescent="0.25">
      <c r="A336" s="22" t="s">
        <v>89</v>
      </c>
      <c r="B336" s="22" t="str">
        <f>RIGHT(Table4[[#This Row],[Customer_Name]],LEN(Table4[[#This Row],[Customer_Name]])-FIND(",",Table4[[#This Row],[Customer_Name]])-1)</f>
        <v>David</v>
      </c>
      <c r="C336" s="22" t="str">
        <f>LEFT(Table4[[#This Row],[Customer_Name]],FIND(",",Table4[[#This Row],[Customer_Name]])-1)</f>
        <v>Davis</v>
      </c>
      <c r="D336" s="22" t="str">
        <f>LEFT(Table4[[#This Row],[First_Name]],2)&amp;LEFT(Table4[[#This Row],[Last_Name]],2)&amp;ROW()</f>
        <v>DaDa336</v>
      </c>
    </row>
    <row r="337" spans="1:4" x14ac:dyDescent="0.25">
      <c r="A337" s="22" t="s">
        <v>115</v>
      </c>
      <c r="B337" s="22" t="str">
        <f>RIGHT(Table4[[#This Row],[Customer_Name]],LEN(Table4[[#This Row],[Customer_Name]])-FIND(",",Table4[[#This Row],[Customer_Name]])-1)</f>
        <v>Laura</v>
      </c>
      <c r="C337" s="22" t="str">
        <f>LEFT(Table4[[#This Row],[Customer_Name]],FIND(",",Table4[[#This Row],[Customer_Name]])-1)</f>
        <v>Williams</v>
      </c>
      <c r="D337" s="22" t="str">
        <f>LEFT(Table4[[#This Row],[First_Name]],2)&amp;LEFT(Table4[[#This Row],[Last_Name]],2)&amp;ROW()</f>
        <v>LaWi337</v>
      </c>
    </row>
    <row r="338" spans="1:4" x14ac:dyDescent="0.25">
      <c r="A338" s="22" t="s">
        <v>85</v>
      </c>
      <c r="B338" s="22" t="str">
        <f>RIGHT(Table4[[#This Row],[Customer_Name]],LEN(Table4[[#This Row],[Customer_Name]])-FIND(",",Table4[[#This Row],[Customer_Name]])-1)</f>
        <v>Michael</v>
      </c>
      <c r="C338" s="22" t="str">
        <f>LEFT(Table4[[#This Row],[Customer_Name]],FIND(",",Table4[[#This Row],[Customer_Name]])-1)</f>
        <v>Miller</v>
      </c>
      <c r="D338" s="22" t="str">
        <f>LEFT(Table4[[#This Row],[First_Name]],2)&amp;LEFT(Table4[[#This Row],[Last_Name]],2)&amp;ROW()</f>
        <v>MiMi338</v>
      </c>
    </row>
    <row r="339" spans="1:4" x14ac:dyDescent="0.25">
      <c r="A339" s="22" t="s">
        <v>15</v>
      </c>
      <c r="B339" s="22" t="str">
        <f>RIGHT(Table4[[#This Row],[Customer_Name]],LEN(Table4[[#This Row],[Customer_Name]])-FIND(",",Table4[[#This Row],[Customer_Name]])-1)</f>
        <v>Emily</v>
      </c>
      <c r="C339" s="22" t="str">
        <f>LEFT(Table4[[#This Row],[Customer_Name]],FIND(",",Table4[[#This Row],[Customer_Name]])-1)</f>
        <v>Smith</v>
      </c>
      <c r="D339" s="22" t="str">
        <f>LEFT(Table4[[#This Row],[First_Name]],2)&amp;LEFT(Table4[[#This Row],[Last_Name]],2)&amp;ROW()</f>
        <v>EmSm339</v>
      </c>
    </row>
    <row r="340" spans="1:4" x14ac:dyDescent="0.25">
      <c r="A340" s="22" t="s">
        <v>211</v>
      </c>
      <c r="B340" s="22" t="str">
        <f>RIGHT(Table4[[#This Row],[Customer_Name]],LEN(Table4[[#This Row],[Customer_Name]])-FIND(",",Table4[[#This Row],[Customer_Name]])-1)</f>
        <v>Emma</v>
      </c>
      <c r="C340" s="22" t="str">
        <f>LEFT(Table4[[#This Row],[Customer_Name]],FIND(",",Table4[[#This Row],[Customer_Name]])-1)</f>
        <v>Garcia</v>
      </c>
      <c r="D340" s="22" t="str">
        <f>LEFT(Table4[[#This Row],[First_Name]],2)&amp;LEFT(Table4[[#This Row],[Last_Name]],2)&amp;ROW()</f>
        <v>EmGa340</v>
      </c>
    </row>
    <row r="341" spans="1:4" x14ac:dyDescent="0.25">
      <c r="A341" s="22" t="s">
        <v>342</v>
      </c>
      <c r="B341" s="22" t="str">
        <f>RIGHT(Table4[[#This Row],[Customer_Name]],LEN(Table4[[#This Row],[Customer_Name]])-FIND(",",Table4[[#This Row],[Customer_Name]])-1)</f>
        <v>Sarah</v>
      </c>
      <c r="C341" s="22" t="str">
        <f>LEFT(Table4[[#This Row],[Customer_Name]],FIND(",",Table4[[#This Row],[Customer_Name]])-1)</f>
        <v>Jones</v>
      </c>
      <c r="D341" s="22" t="str">
        <f>LEFT(Table4[[#This Row],[First_Name]],2)&amp;LEFT(Table4[[#This Row],[Last_Name]],2)&amp;ROW()</f>
        <v>SaJo341</v>
      </c>
    </row>
    <row r="342" spans="1:4" x14ac:dyDescent="0.25">
      <c r="A342" s="22" t="s">
        <v>110</v>
      </c>
      <c r="B342" s="22" t="str">
        <f>RIGHT(Table4[[#This Row],[Customer_Name]],LEN(Table4[[#This Row],[Customer_Name]])-FIND(",",Table4[[#This Row],[Customer_Name]])-1)</f>
        <v>Sophia</v>
      </c>
      <c r="C342" s="22" t="str">
        <f>LEFT(Table4[[#This Row],[Customer_Name]],FIND(",",Table4[[#This Row],[Customer_Name]])-1)</f>
        <v>Smith</v>
      </c>
      <c r="D342" s="22" t="str">
        <f>LEFT(Table4[[#This Row],[First_Name]],2)&amp;LEFT(Table4[[#This Row],[Last_Name]],2)&amp;ROW()</f>
        <v>SoSm342</v>
      </c>
    </row>
    <row r="343" spans="1:4" x14ac:dyDescent="0.25">
      <c r="A343" s="22" t="s">
        <v>465</v>
      </c>
      <c r="B343" s="22" t="str">
        <f>RIGHT(Table4[[#This Row],[Customer_Name]],LEN(Table4[[#This Row],[Customer_Name]])-FIND(",",Table4[[#This Row],[Customer_Name]])-1)</f>
        <v>James</v>
      </c>
      <c r="C343" s="22" t="str">
        <f>LEFT(Table4[[#This Row],[Customer_Name]],FIND(",",Table4[[#This Row],[Customer_Name]])-1)</f>
        <v>Jones</v>
      </c>
      <c r="D343" s="22" t="str">
        <f>LEFT(Table4[[#This Row],[First_Name]],2)&amp;LEFT(Table4[[#This Row],[Last_Name]],2)&amp;ROW()</f>
        <v>JaJo343</v>
      </c>
    </row>
    <row r="344" spans="1:4" x14ac:dyDescent="0.25">
      <c r="A344" s="22" t="s">
        <v>23</v>
      </c>
      <c r="B344" s="22" t="str">
        <f>RIGHT(Table4[[#This Row],[Customer_Name]],LEN(Table4[[#This Row],[Customer_Name]])-FIND(",",Table4[[#This Row],[Customer_Name]])-1)</f>
        <v>Laura</v>
      </c>
      <c r="C344" s="22" t="str">
        <f>LEFT(Table4[[#This Row],[Customer_Name]],FIND(",",Table4[[#This Row],[Customer_Name]])-1)</f>
        <v>Brown</v>
      </c>
      <c r="D344" s="22" t="str">
        <f>LEFT(Table4[[#This Row],[First_Name]],2)&amp;LEFT(Table4[[#This Row],[Last_Name]],2)&amp;ROW()</f>
        <v>LaBr344</v>
      </c>
    </row>
    <row r="345" spans="1:4" x14ac:dyDescent="0.25">
      <c r="A345" s="22" t="s">
        <v>149</v>
      </c>
      <c r="B345" s="22" t="str">
        <f>RIGHT(Table4[[#This Row],[Customer_Name]],LEN(Table4[[#This Row],[Customer_Name]])-FIND(",",Table4[[#This Row],[Customer_Name]])-1)</f>
        <v>Sarah</v>
      </c>
      <c r="C345" s="22" t="str">
        <f>LEFT(Table4[[#This Row],[Customer_Name]],FIND(",",Table4[[#This Row],[Customer_Name]])-1)</f>
        <v>Garcia</v>
      </c>
      <c r="D345" s="22" t="str">
        <f>LEFT(Table4[[#This Row],[First_Name]],2)&amp;LEFT(Table4[[#This Row],[Last_Name]],2)&amp;ROW()</f>
        <v>SaGa345</v>
      </c>
    </row>
    <row r="346" spans="1:4" x14ac:dyDescent="0.25">
      <c r="A346" s="22" t="s">
        <v>15</v>
      </c>
      <c r="B346" s="22" t="str">
        <f>RIGHT(Table4[[#This Row],[Customer_Name]],LEN(Table4[[#This Row],[Customer_Name]])-FIND(",",Table4[[#This Row],[Customer_Name]])-1)</f>
        <v>Emily</v>
      </c>
      <c r="C346" s="22" t="str">
        <f>LEFT(Table4[[#This Row],[Customer_Name]],FIND(",",Table4[[#This Row],[Customer_Name]])-1)</f>
        <v>Smith</v>
      </c>
      <c r="D346" s="22" t="str">
        <f>LEFT(Table4[[#This Row],[First_Name]],2)&amp;LEFT(Table4[[#This Row],[Last_Name]],2)&amp;ROW()</f>
        <v>EmSm346</v>
      </c>
    </row>
    <row r="347" spans="1:4" x14ac:dyDescent="0.25">
      <c r="A347" s="22" t="s">
        <v>123</v>
      </c>
      <c r="B347" s="22" t="str">
        <f>RIGHT(Table4[[#This Row],[Customer_Name]],LEN(Table4[[#This Row],[Customer_Name]])-FIND(",",Table4[[#This Row],[Customer_Name]])-1)</f>
        <v>Emily</v>
      </c>
      <c r="C347" s="22" t="str">
        <f>LEFT(Table4[[#This Row],[Customer_Name]],FIND(",",Table4[[#This Row],[Customer_Name]])-1)</f>
        <v>Garcia</v>
      </c>
      <c r="D347" s="22" t="str">
        <f>LEFT(Table4[[#This Row],[First_Name]],2)&amp;LEFT(Table4[[#This Row],[Last_Name]],2)&amp;ROW()</f>
        <v>EmGa347</v>
      </c>
    </row>
    <row r="348" spans="1:4" x14ac:dyDescent="0.25">
      <c r="A348" s="22" t="s">
        <v>34</v>
      </c>
      <c r="B348" s="22" t="str">
        <f>RIGHT(Table4[[#This Row],[Customer_Name]],LEN(Table4[[#This Row],[Customer_Name]])-FIND(",",Table4[[#This Row],[Customer_Name]])-1)</f>
        <v>Daniel</v>
      </c>
      <c r="C348" s="22" t="str">
        <f>LEFT(Table4[[#This Row],[Customer_Name]],FIND(",",Table4[[#This Row],[Customer_Name]])-1)</f>
        <v>Miller</v>
      </c>
      <c r="D348" s="22" t="str">
        <f>LEFT(Table4[[#This Row],[First_Name]],2)&amp;LEFT(Table4[[#This Row],[Last_Name]],2)&amp;ROW()</f>
        <v>DaMi348</v>
      </c>
    </row>
    <row r="349" spans="1:4" x14ac:dyDescent="0.25">
      <c r="A349" s="22" t="s">
        <v>204</v>
      </c>
      <c r="B349" s="22" t="str">
        <f>RIGHT(Table4[[#This Row],[Customer_Name]],LEN(Table4[[#This Row],[Customer_Name]])-FIND(",",Table4[[#This Row],[Customer_Name]])-1)</f>
        <v>Sophia</v>
      </c>
      <c r="C349" s="22" t="str">
        <f>LEFT(Table4[[#This Row],[Customer_Name]],FIND(",",Table4[[#This Row],[Customer_Name]])-1)</f>
        <v>Martinez</v>
      </c>
      <c r="D349" s="22" t="str">
        <f>LEFT(Table4[[#This Row],[First_Name]],2)&amp;LEFT(Table4[[#This Row],[Last_Name]],2)&amp;ROW()</f>
        <v>SoMa349</v>
      </c>
    </row>
    <row r="350" spans="1:4" x14ac:dyDescent="0.25">
      <c r="A350" s="22" t="s">
        <v>199</v>
      </c>
      <c r="B350" s="22" t="str">
        <f>RIGHT(Table4[[#This Row],[Customer_Name]],LEN(Table4[[#This Row],[Customer_Name]])-FIND(",",Table4[[#This Row],[Customer_Name]])-1)</f>
        <v>Emily</v>
      </c>
      <c r="C350" s="22" t="str">
        <f>LEFT(Table4[[#This Row],[Customer_Name]],FIND(",",Table4[[#This Row],[Customer_Name]])-1)</f>
        <v>Davis</v>
      </c>
      <c r="D350" s="22" t="str">
        <f>LEFT(Table4[[#This Row],[First_Name]],2)&amp;LEFT(Table4[[#This Row],[Last_Name]],2)&amp;ROW()</f>
        <v>EmDa350</v>
      </c>
    </row>
    <row r="351" spans="1:4" x14ac:dyDescent="0.25">
      <c r="A351" s="22" t="s">
        <v>504</v>
      </c>
      <c r="B351" s="22" t="str">
        <f>RIGHT(Table4[[#This Row],[Customer_Name]],LEN(Table4[[#This Row],[Customer_Name]])-FIND(",",Table4[[#This Row],[Customer_Name]])-1)</f>
        <v>John</v>
      </c>
      <c r="C351" s="22" t="str">
        <f>LEFT(Table4[[#This Row],[Customer_Name]],FIND(",",Table4[[#This Row],[Customer_Name]])-1)</f>
        <v>Williams</v>
      </c>
      <c r="D351" s="22" t="str">
        <f>LEFT(Table4[[#This Row],[First_Name]],2)&amp;LEFT(Table4[[#This Row],[Last_Name]],2)&amp;ROW()</f>
        <v>JoWi351</v>
      </c>
    </row>
    <row r="352" spans="1:4" x14ac:dyDescent="0.25">
      <c r="A352" s="22" t="s">
        <v>156</v>
      </c>
      <c r="B352" s="22" t="str">
        <f>RIGHT(Table4[[#This Row],[Customer_Name]],LEN(Table4[[#This Row],[Customer_Name]])-FIND(",",Table4[[#This Row],[Customer_Name]])-1)</f>
        <v>James</v>
      </c>
      <c r="C352" s="22" t="str">
        <f>LEFT(Table4[[#This Row],[Customer_Name]],FIND(",",Table4[[#This Row],[Customer_Name]])-1)</f>
        <v>Hernandez</v>
      </c>
      <c r="D352" s="22" t="str">
        <f>LEFT(Table4[[#This Row],[First_Name]],2)&amp;LEFT(Table4[[#This Row],[Last_Name]],2)&amp;ROW()</f>
        <v>JaHe352</v>
      </c>
    </row>
    <row r="353" spans="1:4" x14ac:dyDescent="0.25">
      <c r="A353" s="22" t="s">
        <v>465</v>
      </c>
      <c r="B353" s="22" t="str">
        <f>RIGHT(Table4[[#This Row],[Customer_Name]],LEN(Table4[[#This Row],[Customer_Name]])-FIND(",",Table4[[#This Row],[Customer_Name]])-1)</f>
        <v>James</v>
      </c>
      <c r="C353" s="22" t="str">
        <f>LEFT(Table4[[#This Row],[Customer_Name]],FIND(",",Table4[[#This Row],[Customer_Name]])-1)</f>
        <v>Jones</v>
      </c>
      <c r="D353" s="22" t="str">
        <f>LEFT(Table4[[#This Row],[First_Name]],2)&amp;LEFT(Table4[[#This Row],[Last_Name]],2)&amp;ROW()</f>
        <v>JaJo353</v>
      </c>
    </row>
    <row r="354" spans="1:4" x14ac:dyDescent="0.25">
      <c r="A354" s="22" t="s">
        <v>135</v>
      </c>
      <c r="B354" s="22" t="str">
        <f>RIGHT(Table4[[#This Row],[Customer_Name]],LEN(Table4[[#This Row],[Customer_Name]])-FIND(",",Table4[[#This Row],[Customer_Name]])-1)</f>
        <v>Daniel</v>
      </c>
      <c r="C354" s="22" t="str">
        <f>LEFT(Table4[[#This Row],[Customer_Name]],FIND(",",Table4[[#This Row],[Customer_Name]])-1)</f>
        <v>Smith</v>
      </c>
      <c r="D354" s="22" t="str">
        <f>LEFT(Table4[[#This Row],[First_Name]],2)&amp;LEFT(Table4[[#This Row],[Last_Name]],2)&amp;ROW()</f>
        <v>DaSm354</v>
      </c>
    </row>
    <row r="355" spans="1:4" x14ac:dyDescent="0.25">
      <c r="A355" s="22" t="s">
        <v>119</v>
      </c>
      <c r="B355" s="22" t="str">
        <f>RIGHT(Table4[[#This Row],[Customer_Name]],LEN(Table4[[#This Row],[Customer_Name]])-FIND(",",Table4[[#This Row],[Customer_Name]])-1)</f>
        <v>Michael</v>
      </c>
      <c r="C355" s="22" t="str">
        <f>LEFT(Table4[[#This Row],[Customer_Name]],FIND(",",Table4[[#This Row],[Customer_Name]])-1)</f>
        <v>Smith</v>
      </c>
      <c r="D355" s="22" t="str">
        <f>LEFT(Table4[[#This Row],[First_Name]],2)&amp;LEFT(Table4[[#This Row],[Last_Name]],2)&amp;ROW()</f>
        <v>MiSm355</v>
      </c>
    </row>
    <row r="356" spans="1:4" x14ac:dyDescent="0.25">
      <c r="A356" s="22" t="s">
        <v>121</v>
      </c>
      <c r="B356" s="22" t="str">
        <f>RIGHT(Table4[[#This Row],[Customer_Name]],LEN(Table4[[#This Row],[Customer_Name]])-FIND(",",Table4[[#This Row],[Customer_Name]])-1)</f>
        <v>Sarah</v>
      </c>
      <c r="C356" s="22" t="str">
        <f>LEFT(Table4[[#This Row],[Customer_Name]],FIND(",",Table4[[#This Row],[Customer_Name]])-1)</f>
        <v>Martinez</v>
      </c>
      <c r="D356" s="22" t="str">
        <f>LEFT(Table4[[#This Row],[First_Name]],2)&amp;LEFT(Table4[[#This Row],[Last_Name]],2)&amp;ROW()</f>
        <v>SaMa356</v>
      </c>
    </row>
    <row r="357" spans="1:4" x14ac:dyDescent="0.25">
      <c r="A357" s="22" t="s">
        <v>202</v>
      </c>
      <c r="B357" s="22" t="str">
        <f>RIGHT(Table4[[#This Row],[Customer_Name]],LEN(Table4[[#This Row],[Customer_Name]])-FIND(",",Table4[[#This Row],[Customer_Name]])-1)</f>
        <v>James</v>
      </c>
      <c r="C357" s="22" t="str">
        <f>LEFT(Table4[[#This Row],[Customer_Name]],FIND(",",Table4[[#This Row],[Customer_Name]])-1)</f>
        <v>Johnson</v>
      </c>
      <c r="D357" s="22" t="str">
        <f>LEFT(Table4[[#This Row],[First_Name]],2)&amp;LEFT(Table4[[#This Row],[Last_Name]],2)&amp;ROW()</f>
        <v>JaJo357</v>
      </c>
    </row>
    <row r="358" spans="1:4" x14ac:dyDescent="0.25">
      <c r="A358" s="22" t="s">
        <v>179</v>
      </c>
      <c r="B358" s="22" t="str">
        <f>RIGHT(Table4[[#This Row],[Customer_Name]],LEN(Table4[[#This Row],[Customer_Name]])-FIND(",",Table4[[#This Row],[Customer_Name]])-1)</f>
        <v>Sophia</v>
      </c>
      <c r="C358" s="22" t="str">
        <f>LEFT(Table4[[#This Row],[Customer_Name]],FIND(",",Table4[[#This Row],[Customer_Name]])-1)</f>
        <v>Miller</v>
      </c>
      <c r="D358" s="22" t="str">
        <f>LEFT(Table4[[#This Row],[First_Name]],2)&amp;LEFT(Table4[[#This Row],[Last_Name]],2)&amp;ROW()</f>
        <v>SoMi358</v>
      </c>
    </row>
    <row r="359" spans="1:4" x14ac:dyDescent="0.25">
      <c r="A359" s="22" t="s">
        <v>170</v>
      </c>
      <c r="B359" s="22" t="str">
        <f>RIGHT(Table4[[#This Row],[Customer_Name]],LEN(Table4[[#This Row],[Customer_Name]])-FIND(",",Table4[[#This Row],[Customer_Name]])-1)</f>
        <v>Michael</v>
      </c>
      <c r="C359" s="22" t="str">
        <f>LEFT(Table4[[#This Row],[Customer_Name]],FIND(",",Table4[[#This Row],[Customer_Name]])-1)</f>
        <v>Jones</v>
      </c>
      <c r="D359" s="22" t="str">
        <f>LEFT(Table4[[#This Row],[First_Name]],2)&amp;LEFT(Table4[[#This Row],[Last_Name]],2)&amp;ROW()</f>
        <v>MiJo359</v>
      </c>
    </row>
    <row r="360" spans="1:4" x14ac:dyDescent="0.25">
      <c r="A360" s="22" t="s">
        <v>93</v>
      </c>
      <c r="B360" s="22" t="str">
        <f>RIGHT(Table4[[#This Row],[Customer_Name]],LEN(Table4[[#This Row],[Customer_Name]])-FIND(",",Table4[[#This Row],[Customer_Name]])-1)</f>
        <v>Sophia</v>
      </c>
      <c r="C360" s="22" t="str">
        <f>LEFT(Table4[[#This Row],[Customer_Name]],FIND(",",Table4[[#This Row],[Customer_Name]])-1)</f>
        <v>Hernandez</v>
      </c>
      <c r="D360" s="22" t="str">
        <f>LEFT(Table4[[#This Row],[First_Name]],2)&amp;LEFT(Table4[[#This Row],[Last_Name]],2)&amp;ROW()</f>
        <v>SoHe360</v>
      </c>
    </row>
    <row r="361" spans="1:4" x14ac:dyDescent="0.25">
      <c r="A361" s="22" t="s">
        <v>342</v>
      </c>
      <c r="B361" s="22" t="str">
        <f>RIGHT(Table4[[#This Row],[Customer_Name]],LEN(Table4[[#This Row],[Customer_Name]])-FIND(",",Table4[[#This Row],[Customer_Name]])-1)</f>
        <v>Sarah</v>
      </c>
      <c r="C361" s="22" t="str">
        <f>LEFT(Table4[[#This Row],[Customer_Name]],FIND(",",Table4[[#This Row],[Customer_Name]])-1)</f>
        <v>Jones</v>
      </c>
      <c r="D361" s="22" t="str">
        <f>LEFT(Table4[[#This Row],[First_Name]],2)&amp;LEFT(Table4[[#This Row],[Last_Name]],2)&amp;ROW()</f>
        <v>SaJo361</v>
      </c>
    </row>
    <row r="362" spans="1:4" x14ac:dyDescent="0.25">
      <c r="A362" s="22" t="s">
        <v>65</v>
      </c>
      <c r="B362" s="22" t="str">
        <f>RIGHT(Table4[[#This Row],[Customer_Name]],LEN(Table4[[#This Row],[Customer_Name]])-FIND(",",Table4[[#This Row],[Customer_Name]])-1)</f>
        <v>James</v>
      </c>
      <c r="C362" s="22" t="str">
        <f>LEFT(Table4[[#This Row],[Customer_Name]],FIND(",",Table4[[#This Row],[Customer_Name]])-1)</f>
        <v>Martinez</v>
      </c>
      <c r="D362" s="22" t="str">
        <f>LEFT(Table4[[#This Row],[First_Name]],2)&amp;LEFT(Table4[[#This Row],[Last_Name]],2)&amp;ROW()</f>
        <v>JaMa362</v>
      </c>
    </row>
    <row r="363" spans="1:4" x14ac:dyDescent="0.25">
      <c r="A363" s="22" t="s">
        <v>276</v>
      </c>
      <c r="B363" s="22" t="str">
        <f>RIGHT(Table4[[#This Row],[Customer_Name]],LEN(Table4[[#This Row],[Customer_Name]])-FIND(",",Table4[[#This Row],[Customer_Name]])-1)</f>
        <v>Sophia</v>
      </c>
      <c r="C363" s="22" t="str">
        <f>LEFT(Table4[[#This Row],[Customer_Name]],FIND(",",Table4[[#This Row],[Customer_Name]])-1)</f>
        <v>Davis</v>
      </c>
      <c r="D363" s="22" t="str">
        <f>LEFT(Table4[[#This Row],[First_Name]],2)&amp;LEFT(Table4[[#This Row],[Last_Name]],2)&amp;ROW()</f>
        <v>SoDa363</v>
      </c>
    </row>
    <row r="364" spans="1:4" x14ac:dyDescent="0.25">
      <c r="A364" s="22" t="s">
        <v>168</v>
      </c>
      <c r="B364" s="22" t="str">
        <f>RIGHT(Table4[[#This Row],[Customer_Name]],LEN(Table4[[#This Row],[Customer_Name]])-FIND(",",Table4[[#This Row],[Customer_Name]])-1)</f>
        <v>Daniel</v>
      </c>
      <c r="C364" s="22" t="str">
        <f>LEFT(Table4[[#This Row],[Customer_Name]],FIND(",",Table4[[#This Row],[Customer_Name]])-1)</f>
        <v>Martinez</v>
      </c>
      <c r="D364" s="22" t="str">
        <f>LEFT(Table4[[#This Row],[First_Name]],2)&amp;LEFT(Table4[[#This Row],[Last_Name]],2)&amp;ROW()</f>
        <v>DaMa364</v>
      </c>
    </row>
    <row r="365" spans="1:4" x14ac:dyDescent="0.25">
      <c r="A365" s="22" t="s">
        <v>161</v>
      </c>
      <c r="B365" s="22" t="str">
        <f>RIGHT(Table4[[#This Row],[Customer_Name]],LEN(Table4[[#This Row],[Customer_Name]])-FIND(",",Table4[[#This Row],[Customer_Name]])-1)</f>
        <v>Emily</v>
      </c>
      <c r="C365" s="22" t="str">
        <f>LEFT(Table4[[#This Row],[Customer_Name]],FIND(",",Table4[[#This Row],[Customer_Name]])-1)</f>
        <v>Williams</v>
      </c>
      <c r="D365" s="22" t="str">
        <f>LEFT(Table4[[#This Row],[First_Name]],2)&amp;LEFT(Table4[[#This Row],[Last_Name]],2)&amp;ROW()</f>
        <v>EmWi365</v>
      </c>
    </row>
    <row r="366" spans="1:4" x14ac:dyDescent="0.25">
      <c r="A366" s="22" t="s">
        <v>323</v>
      </c>
      <c r="B366" s="22" t="str">
        <f>RIGHT(Table4[[#This Row],[Customer_Name]],LEN(Table4[[#This Row],[Customer_Name]])-FIND(",",Table4[[#This Row],[Customer_Name]])-1)</f>
        <v>Emma</v>
      </c>
      <c r="C366" s="22" t="str">
        <f>LEFT(Table4[[#This Row],[Customer_Name]],FIND(",",Table4[[#This Row],[Customer_Name]])-1)</f>
        <v>Miller</v>
      </c>
      <c r="D366" s="22" t="str">
        <f>LEFT(Table4[[#This Row],[First_Name]],2)&amp;LEFT(Table4[[#This Row],[Last_Name]],2)&amp;ROW()</f>
        <v>EmMi366</v>
      </c>
    </row>
    <row r="367" spans="1:4" x14ac:dyDescent="0.25">
      <c r="A367" s="22" t="s">
        <v>147</v>
      </c>
      <c r="B367" s="22" t="str">
        <f>RIGHT(Table4[[#This Row],[Customer_Name]],LEN(Table4[[#This Row],[Customer_Name]])-FIND(",",Table4[[#This Row],[Customer_Name]])-1)</f>
        <v>Sophia</v>
      </c>
      <c r="C367" s="22" t="str">
        <f>LEFT(Table4[[#This Row],[Customer_Name]],FIND(",",Table4[[#This Row],[Customer_Name]])-1)</f>
        <v>Jones</v>
      </c>
      <c r="D367" s="22" t="str">
        <f>LEFT(Table4[[#This Row],[First_Name]],2)&amp;LEFT(Table4[[#This Row],[Last_Name]],2)&amp;ROW()</f>
        <v>SoJo367</v>
      </c>
    </row>
    <row r="368" spans="1:4" x14ac:dyDescent="0.25">
      <c r="A368" s="22" t="s">
        <v>119</v>
      </c>
      <c r="B368" s="22" t="str">
        <f>RIGHT(Table4[[#This Row],[Customer_Name]],LEN(Table4[[#This Row],[Customer_Name]])-FIND(",",Table4[[#This Row],[Customer_Name]])-1)</f>
        <v>Michael</v>
      </c>
      <c r="C368" s="22" t="str">
        <f>LEFT(Table4[[#This Row],[Customer_Name]],FIND(",",Table4[[#This Row],[Customer_Name]])-1)</f>
        <v>Smith</v>
      </c>
      <c r="D368" s="22" t="str">
        <f>LEFT(Table4[[#This Row],[First_Name]],2)&amp;LEFT(Table4[[#This Row],[Last_Name]],2)&amp;ROW()</f>
        <v>MiSm368</v>
      </c>
    </row>
    <row r="369" spans="1:4" x14ac:dyDescent="0.25">
      <c r="A369" s="22" t="s">
        <v>97</v>
      </c>
      <c r="B369" s="22" t="str">
        <f>RIGHT(Table4[[#This Row],[Customer_Name]],LEN(Table4[[#This Row],[Customer_Name]])-FIND(",",Table4[[#This Row],[Customer_Name]])-1)</f>
        <v>Michael</v>
      </c>
      <c r="C369" s="22" t="str">
        <f>LEFT(Table4[[#This Row],[Customer_Name]],FIND(",",Table4[[#This Row],[Customer_Name]])-1)</f>
        <v>Martinez</v>
      </c>
      <c r="D369" s="22" t="str">
        <f>LEFT(Table4[[#This Row],[First_Name]],2)&amp;LEFT(Table4[[#This Row],[Last_Name]],2)&amp;ROW()</f>
        <v>MiMa369</v>
      </c>
    </row>
    <row r="370" spans="1:4" x14ac:dyDescent="0.25">
      <c r="A370" s="22" t="s">
        <v>261</v>
      </c>
      <c r="B370" s="22" t="str">
        <f>RIGHT(Table4[[#This Row],[Customer_Name]],LEN(Table4[[#This Row],[Customer_Name]])-FIND(",",Table4[[#This Row],[Customer_Name]])-1)</f>
        <v>Emily</v>
      </c>
      <c r="C370" s="22" t="str">
        <f>LEFT(Table4[[#This Row],[Customer_Name]],FIND(",",Table4[[#This Row],[Customer_Name]])-1)</f>
        <v>Brown</v>
      </c>
      <c r="D370" s="22" t="str">
        <f>LEFT(Table4[[#This Row],[First_Name]],2)&amp;LEFT(Table4[[#This Row],[Last_Name]],2)&amp;ROW()</f>
        <v>EmBr370</v>
      </c>
    </row>
    <row r="371" spans="1:4" x14ac:dyDescent="0.25">
      <c r="A371" s="22" t="s">
        <v>168</v>
      </c>
      <c r="B371" s="22" t="str">
        <f>RIGHT(Table4[[#This Row],[Customer_Name]],LEN(Table4[[#This Row],[Customer_Name]])-FIND(",",Table4[[#This Row],[Customer_Name]])-1)</f>
        <v>Daniel</v>
      </c>
      <c r="C371" s="22" t="str">
        <f>LEFT(Table4[[#This Row],[Customer_Name]],FIND(",",Table4[[#This Row],[Customer_Name]])-1)</f>
        <v>Martinez</v>
      </c>
      <c r="D371" s="22" t="str">
        <f>LEFT(Table4[[#This Row],[First_Name]],2)&amp;LEFT(Table4[[#This Row],[Last_Name]],2)&amp;ROW()</f>
        <v>DaMa371</v>
      </c>
    </row>
    <row r="372" spans="1:4" x14ac:dyDescent="0.25">
      <c r="A372" s="22" t="s">
        <v>226</v>
      </c>
      <c r="B372" s="22" t="str">
        <f>RIGHT(Table4[[#This Row],[Customer_Name]],LEN(Table4[[#This Row],[Customer_Name]])-FIND(",",Table4[[#This Row],[Customer_Name]])-1)</f>
        <v>Emily</v>
      </c>
      <c r="C372" s="22" t="str">
        <f>LEFT(Table4[[#This Row],[Customer_Name]],FIND(",",Table4[[#This Row],[Customer_Name]])-1)</f>
        <v>Miller</v>
      </c>
      <c r="D372" s="22" t="str">
        <f>LEFT(Table4[[#This Row],[First_Name]],2)&amp;LEFT(Table4[[#This Row],[Last_Name]],2)&amp;ROW()</f>
        <v>EmMi372</v>
      </c>
    </row>
    <row r="373" spans="1:4" x14ac:dyDescent="0.25">
      <c r="A373" s="22" t="s">
        <v>354</v>
      </c>
      <c r="B373" s="22" t="str">
        <f>RIGHT(Table4[[#This Row],[Customer_Name]],LEN(Table4[[#This Row],[Customer_Name]])-FIND(",",Table4[[#This Row],[Customer_Name]])-1)</f>
        <v>David</v>
      </c>
      <c r="C373" s="22" t="str">
        <f>LEFT(Table4[[#This Row],[Customer_Name]],FIND(",",Table4[[#This Row],[Customer_Name]])-1)</f>
        <v>Brown</v>
      </c>
      <c r="D373" s="22" t="str">
        <f>LEFT(Table4[[#This Row],[First_Name]],2)&amp;LEFT(Table4[[#This Row],[Last_Name]],2)&amp;ROW()</f>
        <v>DaBr373</v>
      </c>
    </row>
    <row r="374" spans="1:4" x14ac:dyDescent="0.25">
      <c r="A374" s="22" t="s">
        <v>50</v>
      </c>
      <c r="B374" s="22" t="str">
        <f>RIGHT(Table4[[#This Row],[Customer_Name]],LEN(Table4[[#This Row],[Customer_Name]])-FIND(",",Table4[[#This Row],[Customer_Name]])-1)</f>
        <v>Emma</v>
      </c>
      <c r="C374" s="22" t="str">
        <f>LEFT(Table4[[#This Row],[Customer_Name]],FIND(",",Table4[[#This Row],[Customer_Name]])-1)</f>
        <v>Hernandez</v>
      </c>
      <c r="D374" s="22" t="str">
        <f>LEFT(Table4[[#This Row],[First_Name]],2)&amp;LEFT(Table4[[#This Row],[Last_Name]],2)&amp;ROW()</f>
        <v>EmHe374</v>
      </c>
    </row>
    <row r="375" spans="1:4" x14ac:dyDescent="0.25">
      <c r="A375" s="22" t="s">
        <v>100</v>
      </c>
      <c r="B375" s="22" t="str">
        <f>RIGHT(Table4[[#This Row],[Customer_Name]],LEN(Table4[[#This Row],[Customer_Name]])-FIND(",",Table4[[#This Row],[Customer_Name]])-1)</f>
        <v>Laura</v>
      </c>
      <c r="C375" s="22" t="str">
        <f>LEFT(Table4[[#This Row],[Customer_Name]],FIND(",",Table4[[#This Row],[Customer_Name]])-1)</f>
        <v>Jones</v>
      </c>
      <c r="D375" s="22" t="str">
        <f>LEFT(Table4[[#This Row],[First_Name]],2)&amp;LEFT(Table4[[#This Row],[Last_Name]],2)&amp;ROW()</f>
        <v>LaJo375</v>
      </c>
    </row>
    <row r="376" spans="1:4" x14ac:dyDescent="0.25">
      <c r="A376" s="22" t="s">
        <v>303</v>
      </c>
      <c r="B376" s="22" t="str">
        <f>RIGHT(Table4[[#This Row],[Customer_Name]],LEN(Table4[[#This Row],[Customer_Name]])-FIND(",",Table4[[#This Row],[Customer_Name]])-1)</f>
        <v>Emily</v>
      </c>
      <c r="C376" s="22" t="str">
        <f>LEFT(Table4[[#This Row],[Customer_Name]],FIND(",",Table4[[#This Row],[Customer_Name]])-1)</f>
        <v>Jones</v>
      </c>
      <c r="D376" s="22" t="str">
        <f>LEFT(Table4[[#This Row],[First_Name]],2)&amp;LEFT(Table4[[#This Row],[Last_Name]],2)&amp;ROW()</f>
        <v>EmJo376</v>
      </c>
    </row>
    <row r="377" spans="1:4" x14ac:dyDescent="0.25">
      <c r="A377" s="22" t="s">
        <v>240</v>
      </c>
      <c r="B377" s="22" t="str">
        <f>RIGHT(Table4[[#This Row],[Customer_Name]],LEN(Table4[[#This Row],[Customer_Name]])-FIND(",",Table4[[#This Row],[Customer_Name]])-1)</f>
        <v>David</v>
      </c>
      <c r="C377" s="22" t="str">
        <f>LEFT(Table4[[#This Row],[Customer_Name]],FIND(",",Table4[[#This Row],[Customer_Name]])-1)</f>
        <v>Hernandez</v>
      </c>
      <c r="D377" s="22" t="str">
        <f>LEFT(Table4[[#This Row],[First_Name]],2)&amp;LEFT(Table4[[#This Row],[Last_Name]],2)&amp;ROW()</f>
        <v>DaHe377</v>
      </c>
    </row>
    <row r="378" spans="1:4" x14ac:dyDescent="0.25">
      <c r="A378" s="22" t="s">
        <v>54</v>
      </c>
      <c r="B378" s="22" t="str">
        <f>RIGHT(Table4[[#This Row],[Customer_Name]],LEN(Table4[[#This Row],[Customer_Name]])-FIND(",",Table4[[#This Row],[Customer_Name]])-1)</f>
        <v>John</v>
      </c>
      <c r="C378" s="22" t="str">
        <f>LEFT(Table4[[#This Row],[Customer_Name]],FIND(",",Table4[[#This Row],[Customer_Name]])-1)</f>
        <v>Miller</v>
      </c>
      <c r="D378" s="22" t="str">
        <f>LEFT(Table4[[#This Row],[First_Name]],2)&amp;LEFT(Table4[[#This Row],[Last_Name]],2)&amp;ROW()</f>
        <v>JoMi378</v>
      </c>
    </row>
    <row r="379" spans="1:4" x14ac:dyDescent="0.25">
      <c r="A379" s="22" t="s">
        <v>342</v>
      </c>
      <c r="B379" s="22" t="str">
        <f>RIGHT(Table4[[#This Row],[Customer_Name]],LEN(Table4[[#This Row],[Customer_Name]])-FIND(",",Table4[[#This Row],[Customer_Name]])-1)</f>
        <v>Sarah</v>
      </c>
      <c r="C379" s="22" t="str">
        <f>LEFT(Table4[[#This Row],[Customer_Name]],FIND(",",Table4[[#This Row],[Customer_Name]])-1)</f>
        <v>Jones</v>
      </c>
      <c r="D379" s="22" t="str">
        <f>LEFT(Table4[[#This Row],[First_Name]],2)&amp;LEFT(Table4[[#This Row],[Last_Name]],2)&amp;ROW()</f>
        <v>SaJo379</v>
      </c>
    </row>
    <row r="380" spans="1:4" x14ac:dyDescent="0.25">
      <c r="A380" s="22" t="s">
        <v>123</v>
      </c>
      <c r="B380" s="22" t="str">
        <f>RIGHT(Table4[[#This Row],[Customer_Name]],LEN(Table4[[#This Row],[Customer_Name]])-FIND(",",Table4[[#This Row],[Customer_Name]])-1)</f>
        <v>Emily</v>
      </c>
      <c r="C380" s="22" t="str">
        <f>LEFT(Table4[[#This Row],[Customer_Name]],FIND(",",Table4[[#This Row],[Customer_Name]])-1)</f>
        <v>Garcia</v>
      </c>
      <c r="D380" s="22" t="str">
        <f>LEFT(Table4[[#This Row],[First_Name]],2)&amp;LEFT(Table4[[#This Row],[Last_Name]],2)&amp;ROW()</f>
        <v>EmGa380</v>
      </c>
    </row>
    <row r="381" spans="1:4" x14ac:dyDescent="0.25">
      <c r="A381" s="22" t="s">
        <v>371</v>
      </c>
      <c r="B381" s="22" t="str">
        <f>RIGHT(Table4[[#This Row],[Customer_Name]],LEN(Table4[[#This Row],[Customer_Name]])-FIND(",",Table4[[#This Row],[Customer_Name]])-1)</f>
        <v>Emma</v>
      </c>
      <c r="C381" s="22" t="str">
        <f>LEFT(Table4[[#This Row],[Customer_Name]],FIND(",",Table4[[#This Row],[Customer_Name]])-1)</f>
        <v>Jones</v>
      </c>
      <c r="D381" s="22" t="str">
        <f>LEFT(Table4[[#This Row],[First_Name]],2)&amp;LEFT(Table4[[#This Row],[Last_Name]],2)&amp;ROW()</f>
        <v>EmJo381</v>
      </c>
    </row>
    <row r="382" spans="1:4" x14ac:dyDescent="0.25">
      <c r="A382" s="22" t="s">
        <v>286</v>
      </c>
      <c r="B382" s="22" t="str">
        <f>RIGHT(Table4[[#This Row],[Customer_Name]],LEN(Table4[[#This Row],[Customer_Name]])-FIND(",",Table4[[#This Row],[Customer_Name]])-1)</f>
        <v>Michael</v>
      </c>
      <c r="C382" s="22" t="str">
        <f>LEFT(Table4[[#This Row],[Customer_Name]],FIND(",",Table4[[#This Row],[Customer_Name]])-1)</f>
        <v>Hernandez</v>
      </c>
      <c r="D382" s="22" t="str">
        <f>LEFT(Table4[[#This Row],[First_Name]],2)&amp;LEFT(Table4[[#This Row],[Last_Name]],2)&amp;ROW()</f>
        <v>MiHe382</v>
      </c>
    </row>
    <row r="383" spans="1:4" x14ac:dyDescent="0.25">
      <c r="A383" s="22" t="s">
        <v>300</v>
      </c>
      <c r="B383" s="22" t="str">
        <f>RIGHT(Table4[[#This Row],[Customer_Name]],LEN(Table4[[#This Row],[Customer_Name]])-FIND(",",Table4[[#This Row],[Customer_Name]])-1)</f>
        <v>John</v>
      </c>
      <c r="C383" s="22" t="str">
        <f>LEFT(Table4[[#This Row],[Customer_Name]],FIND(",",Table4[[#This Row],[Customer_Name]])-1)</f>
        <v>Garcia</v>
      </c>
      <c r="D383" s="22" t="str">
        <f>LEFT(Table4[[#This Row],[First_Name]],2)&amp;LEFT(Table4[[#This Row],[Last_Name]],2)&amp;ROW()</f>
        <v>JoGa383</v>
      </c>
    </row>
    <row r="384" spans="1:4" x14ac:dyDescent="0.25">
      <c r="A384" s="22" t="s">
        <v>173</v>
      </c>
      <c r="B384" s="22" t="str">
        <f>RIGHT(Table4[[#This Row],[Customer_Name]],LEN(Table4[[#This Row],[Customer_Name]])-FIND(",",Table4[[#This Row],[Customer_Name]])-1)</f>
        <v>Michael</v>
      </c>
      <c r="C384" s="22" t="str">
        <f>LEFT(Table4[[#This Row],[Customer_Name]],FIND(",",Table4[[#This Row],[Customer_Name]])-1)</f>
        <v>Garcia</v>
      </c>
      <c r="D384" s="22" t="str">
        <f>LEFT(Table4[[#This Row],[First_Name]],2)&amp;LEFT(Table4[[#This Row],[Last_Name]],2)&amp;ROW()</f>
        <v>MiGa384</v>
      </c>
    </row>
    <row r="385" spans="1:4" x14ac:dyDescent="0.25">
      <c r="A385" s="22" t="s">
        <v>54</v>
      </c>
      <c r="B385" s="22" t="str">
        <f>RIGHT(Table4[[#This Row],[Customer_Name]],LEN(Table4[[#This Row],[Customer_Name]])-FIND(",",Table4[[#This Row],[Customer_Name]])-1)</f>
        <v>John</v>
      </c>
      <c r="C385" s="22" t="str">
        <f>LEFT(Table4[[#This Row],[Customer_Name]],FIND(",",Table4[[#This Row],[Customer_Name]])-1)</f>
        <v>Miller</v>
      </c>
      <c r="D385" s="22" t="str">
        <f>LEFT(Table4[[#This Row],[First_Name]],2)&amp;LEFT(Table4[[#This Row],[Last_Name]],2)&amp;ROW()</f>
        <v>JoMi385</v>
      </c>
    </row>
    <row r="386" spans="1:4" x14ac:dyDescent="0.25">
      <c r="A386" s="22" t="s">
        <v>300</v>
      </c>
      <c r="B386" s="22" t="str">
        <f>RIGHT(Table4[[#This Row],[Customer_Name]],LEN(Table4[[#This Row],[Customer_Name]])-FIND(",",Table4[[#This Row],[Customer_Name]])-1)</f>
        <v>John</v>
      </c>
      <c r="C386" s="22" t="str">
        <f>LEFT(Table4[[#This Row],[Customer_Name]],FIND(",",Table4[[#This Row],[Customer_Name]])-1)</f>
        <v>Garcia</v>
      </c>
      <c r="D386" s="22" t="str">
        <f>LEFT(Table4[[#This Row],[First_Name]],2)&amp;LEFT(Table4[[#This Row],[Last_Name]],2)&amp;ROW()</f>
        <v>JoGa386</v>
      </c>
    </row>
    <row r="387" spans="1:4" x14ac:dyDescent="0.25">
      <c r="A387" s="22" t="s">
        <v>105</v>
      </c>
      <c r="B387" s="22" t="str">
        <f>RIGHT(Table4[[#This Row],[Customer_Name]],LEN(Table4[[#This Row],[Customer_Name]])-FIND(",",Table4[[#This Row],[Customer_Name]])-1)</f>
        <v>Laura</v>
      </c>
      <c r="C387" s="22" t="str">
        <f>LEFT(Table4[[#This Row],[Customer_Name]],FIND(",",Table4[[#This Row],[Customer_Name]])-1)</f>
        <v>Miller</v>
      </c>
      <c r="D387" s="22" t="str">
        <f>LEFT(Table4[[#This Row],[First_Name]],2)&amp;LEFT(Table4[[#This Row],[Last_Name]],2)&amp;ROW()</f>
        <v>LaMi387</v>
      </c>
    </row>
    <row r="388" spans="1:4" x14ac:dyDescent="0.25">
      <c r="A388" s="22" t="s">
        <v>181</v>
      </c>
      <c r="B388" s="22" t="str">
        <f>RIGHT(Table4[[#This Row],[Customer_Name]],LEN(Table4[[#This Row],[Customer_Name]])-FIND(",",Table4[[#This Row],[Customer_Name]])-1)</f>
        <v>Laura</v>
      </c>
      <c r="C388" s="22" t="str">
        <f>LEFT(Table4[[#This Row],[Customer_Name]],FIND(",",Table4[[#This Row],[Customer_Name]])-1)</f>
        <v>Garcia</v>
      </c>
      <c r="D388" s="22" t="str">
        <f>LEFT(Table4[[#This Row],[First_Name]],2)&amp;LEFT(Table4[[#This Row],[Last_Name]],2)&amp;ROW()</f>
        <v>LaGa388</v>
      </c>
    </row>
    <row r="389" spans="1:4" x14ac:dyDescent="0.25">
      <c r="A389" s="22" t="s">
        <v>231</v>
      </c>
      <c r="B389" s="22" t="str">
        <f>RIGHT(Table4[[#This Row],[Customer_Name]],LEN(Table4[[#This Row],[Customer_Name]])-FIND(",",Table4[[#This Row],[Customer_Name]])-1)</f>
        <v>Emily</v>
      </c>
      <c r="C389" s="22" t="str">
        <f>LEFT(Table4[[#This Row],[Customer_Name]],FIND(",",Table4[[#This Row],[Customer_Name]])-1)</f>
        <v>Martinez</v>
      </c>
      <c r="D389" s="22" t="str">
        <f>LEFT(Table4[[#This Row],[First_Name]],2)&amp;LEFT(Table4[[#This Row],[Last_Name]],2)&amp;ROW()</f>
        <v>EmMa389</v>
      </c>
    </row>
    <row r="390" spans="1:4" x14ac:dyDescent="0.25">
      <c r="A390" s="22" t="s">
        <v>102</v>
      </c>
      <c r="B390" s="22" t="str">
        <f>RIGHT(Table4[[#This Row],[Customer_Name]],LEN(Table4[[#This Row],[Customer_Name]])-FIND(",",Table4[[#This Row],[Customer_Name]])-1)</f>
        <v>Michael</v>
      </c>
      <c r="C390" s="22" t="str">
        <f>LEFT(Table4[[#This Row],[Customer_Name]],FIND(",",Table4[[#This Row],[Customer_Name]])-1)</f>
        <v>Brown</v>
      </c>
      <c r="D390" s="22" t="str">
        <f>LEFT(Table4[[#This Row],[First_Name]],2)&amp;LEFT(Table4[[#This Row],[Last_Name]],2)&amp;ROW()</f>
        <v>MiBr390</v>
      </c>
    </row>
    <row r="391" spans="1:4" x14ac:dyDescent="0.25">
      <c r="A391" s="22" t="s">
        <v>76</v>
      </c>
      <c r="B391" s="22" t="str">
        <f>RIGHT(Table4[[#This Row],[Customer_Name]],LEN(Table4[[#This Row],[Customer_Name]])-FIND(",",Table4[[#This Row],[Customer_Name]])-1)</f>
        <v>David</v>
      </c>
      <c r="C391" s="22" t="str">
        <f>LEFT(Table4[[#This Row],[Customer_Name]],FIND(",",Table4[[#This Row],[Customer_Name]])-1)</f>
        <v>Williams</v>
      </c>
      <c r="D391" s="22" t="str">
        <f>LEFT(Table4[[#This Row],[First_Name]],2)&amp;LEFT(Table4[[#This Row],[Last_Name]],2)&amp;ROW()</f>
        <v>DaWi391</v>
      </c>
    </row>
    <row r="392" spans="1:4" x14ac:dyDescent="0.25">
      <c r="A392" s="22" t="s">
        <v>15</v>
      </c>
      <c r="B392" s="22" t="str">
        <f>RIGHT(Table4[[#This Row],[Customer_Name]],LEN(Table4[[#This Row],[Customer_Name]])-FIND(",",Table4[[#This Row],[Customer_Name]])-1)</f>
        <v>Emily</v>
      </c>
      <c r="C392" s="22" t="str">
        <f>LEFT(Table4[[#This Row],[Customer_Name]],FIND(",",Table4[[#This Row],[Customer_Name]])-1)</f>
        <v>Smith</v>
      </c>
      <c r="D392" s="22" t="str">
        <f>LEFT(Table4[[#This Row],[First_Name]],2)&amp;LEFT(Table4[[#This Row],[Last_Name]],2)&amp;ROW()</f>
        <v>EmSm392</v>
      </c>
    </row>
    <row r="393" spans="1:4" x14ac:dyDescent="0.25">
      <c r="A393" s="22" t="s">
        <v>300</v>
      </c>
      <c r="B393" s="22" t="str">
        <f>RIGHT(Table4[[#This Row],[Customer_Name]],LEN(Table4[[#This Row],[Customer_Name]])-FIND(",",Table4[[#This Row],[Customer_Name]])-1)</f>
        <v>John</v>
      </c>
      <c r="C393" s="22" t="str">
        <f>LEFT(Table4[[#This Row],[Customer_Name]],FIND(",",Table4[[#This Row],[Customer_Name]])-1)</f>
        <v>Garcia</v>
      </c>
      <c r="D393" s="22" t="str">
        <f>LEFT(Table4[[#This Row],[First_Name]],2)&amp;LEFT(Table4[[#This Row],[Last_Name]],2)&amp;ROW()</f>
        <v>JoGa393</v>
      </c>
    </row>
    <row r="394" spans="1:4" x14ac:dyDescent="0.25">
      <c r="A394" s="22" t="s">
        <v>166</v>
      </c>
      <c r="B394" s="22" t="str">
        <f>RIGHT(Table4[[#This Row],[Customer_Name]],LEN(Table4[[#This Row],[Customer_Name]])-FIND(",",Table4[[#This Row],[Customer_Name]])-1)</f>
        <v>Daniel</v>
      </c>
      <c r="C394" s="22" t="str">
        <f>LEFT(Table4[[#This Row],[Customer_Name]],FIND(",",Table4[[#This Row],[Customer_Name]])-1)</f>
        <v>Brown</v>
      </c>
      <c r="D394" s="22" t="str">
        <f>LEFT(Table4[[#This Row],[First_Name]],2)&amp;LEFT(Table4[[#This Row],[Last_Name]],2)&amp;ROW()</f>
        <v>DaBr394</v>
      </c>
    </row>
    <row r="395" spans="1:4" x14ac:dyDescent="0.25">
      <c r="A395" s="22" t="s">
        <v>166</v>
      </c>
      <c r="B395" s="22" t="str">
        <f>RIGHT(Table4[[#This Row],[Customer_Name]],LEN(Table4[[#This Row],[Customer_Name]])-FIND(",",Table4[[#This Row],[Customer_Name]])-1)</f>
        <v>Daniel</v>
      </c>
      <c r="C395" s="22" t="str">
        <f>LEFT(Table4[[#This Row],[Customer_Name]],FIND(",",Table4[[#This Row],[Customer_Name]])-1)</f>
        <v>Brown</v>
      </c>
      <c r="D395" s="22" t="str">
        <f>LEFT(Table4[[#This Row],[First_Name]],2)&amp;LEFT(Table4[[#This Row],[Last_Name]],2)&amp;ROW()</f>
        <v>DaBr395</v>
      </c>
    </row>
    <row r="396" spans="1:4" x14ac:dyDescent="0.25">
      <c r="A396" s="22" t="s">
        <v>149</v>
      </c>
      <c r="B396" s="22" t="str">
        <f>RIGHT(Table4[[#This Row],[Customer_Name]],LEN(Table4[[#This Row],[Customer_Name]])-FIND(",",Table4[[#This Row],[Customer_Name]])-1)</f>
        <v>Sarah</v>
      </c>
      <c r="C396" s="22" t="str">
        <f>LEFT(Table4[[#This Row],[Customer_Name]],FIND(",",Table4[[#This Row],[Customer_Name]])-1)</f>
        <v>Garcia</v>
      </c>
      <c r="D396" s="22" t="str">
        <f>LEFT(Table4[[#This Row],[First_Name]],2)&amp;LEFT(Table4[[#This Row],[Last_Name]],2)&amp;ROW()</f>
        <v>SaGa396</v>
      </c>
    </row>
    <row r="397" spans="1:4" x14ac:dyDescent="0.25">
      <c r="A397" s="22" t="s">
        <v>330</v>
      </c>
      <c r="B397" s="22" t="str">
        <f>RIGHT(Table4[[#This Row],[Customer_Name]],LEN(Table4[[#This Row],[Customer_Name]])-FIND(",",Table4[[#This Row],[Customer_Name]])-1)</f>
        <v>Daniel</v>
      </c>
      <c r="C397" s="22" t="str">
        <f>LEFT(Table4[[#This Row],[Customer_Name]],FIND(",",Table4[[#This Row],[Customer_Name]])-1)</f>
        <v>Garcia</v>
      </c>
      <c r="D397" s="22" t="str">
        <f>LEFT(Table4[[#This Row],[First_Name]],2)&amp;LEFT(Table4[[#This Row],[Last_Name]],2)&amp;ROW()</f>
        <v>DaGa397</v>
      </c>
    </row>
    <row r="398" spans="1:4" x14ac:dyDescent="0.25">
      <c r="A398" s="22" t="s">
        <v>399</v>
      </c>
      <c r="B398" s="22" t="str">
        <f>RIGHT(Table4[[#This Row],[Customer_Name]],LEN(Table4[[#This Row],[Customer_Name]])-FIND(",",Table4[[#This Row],[Customer_Name]])-1)</f>
        <v>John</v>
      </c>
      <c r="C398" s="22" t="str">
        <f>LEFT(Table4[[#This Row],[Customer_Name]],FIND(",",Table4[[#This Row],[Customer_Name]])-1)</f>
        <v>Smith</v>
      </c>
      <c r="D398" s="22" t="str">
        <f>LEFT(Table4[[#This Row],[First_Name]],2)&amp;LEFT(Table4[[#This Row],[Last_Name]],2)&amp;ROW()</f>
        <v>JoSm398</v>
      </c>
    </row>
    <row r="399" spans="1:4" x14ac:dyDescent="0.25">
      <c r="A399" s="22" t="s">
        <v>211</v>
      </c>
      <c r="B399" s="22" t="str">
        <f>RIGHT(Table4[[#This Row],[Customer_Name]],LEN(Table4[[#This Row],[Customer_Name]])-FIND(",",Table4[[#This Row],[Customer_Name]])-1)</f>
        <v>Emma</v>
      </c>
      <c r="C399" s="22" t="str">
        <f>LEFT(Table4[[#This Row],[Customer_Name]],FIND(",",Table4[[#This Row],[Customer_Name]])-1)</f>
        <v>Garcia</v>
      </c>
      <c r="D399" s="22" t="str">
        <f>LEFT(Table4[[#This Row],[First_Name]],2)&amp;LEFT(Table4[[#This Row],[Last_Name]],2)&amp;ROW()</f>
        <v>EmGa399</v>
      </c>
    </row>
    <row r="400" spans="1:4" x14ac:dyDescent="0.25">
      <c r="A400" s="22" t="s">
        <v>193</v>
      </c>
      <c r="B400" s="22" t="str">
        <f>RIGHT(Table4[[#This Row],[Customer_Name]],LEN(Table4[[#This Row],[Customer_Name]])-FIND(",",Table4[[#This Row],[Customer_Name]])-1)</f>
        <v>Laura</v>
      </c>
      <c r="C400" s="22" t="str">
        <f>LEFT(Table4[[#This Row],[Customer_Name]],FIND(",",Table4[[#This Row],[Customer_Name]])-1)</f>
        <v>Hernandez</v>
      </c>
      <c r="D400" s="22" t="str">
        <f>LEFT(Table4[[#This Row],[First_Name]],2)&amp;LEFT(Table4[[#This Row],[Last_Name]],2)&amp;ROW()</f>
        <v>LaHe400</v>
      </c>
    </row>
    <row r="401" spans="1:4" x14ac:dyDescent="0.25">
      <c r="A401" s="22" t="s">
        <v>176</v>
      </c>
      <c r="B401" s="22" t="str">
        <f>RIGHT(Table4[[#This Row],[Customer_Name]],LEN(Table4[[#This Row],[Customer_Name]])-FIND(",",Table4[[#This Row],[Customer_Name]])-1)</f>
        <v>David</v>
      </c>
      <c r="C401" s="22" t="str">
        <f>LEFT(Table4[[#This Row],[Customer_Name]],FIND(",",Table4[[#This Row],[Customer_Name]])-1)</f>
        <v>Smith</v>
      </c>
      <c r="D401" s="22" t="str">
        <f>LEFT(Table4[[#This Row],[First_Name]],2)&amp;LEFT(Table4[[#This Row],[Last_Name]],2)&amp;ROW()</f>
        <v>DaSm401</v>
      </c>
    </row>
    <row r="402" spans="1:4" x14ac:dyDescent="0.25">
      <c r="A402" s="22" t="s">
        <v>473</v>
      </c>
      <c r="B402" s="22" t="str">
        <f>RIGHT(Table4[[#This Row],[Customer_Name]],LEN(Table4[[#This Row],[Customer_Name]])-FIND(",",Table4[[#This Row],[Customer_Name]])-1)</f>
        <v>John</v>
      </c>
      <c r="C402" s="22" t="str">
        <f>LEFT(Table4[[#This Row],[Customer_Name]],FIND(",",Table4[[#This Row],[Customer_Name]])-1)</f>
        <v>Jones</v>
      </c>
      <c r="D402" s="22" t="str">
        <f>LEFT(Table4[[#This Row],[First_Name]],2)&amp;LEFT(Table4[[#This Row],[Last_Name]],2)&amp;ROW()</f>
        <v>JoJo402</v>
      </c>
    </row>
    <row r="403" spans="1:4" x14ac:dyDescent="0.25">
      <c r="A403" s="22" t="s">
        <v>291</v>
      </c>
      <c r="B403" s="22" t="str">
        <f>RIGHT(Table4[[#This Row],[Customer_Name]],LEN(Table4[[#This Row],[Customer_Name]])-FIND(",",Table4[[#This Row],[Customer_Name]])-1)</f>
        <v>John</v>
      </c>
      <c r="C403" s="22" t="str">
        <f>LEFT(Table4[[#This Row],[Customer_Name]],FIND(",",Table4[[#This Row],[Customer_Name]])-1)</f>
        <v>Brown</v>
      </c>
      <c r="D403" s="22" t="str">
        <f>LEFT(Table4[[#This Row],[First_Name]],2)&amp;LEFT(Table4[[#This Row],[Last_Name]],2)&amp;ROW()</f>
        <v>JoBr403</v>
      </c>
    </row>
    <row r="404" spans="1:4" x14ac:dyDescent="0.25">
      <c r="A404" s="22" t="s">
        <v>62</v>
      </c>
      <c r="B404" s="22" t="str">
        <f>RIGHT(Table4[[#This Row],[Customer_Name]],LEN(Table4[[#This Row],[Customer_Name]])-FIND(",",Table4[[#This Row],[Customer_Name]])-1)</f>
        <v>Laura</v>
      </c>
      <c r="C404" s="22" t="str">
        <f>LEFT(Table4[[#This Row],[Customer_Name]],FIND(",",Table4[[#This Row],[Customer_Name]])-1)</f>
        <v>Martinez</v>
      </c>
      <c r="D404" s="22" t="str">
        <f>LEFT(Table4[[#This Row],[First_Name]],2)&amp;LEFT(Table4[[#This Row],[Last_Name]],2)&amp;ROW()</f>
        <v>LaMa404</v>
      </c>
    </row>
    <row r="405" spans="1:4" x14ac:dyDescent="0.25">
      <c r="A405" s="22" t="s">
        <v>221</v>
      </c>
      <c r="B405" s="22" t="str">
        <f>RIGHT(Table4[[#This Row],[Customer_Name]],LEN(Table4[[#This Row],[Customer_Name]])-FIND(",",Table4[[#This Row],[Customer_Name]])-1)</f>
        <v>David</v>
      </c>
      <c r="C405" s="22" t="str">
        <f>LEFT(Table4[[#This Row],[Customer_Name]],FIND(",",Table4[[#This Row],[Customer_Name]])-1)</f>
        <v>Johnson</v>
      </c>
      <c r="D405" s="22" t="str">
        <f>LEFT(Table4[[#This Row],[First_Name]],2)&amp;LEFT(Table4[[#This Row],[Last_Name]],2)&amp;ROW()</f>
        <v>DaJo405</v>
      </c>
    </row>
    <row r="406" spans="1:4" x14ac:dyDescent="0.25">
      <c r="A406" s="22" t="s">
        <v>142</v>
      </c>
      <c r="B406" s="22" t="str">
        <f>RIGHT(Table4[[#This Row],[Customer_Name]],LEN(Table4[[#This Row],[Customer_Name]])-FIND(",",Table4[[#This Row],[Customer_Name]])-1)</f>
        <v>Emma</v>
      </c>
      <c r="C406" s="22" t="str">
        <f>LEFT(Table4[[#This Row],[Customer_Name]],FIND(",",Table4[[#This Row],[Customer_Name]])-1)</f>
        <v>Martinez</v>
      </c>
      <c r="D406" s="22" t="str">
        <f>LEFT(Table4[[#This Row],[First_Name]],2)&amp;LEFT(Table4[[#This Row],[Last_Name]],2)&amp;ROW()</f>
        <v>EmMa406</v>
      </c>
    </row>
    <row r="407" spans="1:4" x14ac:dyDescent="0.25">
      <c r="A407" s="22" t="s">
        <v>257</v>
      </c>
      <c r="B407" s="22" t="str">
        <f>RIGHT(Table4[[#This Row],[Customer_Name]],LEN(Table4[[#This Row],[Customer_Name]])-FIND(",",Table4[[#This Row],[Customer_Name]])-1)</f>
        <v>James</v>
      </c>
      <c r="C407" s="22" t="str">
        <f>LEFT(Table4[[#This Row],[Customer_Name]],FIND(",",Table4[[#This Row],[Customer_Name]])-1)</f>
        <v>Smith</v>
      </c>
      <c r="D407" s="22" t="str">
        <f>LEFT(Table4[[#This Row],[First_Name]],2)&amp;LEFT(Table4[[#This Row],[Last_Name]],2)&amp;ROW()</f>
        <v>JaSm407</v>
      </c>
    </row>
    <row r="408" spans="1:4" x14ac:dyDescent="0.25">
      <c r="A408" s="22" t="s">
        <v>102</v>
      </c>
      <c r="B408" s="22" t="str">
        <f>RIGHT(Table4[[#This Row],[Customer_Name]],LEN(Table4[[#This Row],[Customer_Name]])-FIND(",",Table4[[#This Row],[Customer_Name]])-1)</f>
        <v>Michael</v>
      </c>
      <c r="C408" s="22" t="str">
        <f>LEFT(Table4[[#This Row],[Customer_Name]],FIND(",",Table4[[#This Row],[Customer_Name]])-1)</f>
        <v>Brown</v>
      </c>
      <c r="D408" s="22" t="str">
        <f>LEFT(Table4[[#This Row],[First_Name]],2)&amp;LEFT(Table4[[#This Row],[Last_Name]],2)&amp;ROW()</f>
        <v>MiBr408</v>
      </c>
    </row>
    <row r="409" spans="1:4" x14ac:dyDescent="0.25">
      <c r="A409" s="22" t="s">
        <v>115</v>
      </c>
      <c r="B409" s="22" t="str">
        <f>RIGHT(Table4[[#This Row],[Customer_Name]],LEN(Table4[[#This Row],[Customer_Name]])-FIND(",",Table4[[#This Row],[Customer_Name]])-1)</f>
        <v>Laura</v>
      </c>
      <c r="C409" s="22" t="str">
        <f>LEFT(Table4[[#This Row],[Customer_Name]],FIND(",",Table4[[#This Row],[Customer_Name]])-1)</f>
        <v>Williams</v>
      </c>
      <c r="D409" s="22" t="str">
        <f>LEFT(Table4[[#This Row],[First_Name]],2)&amp;LEFT(Table4[[#This Row],[Last_Name]],2)&amp;ROW()</f>
        <v>LaWi409</v>
      </c>
    </row>
    <row r="410" spans="1:4" x14ac:dyDescent="0.25">
      <c r="A410" s="22" t="s">
        <v>142</v>
      </c>
      <c r="B410" s="22" t="str">
        <f>RIGHT(Table4[[#This Row],[Customer_Name]],LEN(Table4[[#This Row],[Customer_Name]])-FIND(",",Table4[[#This Row],[Customer_Name]])-1)</f>
        <v>Emma</v>
      </c>
      <c r="C410" s="22" t="str">
        <f>LEFT(Table4[[#This Row],[Customer_Name]],FIND(",",Table4[[#This Row],[Customer_Name]])-1)</f>
        <v>Martinez</v>
      </c>
      <c r="D410" s="22" t="str">
        <f>LEFT(Table4[[#This Row],[First_Name]],2)&amp;LEFT(Table4[[#This Row],[Last_Name]],2)&amp;ROW()</f>
        <v>EmMa410</v>
      </c>
    </row>
    <row r="411" spans="1:4" x14ac:dyDescent="0.25">
      <c r="A411" s="22" t="s">
        <v>139</v>
      </c>
      <c r="B411" s="22" t="str">
        <f>RIGHT(Table4[[#This Row],[Customer_Name]],LEN(Table4[[#This Row],[Customer_Name]])-FIND(",",Table4[[#This Row],[Customer_Name]])-1)</f>
        <v>Sarah</v>
      </c>
      <c r="C411" s="22" t="str">
        <f>LEFT(Table4[[#This Row],[Customer_Name]],FIND(",",Table4[[#This Row],[Customer_Name]])-1)</f>
        <v>Brown</v>
      </c>
      <c r="D411" s="22" t="str">
        <f>LEFT(Table4[[#This Row],[First_Name]],2)&amp;LEFT(Table4[[#This Row],[Last_Name]],2)&amp;ROW()</f>
        <v>SaBr411</v>
      </c>
    </row>
    <row r="412" spans="1:4" x14ac:dyDescent="0.25">
      <c r="A412" s="22" t="s">
        <v>97</v>
      </c>
      <c r="B412" s="22" t="str">
        <f>RIGHT(Table4[[#This Row],[Customer_Name]],LEN(Table4[[#This Row],[Customer_Name]])-FIND(",",Table4[[#This Row],[Customer_Name]])-1)</f>
        <v>Michael</v>
      </c>
      <c r="C412" s="22" t="str">
        <f>LEFT(Table4[[#This Row],[Customer_Name]],FIND(",",Table4[[#This Row],[Customer_Name]])-1)</f>
        <v>Martinez</v>
      </c>
      <c r="D412" s="22" t="str">
        <f>LEFT(Table4[[#This Row],[First_Name]],2)&amp;LEFT(Table4[[#This Row],[Last_Name]],2)&amp;ROW()</f>
        <v>MiMa412</v>
      </c>
    </row>
    <row r="413" spans="1:4" x14ac:dyDescent="0.25">
      <c r="A413" s="22" t="s">
        <v>119</v>
      </c>
      <c r="B413" s="22" t="str">
        <f>RIGHT(Table4[[#This Row],[Customer_Name]],LEN(Table4[[#This Row],[Customer_Name]])-FIND(",",Table4[[#This Row],[Customer_Name]])-1)</f>
        <v>Michael</v>
      </c>
      <c r="C413" s="22" t="str">
        <f>LEFT(Table4[[#This Row],[Customer_Name]],FIND(",",Table4[[#This Row],[Customer_Name]])-1)</f>
        <v>Smith</v>
      </c>
      <c r="D413" s="22" t="str">
        <f>LEFT(Table4[[#This Row],[First_Name]],2)&amp;LEFT(Table4[[#This Row],[Last_Name]],2)&amp;ROW()</f>
        <v>MiSm413</v>
      </c>
    </row>
    <row r="414" spans="1:4" x14ac:dyDescent="0.25">
      <c r="A414" s="22" t="s">
        <v>354</v>
      </c>
      <c r="B414" s="22" t="str">
        <f>RIGHT(Table4[[#This Row],[Customer_Name]],LEN(Table4[[#This Row],[Customer_Name]])-FIND(",",Table4[[#This Row],[Customer_Name]])-1)</f>
        <v>David</v>
      </c>
      <c r="C414" s="22" t="str">
        <f>LEFT(Table4[[#This Row],[Customer_Name]],FIND(",",Table4[[#This Row],[Customer_Name]])-1)</f>
        <v>Brown</v>
      </c>
      <c r="D414" s="22" t="str">
        <f>LEFT(Table4[[#This Row],[First_Name]],2)&amp;LEFT(Table4[[#This Row],[Last_Name]],2)&amp;ROW()</f>
        <v>DaBr414</v>
      </c>
    </row>
    <row r="415" spans="1:4" x14ac:dyDescent="0.25">
      <c r="A415" s="22" t="s">
        <v>123</v>
      </c>
      <c r="B415" s="22" t="str">
        <f>RIGHT(Table4[[#This Row],[Customer_Name]],LEN(Table4[[#This Row],[Customer_Name]])-FIND(",",Table4[[#This Row],[Customer_Name]])-1)</f>
        <v>Emily</v>
      </c>
      <c r="C415" s="22" t="str">
        <f>LEFT(Table4[[#This Row],[Customer_Name]],FIND(",",Table4[[#This Row],[Customer_Name]])-1)</f>
        <v>Garcia</v>
      </c>
      <c r="D415" s="22" t="str">
        <f>LEFT(Table4[[#This Row],[First_Name]],2)&amp;LEFT(Table4[[#This Row],[Last_Name]],2)&amp;ROW()</f>
        <v>EmGa415</v>
      </c>
    </row>
    <row r="416" spans="1:4" x14ac:dyDescent="0.25">
      <c r="A416" s="22" t="s">
        <v>73</v>
      </c>
      <c r="B416" s="22" t="str">
        <f>RIGHT(Table4[[#This Row],[Customer_Name]],LEN(Table4[[#This Row],[Customer_Name]])-FIND(",",Table4[[#This Row],[Customer_Name]])-1)</f>
        <v>Sarah</v>
      </c>
      <c r="C416" s="22" t="str">
        <f>LEFT(Table4[[#This Row],[Customer_Name]],FIND(",",Table4[[#This Row],[Customer_Name]])-1)</f>
        <v>Davis</v>
      </c>
      <c r="D416" s="22" t="str">
        <f>LEFT(Table4[[#This Row],[First_Name]],2)&amp;LEFT(Table4[[#This Row],[Last_Name]],2)&amp;ROW()</f>
        <v>SaDa416</v>
      </c>
    </row>
    <row r="417" spans="1:4" x14ac:dyDescent="0.25">
      <c r="A417" s="22" t="s">
        <v>240</v>
      </c>
      <c r="B417" s="22" t="str">
        <f>RIGHT(Table4[[#This Row],[Customer_Name]],LEN(Table4[[#This Row],[Customer_Name]])-FIND(",",Table4[[#This Row],[Customer_Name]])-1)</f>
        <v>David</v>
      </c>
      <c r="C417" s="22" t="str">
        <f>LEFT(Table4[[#This Row],[Customer_Name]],FIND(",",Table4[[#This Row],[Customer_Name]])-1)</f>
        <v>Hernandez</v>
      </c>
      <c r="D417" s="22" t="str">
        <f>LEFT(Table4[[#This Row],[First_Name]],2)&amp;LEFT(Table4[[#This Row],[Last_Name]],2)&amp;ROW()</f>
        <v>DaHe417</v>
      </c>
    </row>
    <row r="418" spans="1:4" x14ac:dyDescent="0.25">
      <c r="A418" s="22" t="s">
        <v>97</v>
      </c>
      <c r="B418" s="22" t="str">
        <f>RIGHT(Table4[[#This Row],[Customer_Name]],LEN(Table4[[#This Row],[Customer_Name]])-FIND(",",Table4[[#This Row],[Customer_Name]])-1)</f>
        <v>Michael</v>
      </c>
      <c r="C418" s="22" t="str">
        <f>LEFT(Table4[[#This Row],[Customer_Name]],FIND(",",Table4[[#This Row],[Customer_Name]])-1)</f>
        <v>Martinez</v>
      </c>
      <c r="D418" s="22" t="str">
        <f>LEFT(Table4[[#This Row],[First_Name]],2)&amp;LEFT(Table4[[#This Row],[Last_Name]],2)&amp;ROW()</f>
        <v>MiMa418</v>
      </c>
    </row>
    <row r="419" spans="1:4" x14ac:dyDescent="0.25">
      <c r="A419" s="22" t="s">
        <v>297</v>
      </c>
      <c r="B419" s="22" t="str">
        <f>RIGHT(Table4[[#This Row],[Customer_Name]],LEN(Table4[[#This Row],[Customer_Name]])-FIND(",",Table4[[#This Row],[Customer_Name]])-1)</f>
        <v>Emily</v>
      </c>
      <c r="C419" s="22" t="str">
        <f>LEFT(Table4[[#This Row],[Customer_Name]],FIND(",",Table4[[#This Row],[Customer_Name]])-1)</f>
        <v>Johnson</v>
      </c>
      <c r="D419" s="22" t="str">
        <f>LEFT(Table4[[#This Row],[First_Name]],2)&amp;LEFT(Table4[[#This Row],[Last_Name]],2)&amp;ROW()</f>
        <v>EmJo419</v>
      </c>
    </row>
    <row r="420" spans="1:4" x14ac:dyDescent="0.25">
      <c r="A420" s="22" t="s">
        <v>113</v>
      </c>
      <c r="B420" s="22" t="str">
        <f>RIGHT(Table4[[#This Row],[Customer_Name]],LEN(Table4[[#This Row],[Customer_Name]])-FIND(",",Table4[[#This Row],[Customer_Name]])-1)</f>
        <v>John</v>
      </c>
      <c r="C420" s="22" t="str">
        <f>LEFT(Table4[[#This Row],[Customer_Name]],FIND(",",Table4[[#This Row],[Customer_Name]])-1)</f>
        <v>Hernandez</v>
      </c>
      <c r="D420" s="22" t="str">
        <f>LEFT(Table4[[#This Row],[First_Name]],2)&amp;LEFT(Table4[[#This Row],[Last_Name]],2)&amp;ROW()</f>
        <v>JoHe420</v>
      </c>
    </row>
    <row r="421" spans="1:4" x14ac:dyDescent="0.25">
      <c r="A421" s="22" t="s">
        <v>102</v>
      </c>
      <c r="B421" s="22" t="str">
        <f>RIGHT(Table4[[#This Row],[Customer_Name]],LEN(Table4[[#This Row],[Customer_Name]])-FIND(",",Table4[[#This Row],[Customer_Name]])-1)</f>
        <v>Michael</v>
      </c>
      <c r="C421" s="22" t="str">
        <f>LEFT(Table4[[#This Row],[Customer_Name]],FIND(",",Table4[[#This Row],[Customer_Name]])-1)</f>
        <v>Brown</v>
      </c>
      <c r="D421" s="22" t="str">
        <f>LEFT(Table4[[#This Row],[First_Name]],2)&amp;LEFT(Table4[[#This Row],[Last_Name]],2)&amp;ROW()</f>
        <v>MiBr421</v>
      </c>
    </row>
    <row r="422" spans="1:4" x14ac:dyDescent="0.25">
      <c r="A422" s="22" t="s">
        <v>76</v>
      </c>
      <c r="B422" s="22" t="str">
        <f>RIGHT(Table4[[#This Row],[Customer_Name]],LEN(Table4[[#This Row],[Customer_Name]])-FIND(",",Table4[[#This Row],[Customer_Name]])-1)</f>
        <v>David</v>
      </c>
      <c r="C422" s="22" t="str">
        <f>LEFT(Table4[[#This Row],[Customer_Name]],FIND(",",Table4[[#This Row],[Customer_Name]])-1)</f>
        <v>Williams</v>
      </c>
      <c r="D422" s="22" t="str">
        <f>LEFT(Table4[[#This Row],[First_Name]],2)&amp;LEFT(Table4[[#This Row],[Last_Name]],2)&amp;ROW()</f>
        <v>DaWi422</v>
      </c>
    </row>
    <row r="423" spans="1:4" x14ac:dyDescent="0.25">
      <c r="A423" s="22" t="s">
        <v>286</v>
      </c>
      <c r="B423" s="22" t="str">
        <f>RIGHT(Table4[[#This Row],[Customer_Name]],LEN(Table4[[#This Row],[Customer_Name]])-FIND(",",Table4[[#This Row],[Customer_Name]])-1)</f>
        <v>Michael</v>
      </c>
      <c r="C423" s="22" t="str">
        <f>LEFT(Table4[[#This Row],[Customer_Name]],FIND(",",Table4[[#This Row],[Customer_Name]])-1)</f>
        <v>Hernandez</v>
      </c>
      <c r="D423" s="22" t="str">
        <f>LEFT(Table4[[#This Row],[First_Name]],2)&amp;LEFT(Table4[[#This Row],[Last_Name]],2)&amp;ROW()</f>
        <v>MiHe423</v>
      </c>
    </row>
    <row r="424" spans="1:4" x14ac:dyDescent="0.25">
      <c r="A424" s="22" t="s">
        <v>249</v>
      </c>
      <c r="B424" s="22" t="str">
        <f>RIGHT(Table4[[#This Row],[Customer_Name]],LEN(Table4[[#This Row],[Customer_Name]])-FIND(",",Table4[[#This Row],[Customer_Name]])-1)</f>
        <v>David</v>
      </c>
      <c r="C424" s="22" t="str">
        <f>LEFT(Table4[[#This Row],[Customer_Name]],FIND(",",Table4[[#This Row],[Customer_Name]])-1)</f>
        <v>Garcia</v>
      </c>
      <c r="D424" s="22" t="str">
        <f>LEFT(Table4[[#This Row],[First_Name]],2)&amp;LEFT(Table4[[#This Row],[Last_Name]],2)&amp;ROW()</f>
        <v>DaGa424</v>
      </c>
    </row>
    <row r="425" spans="1:4" x14ac:dyDescent="0.25">
      <c r="A425" s="22" t="s">
        <v>179</v>
      </c>
      <c r="B425" s="22" t="str">
        <f>RIGHT(Table4[[#This Row],[Customer_Name]],LEN(Table4[[#This Row],[Customer_Name]])-FIND(",",Table4[[#This Row],[Customer_Name]])-1)</f>
        <v>Sophia</v>
      </c>
      <c r="C425" s="22" t="str">
        <f>LEFT(Table4[[#This Row],[Customer_Name]],FIND(",",Table4[[#This Row],[Customer_Name]])-1)</f>
        <v>Miller</v>
      </c>
      <c r="D425" s="22" t="str">
        <f>LEFT(Table4[[#This Row],[First_Name]],2)&amp;LEFT(Table4[[#This Row],[Last_Name]],2)&amp;ROW()</f>
        <v>SoMi425</v>
      </c>
    </row>
    <row r="426" spans="1:4" x14ac:dyDescent="0.25">
      <c r="A426" s="22" t="s">
        <v>67</v>
      </c>
      <c r="B426" s="22" t="str">
        <f>RIGHT(Table4[[#This Row],[Customer_Name]],LEN(Table4[[#This Row],[Customer_Name]])-FIND(",",Table4[[#This Row],[Customer_Name]])-1)</f>
        <v>James</v>
      </c>
      <c r="C426" s="22" t="str">
        <f>LEFT(Table4[[#This Row],[Customer_Name]],FIND(",",Table4[[#This Row],[Customer_Name]])-1)</f>
        <v>Davis</v>
      </c>
      <c r="D426" s="22" t="str">
        <f>LEFT(Table4[[#This Row],[First_Name]],2)&amp;LEFT(Table4[[#This Row],[Last_Name]],2)&amp;ROW()</f>
        <v>JaDa426</v>
      </c>
    </row>
    <row r="427" spans="1:4" x14ac:dyDescent="0.25">
      <c r="A427" s="22" t="s">
        <v>113</v>
      </c>
      <c r="B427" s="22" t="str">
        <f>RIGHT(Table4[[#This Row],[Customer_Name]],LEN(Table4[[#This Row],[Customer_Name]])-FIND(",",Table4[[#This Row],[Customer_Name]])-1)</f>
        <v>John</v>
      </c>
      <c r="C427" s="22" t="str">
        <f>LEFT(Table4[[#This Row],[Customer_Name]],FIND(",",Table4[[#This Row],[Customer_Name]])-1)</f>
        <v>Hernandez</v>
      </c>
      <c r="D427" s="22" t="str">
        <f>LEFT(Table4[[#This Row],[First_Name]],2)&amp;LEFT(Table4[[#This Row],[Last_Name]],2)&amp;ROW()</f>
        <v>JoHe427</v>
      </c>
    </row>
    <row r="428" spans="1:4" x14ac:dyDescent="0.25">
      <c r="A428" s="22" t="s">
        <v>231</v>
      </c>
      <c r="B428" s="22" t="str">
        <f>RIGHT(Table4[[#This Row],[Customer_Name]],LEN(Table4[[#This Row],[Customer_Name]])-FIND(",",Table4[[#This Row],[Customer_Name]])-1)</f>
        <v>Emily</v>
      </c>
      <c r="C428" s="22" t="str">
        <f>LEFT(Table4[[#This Row],[Customer_Name]],FIND(",",Table4[[#This Row],[Customer_Name]])-1)</f>
        <v>Martinez</v>
      </c>
      <c r="D428" s="22" t="str">
        <f>LEFT(Table4[[#This Row],[First_Name]],2)&amp;LEFT(Table4[[#This Row],[Last_Name]],2)&amp;ROW()</f>
        <v>EmMa428</v>
      </c>
    </row>
    <row r="429" spans="1:4" x14ac:dyDescent="0.25">
      <c r="A429" s="22" t="s">
        <v>297</v>
      </c>
      <c r="B429" s="22" t="str">
        <f>RIGHT(Table4[[#This Row],[Customer_Name]],LEN(Table4[[#This Row],[Customer_Name]])-FIND(",",Table4[[#This Row],[Customer_Name]])-1)</f>
        <v>Emily</v>
      </c>
      <c r="C429" s="22" t="str">
        <f>LEFT(Table4[[#This Row],[Customer_Name]],FIND(",",Table4[[#This Row],[Customer_Name]])-1)</f>
        <v>Johnson</v>
      </c>
      <c r="D429" s="22" t="str">
        <f>LEFT(Table4[[#This Row],[First_Name]],2)&amp;LEFT(Table4[[#This Row],[Last_Name]],2)&amp;ROW()</f>
        <v>EmJo429</v>
      </c>
    </row>
    <row r="430" spans="1:4" x14ac:dyDescent="0.25">
      <c r="A430" s="22" t="s">
        <v>102</v>
      </c>
      <c r="B430" s="22" t="str">
        <f>RIGHT(Table4[[#This Row],[Customer_Name]],LEN(Table4[[#This Row],[Customer_Name]])-FIND(",",Table4[[#This Row],[Customer_Name]])-1)</f>
        <v>Michael</v>
      </c>
      <c r="C430" s="22" t="str">
        <f>LEFT(Table4[[#This Row],[Customer_Name]],FIND(",",Table4[[#This Row],[Customer_Name]])-1)</f>
        <v>Brown</v>
      </c>
      <c r="D430" s="22" t="str">
        <f>LEFT(Table4[[#This Row],[First_Name]],2)&amp;LEFT(Table4[[#This Row],[Last_Name]],2)&amp;ROW()</f>
        <v>MiBr430</v>
      </c>
    </row>
    <row r="431" spans="1:4" x14ac:dyDescent="0.25">
      <c r="A431" s="22" t="s">
        <v>166</v>
      </c>
      <c r="B431" s="22" t="str">
        <f>RIGHT(Table4[[#This Row],[Customer_Name]],LEN(Table4[[#This Row],[Customer_Name]])-FIND(",",Table4[[#This Row],[Customer_Name]])-1)</f>
        <v>Daniel</v>
      </c>
      <c r="C431" s="22" t="str">
        <f>LEFT(Table4[[#This Row],[Customer_Name]],FIND(",",Table4[[#This Row],[Customer_Name]])-1)</f>
        <v>Brown</v>
      </c>
      <c r="D431" s="22" t="str">
        <f>LEFT(Table4[[#This Row],[First_Name]],2)&amp;LEFT(Table4[[#This Row],[Last_Name]],2)&amp;ROW()</f>
        <v>DaBr431</v>
      </c>
    </row>
    <row r="432" spans="1:4" x14ac:dyDescent="0.25">
      <c r="A432" s="22" t="s">
        <v>408</v>
      </c>
      <c r="B432" s="22" t="str">
        <f>RIGHT(Table4[[#This Row],[Customer_Name]],LEN(Table4[[#This Row],[Customer_Name]])-FIND(",",Table4[[#This Row],[Customer_Name]])-1)</f>
        <v>Sophia</v>
      </c>
      <c r="C432" s="22" t="str">
        <f>LEFT(Table4[[#This Row],[Customer_Name]],FIND(",",Table4[[#This Row],[Customer_Name]])-1)</f>
        <v>Williams</v>
      </c>
      <c r="D432" s="22" t="str">
        <f>LEFT(Table4[[#This Row],[First_Name]],2)&amp;LEFT(Table4[[#This Row],[Last_Name]],2)&amp;ROW()</f>
        <v>SoWi432</v>
      </c>
    </row>
    <row r="433" spans="1:4" x14ac:dyDescent="0.25">
      <c r="A433" s="22" t="s">
        <v>89</v>
      </c>
      <c r="B433" s="22" t="str">
        <f>RIGHT(Table4[[#This Row],[Customer_Name]],LEN(Table4[[#This Row],[Customer_Name]])-FIND(",",Table4[[#This Row],[Customer_Name]])-1)</f>
        <v>David</v>
      </c>
      <c r="C433" s="22" t="str">
        <f>LEFT(Table4[[#This Row],[Customer_Name]],FIND(",",Table4[[#This Row],[Customer_Name]])-1)</f>
        <v>Davis</v>
      </c>
      <c r="D433" s="22" t="str">
        <f>LEFT(Table4[[#This Row],[First_Name]],2)&amp;LEFT(Table4[[#This Row],[Last_Name]],2)&amp;ROW()</f>
        <v>DaDa433</v>
      </c>
    </row>
    <row r="434" spans="1:4" x14ac:dyDescent="0.25">
      <c r="A434" s="22" t="s">
        <v>30</v>
      </c>
      <c r="B434" s="22" t="str">
        <f>RIGHT(Table4[[#This Row],[Customer_Name]],LEN(Table4[[#This Row],[Customer_Name]])-FIND(",",Table4[[#This Row],[Customer_Name]])-1)</f>
        <v>John</v>
      </c>
      <c r="C434" s="22" t="str">
        <f>LEFT(Table4[[#This Row],[Customer_Name]],FIND(",",Table4[[#This Row],[Customer_Name]])-1)</f>
        <v>Davis</v>
      </c>
      <c r="D434" s="22" t="str">
        <f>LEFT(Table4[[#This Row],[First_Name]],2)&amp;LEFT(Table4[[#This Row],[Last_Name]],2)&amp;ROW()</f>
        <v>JoDa434</v>
      </c>
    </row>
    <row r="435" spans="1:4" x14ac:dyDescent="0.25">
      <c r="A435" s="22" t="s">
        <v>15</v>
      </c>
      <c r="B435" s="22" t="str">
        <f>RIGHT(Table4[[#This Row],[Customer_Name]],LEN(Table4[[#This Row],[Customer_Name]])-FIND(",",Table4[[#This Row],[Customer_Name]])-1)</f>
        <v>Emily</v>
      </c>
      <c r="C435" s="22" t="str">
        <f>LEFT(Table4[[#This Row],[Customer_Name]],FIND(",",Table4[[#This Row],[Customer_Name]])-1)</f>
        <v>Smith</v>
      </c>
      <c r="D435" s="22" t="str">
        <f>LEFT(Table4[[#This Row],[First_Name]],2)&amp;LEFT(Table4[[#This Row],[Last_Name]],2)&amp;ROW()</f>
        <v>EmSm435</v>
      </c>
    </row>
    <row r="436" spans="1:4" x14ac:dyDescent="0.25">
      <c r="A436" s="22" t="s">
        <v>293</v>
      </c>
      <c r="B436" s="22" t="str">
        <f>RIGHT(Table4[[#This Row],[Customer_Name]],LEN(Table4[[#This Row],[Customer_Name]])-FIND(",",Table4[[#This Row],[Customer_Name]])-1)</f>
        <v>David</v>
      </c>
      <c r="C436" s="22" t="str">
        <f>LEFT(Table4[[#This Row],[Customer_Name]],FIND(",",Table4[[#This Row],[Customer_Name]])-1)</f>
        <v>Martinez</v>
      </c>
      <c r="D436" s="22" t="str">
        <f>LEFT(Table4[[#This Row],[First_Name]],2)&amp;LEFT(Table4[[#This Row],[Last_Name]],2)&amp;ROW()</f>
        <v>DaMa436</v>
      </c>
    </row>
    <row r="437" spans="1:4" x14ac:dyDescent="0.25">
      <c r="A437" s="22" t="s">
        <v>319</v>
      </c>
      <c r="B437" s="22" t="str">
        <f>RIGHT(Table4[[#This Row],[Customer_Name]],LEN(Table4[[#This Row],[Customer_Name]])-FIND(",",Table4[[#This Row],[Customer_Name]])-1)</f>
        <v>Daniel</v>
      </c>
      <c r="C437" s="22" t="str">
        <f>LEFT(Table4[[#This Row],[Customer_Name]],FIND(",",Table4[[#This Row],[Customer_Name]])-1)</f>
        <v>Davis</v>
      </c>
      <c r="D437" s="22" t="str">
        <f>LEFT(Table4[[#This Row],[First_Name]],2)&amp;LEFT(Table4[[#This Row],[Last_Name]],2)&amp;ROW()</f>
        <v>DaDa437</v>
      </c>
    </row>
    <row r="438" spans="1:4" x14ac:dyDescent="0.25">
      <c r="A438" s="22" t="s">
        <v>67</v>
      </c>
      <c r="B438" s="22" t="str">
        <f>RIGHT(Table4[[#This Row],[Customer_Name]],LEN(Table4[[#This Row],[Customer_Name]])-FIND(",",Table4[[#This Row],[Customer_Name]])-1)</f>
        <v>James</v>
      </c>
      <c r="C438" s="22" t="str">
        <f>LEFT(Table4[[#This Row],[Customer_Name]],FIND(",",Table4[[#This Row],[Customer_Name]])-1)</f>
        <v>Davis</v>
      </c>
      <c r="D438" s="22" t="str">
        <f>LEFT(Table4[[#This Row],[First_Name]],2)&amp;LEFT(Table4[[#This Row],[Last_Name]],2)&amp;ROW()</f>
        <v>JaDa438</v>
      </c>
    </row>
    <row r="439" spans="1:4" x14ac:dyDescent="0.25">
      <c r="A439" s="22" t="s">
        <v>137</v>
      </c>
      <c r="B439" s="22" t="str">
        <f>RIGHT(Table4[[#This Row],[Customer_Name]],LEN(Table4[[#This Row],[Customer_Name]])-FIND(",",Table4[[#This Row],[Customer_Name]])-1)</f>
        <v>David</v>
      </c>
      <c r="C439" s="22" t="str">
        <f>LEFT(Table4[[#This Row],[Customer_Name]],FIND(",",Table4[[#This Row],[Customer_Name]])-1)</f>
        <v>Jones</v>
      </c>
      <c r="D439" s="22" t="str">
        <f>LEFT(Table4[[#This Row],[First_Name]],2)&amp;LEFT(Table4[[#This Row],[Last_Name]],2)&amp;ROW()</f>
        <v>DaJo439</v>
      </c>
    </row>
    <row r="440" spans="1:4" x14ac:dyDescent="0.25">
      <c r="A440" s="22" t="s">
        <v>421</v>
      </c>
      <c r="B440" s="22" t="str">
        <f>RIGHT(Table4[[#This Row],[Customer_Name]],LEN(Table4[[#This Row],[Customer_Name]])-FIND(",",Table4[[#This Row],[Customer_Name]])-1)</f>
        <v>Laura</v>
      </c>
      <c r="C440" s="22" t="str">
        <f>LEFT(Table4[[#This Row],[Customer_Name]],FIND(",",Table4[[#This Row],[Customer_Name]])-1)</f>
        <v>Smith</v>
      </c>
      <c r="D440" s="22" t="str">
        <f>LEFT(Table4[[#This Row],[First_Name]],2)&amp;LEFT(Table4[[#This Row],[Last_Name]],2)&amp;ROW()</f>
        <v>LaSm440</v>
      </c>
    </row>
    <row r="441" spans="1:4" x14ac:dyDescent="0.25">
      <c r="A441" s="22" t="s">
        <v>142</v>
      </c>
      <c r="B441" s="22" t="str">
        <f>RIGHT(Table4[[#This Row],[Customer_Name]],LEN(Table4[[#This Row],[Customer_Name]])-FIND(",",Table4[[#This Row],[Customer_Name]])-1)</f>
        <v>Emma</v>
      </c>
      <c r="C441" s="22" t="str">
        <f>LEFT(Table4[[#This Row],[Customer_Name]],FIND(",",Table4[[#This Row],[Customer_Name]])-1)</f>
        <v>Martinez</v>
      </c>
      <c r="D441" s="22" t="str">
        <f>LEFT(Table4[[#This Row],[First_Name]],2)&amp;LEFT(Table4[[#This Row],[Last_Name]],2)&amp;ROW()</f>
        <v>EmMa441</v>
      </c>
    </row>
    <row r="442" spans="1:4" x14ac:dyDescent="0.25">
      <c r="A442" s="22" t="s">
        <v>121</v>
      </c>
      <c r="B442" s="22" t="str">
        <f>RIGHT(Table4[[#This Row],[Customer_Name]],LEN(Table4[[#This Row],[Customer_Name]])-FIND(",",Table4[[#This Row],[Customer_Name]])-1)</f>
        <v>Sarah</v>
      </c>
      <c r="C442" s="22" t="str">
        <f>LEFT(Table4[[#This Row],[Customer_Name]],FIND(",",Table4[[#This Row],[Customer_Name]])-1)</f>
        <v>Martinez</v>
      </c>
      <c r="D442" s="22" t="str">
        <f>LEFT(Table4[[#This Row],[First_Name]],2)&amp;LEFT(Table4[[#This Row],[Last_Name]],2)&amp;ROW()</f>
        <v>SaMa442</v>
      </c>
    </row>
    <row r="443" spans="1:4" x14ac:dyDescent="0.25">
      <c r="A443" s="22" t="s">
        <v>246</v>
      </c>
      <c r="B443" s="22" t="str">
        <f>RIGHT(Table4[[#This Row],[Customer_Name]],LEN(Table4[[#This Row],[Customer_Name]])-FIND(",",Table4[[#This Row],[Customer_Name]])-1)</f>
        <v>John</v>
      </c>
      <c r="C443" s="22" t="str">
        <f>LEFT(Table4[[#This Row],[Customer_Name]],FIND(",",Table4[[#This Row],[Customer_Name]])-1)</f>
        <v>Martinez</v>
      </c>
      <c r="D443" s="22" t="str">
        <f>LEFT(Table4[[#This Row],[First_Name]],2)&amp;LEFT(Table4[[#This Row],[Last_Name]],2)&amp;ROW()</f>
        <v>JoMa443</v>
      </c>
    </row>
    <row r="444" spans="1:4" x14ac:dyDescent="0.25">
      <c r="A444" s="22" t="s">
        <v>274</v>
      </c>
      <c r="B444" s="22" t="str">
        <f>RIGHT(Table4[[#This Row],[Customer_Name]],LEN(Table4[[#This Row],[Customer_Name]])-FIND(",",Table4[[#This Row],[Customer_Name]])-1)</f>
        <v>Sophia</v>
      </c>
      <c r="C444" s="22" t="str">
        <f>LEFT(Table4[[#This Row],[Customer_Name]],FIND(",",Table4[[#This Row],[Customer_Name]])-1)</f>
        <v>Johnson</v>
      </c>
      <c r="D444" s="22" t="str">
        <f>LEFT(Table4[[#This Row],[First_Name]],2)&amp;LEFT(Table4[[#This Row],[Last_Name]],2)&amp;ROW()</f>
        <v>SoJo444</v>
      </c>
    </row>
    <row r="445" spans="1:4" x14ac:dyDescent="0.25">
      <c r="A445" s="22" t="s">
        <v>226</v>
      </c>
      <c r="B445" s="22" t="str">
        <f>RIGHT(Table4[[#This Row],[Customer_Name]],LEN(Table4[[#This Row],[Customer_Name]])-FIND(",",Table4[[#This Row],[Customer_Name]])-1)</f>
        <v>Emily</v>
      </c>
      <c r="C445" s="22" t="str">
        <f>LEFT(Table4[[#This Row],[Customer_Name]],FIND(",",Table4[[#This Row],[Customer_Name]])-1)</f>
        <v>Miller</v>
      </c>
      <c r="D445" s="22" t="str">
        <f>LEFT(Table4[[#This Row],[First_Name]],2)&amp;LEFT(Table4[[#This Row],[Last_Name]],2)&amp;ROW()</f>
        <v>EmMi445</v>
      </c>
    </row>
    <row r="446" spans="1:4" x14ac:dyDescent="0.25">
      <c r="A446" s="22" t="s">
        <v>181</v>
      </c>
      <c r="B446" s="22" t="str">
        <f>RIGHT(Table4[[#This Row],[Customer_Name]],LEN(Table4[[#This Row],[Customer_Name]])-FIND(",",Table4[[#This Row],[Customer_Name]])-1)</f>
        <v>Laura</v>
      </c>
      <c r="C446" s="22" t="str">
        <f>LEFT(Table4[[#This Row],[Customer_Name]],FIND(",",Table4[[#This Row],[Customer_Name]])-1)</f>
        <v>Garcia</v>
      </c>
      <c r="D446" s="22" t="str">
        <f>LEFT(Table4[[#This Row],[First_Name]],2)&amp;LEFT(Table4[[#This Row],[Last_Name]],2)&amp;ROW()</f>
        <v>LaGa446</v>
      </c>
    </row>
    <row r="447" spans="1:4" x14ac:dyDescent="0.25">
      <c r="A447" s="22" t="s">
        <v>183</v>
      </c>
      <c r="B447" s="22" t="str">
        <f>RIGHT(Table4[[#This Row],[Customer_Name]],LEN(Table4[[#This Row],[Customer_Name]])-FIND(",",Table4[[#This Row],[Customer_Name]])-1)</f>
        <v>Michael</v>
      </c>
      <c r="C447" s="22" t="str">
        <f>LEFT(Table4[[#This Row],[Customer_Name]],FIND(",",Table4[[#This Row],[Customer_Name]])-1)</f>
        <v>Davis</v>
      </c>
      <c r="D447" s="22" t="str">
        <f>LEFT(Table4[[#This Row],[First_Name]],2)&amp;LEFT(Table4[[#This Row],[Last_Name]],2)&amp;ROW()</f>
        <v>MiDa447</v>
      </c>
    </row>
    <row r="448" spans="1:4" x14ac:dyDescent="0.25">
      <c r="A448" s="22" t="s">
        <v>76</v>
      </c>
      <c r="B448" s="22" t="str">
        <f>RIGHT(Table4[[#This Row],[Customer_Name]],LEN(Table4[[#This Row],[Customer_Name]])-FIND(",",Table4[[#This Row],[Customer_Name]])-1)</f>
        <v>David</v>
      </c>
      <c r="C448" s="22" t="str">
        <f>LEFT(Table4[[#This Row],[Customer_Name]],FIND(",",Table4[[#This Row],[Customer_Name]])-1)</f>
        <v>Williams</v>
      </c>
      <c r="D448" s="22" t="str">
        <f>LEFT(Table4[[#This Row],[First_Name]],2)&amp;LEFT(Table4[[#This Row],[Last_Name]],2)&amp;ROW()</f>
        <v>DaWi448</v>
      </c>
    </row>
    <row r="449" spans="1:4" x14ac:dyDescent="0.25">
      <c r="A449" s="22" t="s">
        <v>261</v>
      </c>
      <c r="B449" s="22" t="str">
        <f>RIGHT(Table4[[#This Row],[Customer_Name]],LEN(Table4[[#This Row],[Customer_Name]])-FIND(",",Table4[[#This Row],[Customer_Name]])-1)</f>
        <v>Emily</v>
      </c>
      <c r="C449" s="22" t="str">
        <f>LEFT(Table4[[#This Row],[Customer_Name]],FIND(",",Table4[[#This Row],[Customer_Name]])-1)</f>
        <v>Brown</v>
      </c>
      <c r="D449" s="22" t="str">
        <f>LEFT(Table4[[#This Row],[First_Name]],2)&amp;LEFT(Table4[[#This Row],[Last_Name]],2)&amp;ROW()</f>
        <v>EmBr449</v>
      </c>
    </row>
    <row r="450" spans="1:4" x14ac:dyDescent="0.25">
      <c r="A450" s="22" t="s">
        <v>319</v>
      </c>
      <c r="B450" s="22" t="str">
        <f>RIGHT(Table4[[#This Row],[Customer_Name]],LEN(Table4[[#This Row],[Customer_Name]])-FIND(",",Table4[[#This Row],[Customer_Name]])-1)</f>
        <v>Daniel</v>
      </c>
      <c r="C450" s="22" t="str">
        <f>LEFT(Table4[[#This Row],[Customer_Name]],FIND(",",Table4[[#This Row],[Customer_Name]])-1)</f>
        <v>Davis</v>
      </c>
      <c r="D450" s="22" t="str">
        <f>LEFT(Table4[[#This Row],[First_Name]],2)&amp;LEFT(Table4[[#This Row],[Last_Name]],2)&amp;ROW()</f>
        <v>DaDa450</v>
      </c>
    </row>
    <row r="451" spans="1:4" x14ac:dyDescent="0.25">
      <c r="A451" s="22" t="s">
        <v>85</v>
      </c>
      <c r="B451" s="22" t="str">
        <f>RIGHT(Table4[[#This Row],[Customer_Name]],LEN(Table4[[#This Row],[Customer_Name]])-FIND(",",Table4[[#This Row],[Customer_Name]])-1)</f>
        <v>Michael</v>
      </c>
      <c r="C451" s="22" t="str">
        <f>LEFT(Table4[[#This Row],[Customer_Name]],FIND(",",Table4[[#This Row],[Customer_Name]])-1)</f>
        <v>Miller</v>
      </c>
      <c r="D451" s="22" t="str">
        <f>LEFT(Table4[[#This Row],[First_Name]],2)&amp;LEFT(Table4[[#This Row],[Last_Name]],2)&amp;ROW()</f>
        <v>MiMi451</v>
      </c>
    </row>
    <row r="452" spans="1:4" x14ac:dyDescent="0.25">
      <c r="A452" s="22" t="s">
        <v>93</v>
      </c>
      <c r="B452" s="22" t="str">
        <f>RIGHT(Table4[[#This Row],[Customer_Name]],LEN(Table4[[#This Row],[Customer_Name]])-FIND(",",Table4[[#This Row],[Customer_Name]])-1)</f>
        <v>Sophia</v>
      </c>
      <c r="C452" s="22" t="str">
        <f>LEFT(Table4[[#This Row],[Customer_Name]],FIND(",",Table4[[#This Row],[Customer_Name]])-1)</f>
        <v>Hernandez</v>
      </c>
      <c r="D452" s="22" t="str">
        <f>LEFT(Table4[[#This Row],[First_Name]],2)&amp;LEFT(Table4[[#This Row],[Last_Name]],2)&amp;ROW()</f>
        <v>SoHe452</v>
      </c>
    </row>
    <row r="453" spans="1:4" x14ac:dyDescent="0.25">
      <c r="A453" s="22" t="s">
        <v>226</v>
      </c>
      <c r="B453" s="22" t="str">
        <f>RIGHT(Table4[[#This Row],[Customer_Name]],LEN(Table4[[#This Row],[Customer_Name]])-FIND(",",Table4[[#This Row],[Customer_Name]])-1)</f>
        <v>Emily</v>
      </c>
      <c r="C453" s="22" t="str">
        <f>LEFT(Table4[[#This Row],[Customer_Name]],FIND(",",Table4[[#This Row],[Customer_Name]])-1)</f>
        <v>Miller</v>
      </c>
      <c r="D453" s="22" t="str">
        <f>LEFT(Table4[[#This Row],[First_Name]],2)&amp;LEFT(Table4[[#This Row],[Last_Name]],2)&amp;ROW()</f>
        <v>EmMi453</v>
      </c>
    </row>
    <row r="454" spans="1:4" x14ac:dyDescent="0.25">
      <c r="A454" s="22" t="s">
        <v>154</v>
      </c>
      <c r="B454" s="22" t="str">
        <f>RIGHT(Table4[[#This Row],[Customer_Name]],LEN(Table4[[#This Row],[Customer_Name]])-FIND(",",Table4[[#This Row],[Customer_Name]])-1)</f>
        <v>Michael</v>
      </c>
      <c r="C454" s="22" t="str">
        <f>LEFT(Table4[[#This Row],[Customer_Name]],FIND(",",Table4[[#This Row],[Customer_Name]])-1)</f>
        <v>Williams</v>
      </c>
      <c r="D454" s="22" t="str">
        <f>LEFT(Table4[[#This Row],[First_Name]],2)&amp;LEFT(Table4[[#This Row],[Last_Name]],2)&amp;ROW()</f>
        <v>MiWi454</v>
      </c>
    </row>
    <row r="455" spans="1:4" x14ac:dyDescent="0.25">
      <c r="A455" s="22" t="s">
        <v>207</v>
      </c>
      <c r="B455" s="22" t="str">
        <f>RIGHT(Table4[[#This Row],[Customer_Name]],LEN(Table4[[#This Row],[Customer_Name]])-FIND(",",Table4[[#This Row],[Customer_Name]])-1)</f>
        <v>Sarah</v>
      </c>
      <c r="C455" s="22" t="str">
        <f>LEFT(Table4[[#This Row],[Customer_Name]],FIND(",",Table4[[#This Row],[Customer_Name]])-1)</f>
        <v>Miller</v>
      </c>
      <c r="D455" s="22" t="str">
        <f>LEFT(Table4[[#This Row],[First_Name]],2)&amp;LEFT(Table4[[#This Row],[Last_Name]],2)&amp;ROW()</f>
        <v>SaMi455</v>
      </c>
    </row>
    <row r="456" spans="1:4" x14ac:dyDescent="0.25">
      <c r="A456" s="22" t="s">
        <v>102</v>
      </c>
      <c r="B456" s="22" t="str">
        <f>RIGHT(Table4[[#This Row],[Customer_Name]],LEN(Table4[[#This Row],[Customer_Name]])-FIND(",",Table4[[#This Row],[Customer_Name]])-1)</f>
        <v>Michael</v>
      </c>
      <c r="C456" s="22" t="str">
        <f>LEFT(Table4[[#This Row],[Customer_Name]],FIND(",",Table4[[#This Row],[Customer_Name]])-1)</f>
        <v>Brown</v>
      </c>
      <c r="D456" s="22" t="str">
        <f>LEFT(Table4[[#This Row],[First_Name]],2)&amp;LEFT(Table4[[#This Row],[Last_Name]],2)&amp;ROW()</f>
        <v>MiBr456</v>
      </c>
    </row>
    <row r="457" spans="1:4" x14ac:dyDescent="0.25">
      <c r="A457" s="22" t="s">
        <v>91</v>
      </c>
      <c r="B457" s="22" t="str">
        <f>RIGHT(Table4[[#This Row],[Customer_Name]],LEN(Table4[[#This Row],[Customer_Name]])-FIND(",",Table4[[#This Row],[Customer_Name]])-1)</f>
        <v>Sarah</v>
      </c>
      <c r="C457" s="22" t="str">
        <f>LEFT(Table4[[#This Row],[Customer_Name]],FIND(",",Table4[[#This Row],[Customer_Name]])-1)</f>
        <v>Johnson</v>
      </c>
      <c r="D457" s="22" t="str">
        <f>LEFT(Table4[[#This Row],[First_Name]],2)&amp;LEFT(Table4[[#This Row],[Last_Name]],2)&amp;ROW()</f>
        <v>SaJo457</v>
      </c>
    </row>
    <row r="458" spans="1:4" x14ac:dyDescent="0.25">
      <c r="A458" s="22" t="s">
        <v>121</v>
      </c>
      <c r="B458" s="22" t="str">
        <f>RIGHT(Table4[[#This Row],[Customer_Name]],LEN(Table4[[#This Row],[Customer_Name]])-FIND(",",Table4[[#This Row],[Customer_Name]])-1)</f>
        <v>Sarah</v>
      </c>
      <c r="C458" s="22" t="str">
        <f>LEFT(Table4[[#This Row],[Customer_Name]],FIND(",",Table4[[#This Row],[Customer_Name]])-1)</f>
        <v>Martinez</v>
      </c>
      <c r="D458" s="22" t="str">
        <f>LEFT(Table4[[#This Row],[First_Name]],2)&amp;LEFT(Table4[[#This Row],[Last_Name]],2)&amp;ROW()</f>
        <v>SaMa458</v>
      </c>
    </row>
    <row r="459" spans="1:4" x14ac:dyDescent="0.25">
      <c r="A459" s="22" t="s">
        <v>145</v>
      </c>
      <c r="B459" s="22" t="str">
        <f>RIGHT(Table4[[#This Row],[Customer_Name]],LEN(Table4[[#This Row],[Customer_Name]])-FIND(",",Table4[[#This Row],[Customer_Name]])-1)</f>
        <v>Daniel</v>
      </c>
      <c r="C459" s="22" t="str">
        <f>LEFT(Table4[[#This Row],[Customer_Name]],FIND(",",Table4[[#This Row],[Customer_Name]])-1)</f>
        <v>Johnson</v>
      </c>
      <c r="D459" s="22" t="str">
        <f>LEFT(Table4[[#This Row],[First_Name]],2)&amp;LEFT(Table4[[#This Row],[Last_Name]],2)&amp;ROW()</f>
        <v>DaJo459</v>
      </c>
    </row>
    <row r="460" spans="1:4" x14ac:dyDescent="0.25">
      <c r="A460" s="22" t="s">
        <v>173</v>
      </c>
      <c r="B460" s="22" t="str">
        <f>RIGHT(Table4[[#This Row],[Customer_Name]],LEN(Table4[[#This Row],[Customer_Name]])-FIND(",",Table4[[#This Row],[Customer_Name]])-1)</f>
        <v>Michael</v>
      </c>
      <c r="C460" s="22" t="str">
        <f>LEFT(Table4[[#This Row],[Customer_Name]],FIND(",",Table4[[#This Row],[Customer_Name]])-1)</f>
        <v>Garcia</v>
      </c>
      <c r="D460" s="22" t="str">
        <f>LEFT(Table4[[#This Row],[First_Name]],2)&amp;LEFT(Table4[[#This Row],[Last_Name]],2)&amp;ROW()</f>
        <v>MiGa460</v>
      </c>
    </row>
    <row r="461" spans="1:4" x14ac:dyDescent="0.25">
      <c r="A461" s="22" t="s">
        <v>145</v>
      </c>
      <c r="B461" s="22" t="str">
        <f>RIGHT(Table4[[#This Row],[Customer_Name]],LEN(Table4[[#This Row],[Customer_Name]])-FIND(",",Table4[[#This Row],[Customer_Name]])-1)</f>
        <v>Daniel</v>
      </c>
      <c r="C461" s="22" t="str">
        <f>LEFT(Table4[[#This Row],[Customer_Name]],FIND(",",Table4[[#This Row],[Customer_Name]])-1)</f>
        <v>Johnson</v>
      </c>
      <c r="D461" s="22" t="str">
        <f>LEFT(Table4[[#This Row],[First_Name]],2)&amp;LEFT(Table4[[#This Row],[Last_Name]],2)&amp;ROW()</f>
        <v>DaJo461</v>
      </c>
    </row>
    <row r="462" spans="1:4" x14ac:dyDescent="0.25">
      <c r="A462" s="22" t="s">
        <v>371</v>
      </c>
      <c r="B462" s="22" t="str">
        <f>RIGHT(Table4[[#This Row],[Customer_Name]],LEN(Table4[[#This Row],[Customer_Name]])-FIND(",",Table4[[#This Row],[Customer_Name]])-1)</f>
        <v>Emma</v>
      </c>
      <c r="C462" s="22" t="str">
        <f>LEFT(Table4[[#This Row],[Customer_Name]],FIND(",",Table4[[#This Row],[Customer_Name]])-1)</f>
        <v>Jones</v>
      </c>
      <c r="D462" s="22" t="str">
        <f>LEFT(Table4[[#This Row],[First_Name]],2)&amp;LEFT(Table4[[#This Row],[Last_Name]],2)&amp;ROW()</f>
        <v>EmJo462</v>
      </c>
    </row>
    <row r="463" spans="1:4" x14ac:dyDescent="0.25">
      <c r="A463" s="22" t="s">
        <v>330</v>
      </c>
      <c r="B463" s="22" t="str">
        <f>RIGHT(Table4[[#This Row],[Customer_Name]],LEN(Table4[[#This Row],[Customer_Name]])-FIND(",",Table4[[#This Row],[Customer_Name]])-1)</f>
        <v>Daniel</v>
      </c>
      <c r="C463" s="22" t="str">
        <f>LEFT(Table4[[#This Row],[Customer_Name]],FIND(",",Table4[[#This Row],[Customer_Name]])-1)</f>
        <v>Garcia</v>
      </c>
      <c r="D463" s="22" t="str">
        <f>LEFT(Table4[[#This Row],[First_Name]],2)&amp;LEFT(Table4[[#This Row],[Last_Name]],2)&amp;ROW()</f>
        <v>DaGa463</v>
      </c>
    </row>
    <row r="464" spans="1:4" x14ac:dyDescent="0.25">
      <c r="A464" s="22" t="s">
        <v>323</v>
      </c>
      <c r="B464" s="22" t="str">
        <f>RIGHT(Table4[[#This Row],[Customer_Name]],LEN(Table4[[#This Row],[Customer_Name]])-FIND(",",Table4[[#This Row],[Customer_Name]])-1)</f>
        <v>Emma</v>
      </c>
      <c r="C464" s="22" t="str">
        <f>LEFT(Table4[[#This Row],[Customer_Name]],FIND(",",Table4[[#This Row],[Customer_Name]])-1)</f>
        <v>Miller</v>
      </c>
      <c r="D464" s="22" t="str">
        <f>LEFT(Table4[[#This Row],[First_Name]],2)&amp;LEFT(Table4[[#This Row],[Last_Name]],2)&amp;ROW()</f>
        <v>EmMi464</v>
      </c>
    </row>
    <row r="465" spans="1:4" x14ac:dyDescent="0.25">
      <c r="A465" s="22" t="s">
        <v>291</v>
      </c>
      <c r="B465" s="22" t="str">
        <f>RIGHT(Table4[[#This Row],[Customer_Name]],LEN(Table4[[#This Row],[Customer_Name]])-FIND(",",Table4[[#This Row],[Customer_Name]])-1)</f>
        <v>John</v>
      </c>
      <c r="C465" s="22" t="str">
        <f>LEFT(Table4[[#This Row],[Customer_Name]],FIND(",",Table4[[#This Row],[Customer_Name]])-1)</f>
        <v>Brown</v>
      </c>
      <c r="D465" s="22" t="str">
        <f>LEFT(Table4[[#This Row],[First_Name]],2)&amp;LEFT(Table4[[#This Row],[Last_Name]],2)&amp;ROW()</f>
        <v>JoBr465</v>
      </c>
    </row>
    <row r="466" spans="1:4" x14ac:dyDescent="0.25">
      <c r="A466" s="22" t="s">
        <v>207</v>
      </c>
      <c r="B466" s="22" t="str">
        <f>RIGHT(Table4[[#This Row],[Customer_Name]],LEN(Table4[[#This Row],[Customer_Name]])-FIND(",",Table4[[#This Row],[Customer_Name]])-1)</f>
        <v>Sarah</v>
      </c>
      <c r="C466" s="22" t="str">
        <f>LEFT(Table4[[#This Row],[Customer_Name]],FIND(",",Table4[[#This Row],[Customer_Name]])-1)</f>
        <v>Miller</v>
      </c>
      <c r="D466" s="22" t="str">
        <f>LEFT(Table4[[#This Row],[First_Name]],2)&amp;LEFT(Table4[[#This Row],[Last_Name]],2)&amp;ROW()</f>
        <v>SaMi466</v>
      </c>
    </row>
    <row r="467" spans="1:4" x14ac:dyDescent="0.25">
      <c r="A467" s="22" t="s">
        <v>110</v>
      </c>
      <c r="B467" s="22" t="str">
        <f>RIGHT(Table4[[#This Row],[Customer_Name]],LEN(Table4[[#This Row],[Customer_Name]])-FIND(",",Table4[[#This Row],[Customer_Name]])-1)</f>
        <v>Sophia</v>
      </c>
      <c r="C467" s="22" t="str">
        <f>LEFT(Table4[[#This Row],[Customer_Name]],FIND(",",Table4[[#This Row],[Customer_Name]])-1)</f>
        <v>Smith</v>
      </c>
      <c r="D467" s="22" t="str">
        <f>LEFT(Table4[[#This Row],[First_Name]],2)&amp;LEFT(Table4[[#This Row],[Last_Name]],2)&amp;ROW()</f>
        <v>SoSm467</v>
      </c>
    </row>
    <row r="468" spans="1:4" x14ac:dyDescent="0.25">
      <c r="A468" s="22" t="s">
        <v>91</v>
      </c>
      <c r="B468" s="22" t="str">
        <f>RIGHT(Table4[[#This Row],[Customer_Name]],LEN(Table4[[#This Row],[Customer_Name]])-FIND(",",Table4[[#This Row],[Customer_Name]])-1)</f>
        <v>Sarah</v>
      </c>
      <c r="C468" s="22" t="str">
        <f>LEFT(Table4[[#This Row],[Customer_Name]],FIND(",",Table4[[#This Row],[Customer_Name]])-1)</f>
        <v>Johnson</v>
      </c>
      <c r="D468" s="22" t="str">
        <f>LEFT(Table4[[#This Row],[First_Name]],2)&amp;LEFT(Table4[[#This Row],[Last_Name]],2)&amp;ROW()</f>
        <v>SaJo468</v>
      </c>
    </row>
    <row r="469" spans="1:4" x14ac:dyDescent="0.25">
      <c r="A469" s="22" t="s">
        <v>371</v>
      </c>
      <c r="B469" s="22" t="str">
        <f>RIGHT(Table4[[#This Row],[Customer_Name]],LEN(Table4[[#This Row],[Customer_Name]])-FIND(",",Table4[[#This Row],[Customer_Name]])-1)</f>
        <v>Emma</v>
      </c>
      <c r="C469" s="22" t="str">
        <f>LEFT(Table4[[#This Row],[Customer_Name]],FIND(",",Table4[[#This Row],[Customer_Name]])-1)</f>
        <v>Jones</v>
      </c>
      <c r="D469" s="22" t="str">
        <f>LEFT(Table4[[#This Row],[First_Name]],2)&amp;LEFT(Table4[[#This Row],[Last_Name]],2)&amp;ROW()</f>
        <v>EmJo469</v>
      </c>
    </row>
    <row r="470" spans="1:4" x14ac:dyDescent="0.25">
      <c r="A470" s="22" t="s">
        <v>34</v>
      </c>
      <c r="B470" s="22" t="str">
        <f>RIGHT(Table4[[#This Row],[Customer_Name]],LEN(Table4[[#This Row],[Customer_Name]])-FIND(",",Table4[[#This Row],[Customer_Name]])-1)</f>
        <v>Daniel</v>
      </c>
      <c r="C470" s="22" t="str">
        <f>LEFT(Table4[[#This Row],[Customer_Name]],FIND(",",Table4[[#This Row],[Customer_Name]])-1)</f>
        <v>Miller</v>
      </c>
      <c r="D470" s="22" t="str">
        <f>LEFT(Table4[[#This Row],[First_Name]],2)&amp;LEFT(Table4[[#This Row],[Last_Name]],2)&amp;ROW()</f>
        <v>DaMi470</v>
      </c>
    </row>
    <row r="471" spans="1:4" x14ac:dyDescent="0.25">
      <c r="A471" s="22" t="s">
        <v>123</v>
      </c>
      <c r="B471" s="22" t="str">
        <f>RIGHT(Table4[[#This Row],[Customer_Name]],LEN(Table4[[#This Row],[Customer_Name]])-FIND(",",Table4[[#This Row],[Customer_Name]])-1)</f>
        <v>Emily</v>
      </c>
      <c r="C471" s="22" t="str">
        <f>LEFT(Table4[[#This Row],[Customer_Name]],FIND(",",Table4[[#This Row],[Customer_Name]])-1)</f>
        <v>Garcia</v>
      </c>
      <c r="D471" s="22" t="str">
        <f>LEFT(Table4[[#This Row],[First_Name]],2)&amp;LEFT(Table4[[#This Row],[Last_Name]],2)&amp;ROW()</f>
        <v>EmGa471</v>
      </c>
    </row>
    <row r="472" spans="1:4" x14ac:dyDescent="0.25">
      <c r="A472" s="22" t="s">
        <v>15</v>
      </c>
      <c r="B472" s="22" t="str">
        <f>RIGHT(Table4[[#This Row],[Customer_Name]],LEN(Table4[[#This Row],[Customer_Name]])-FIND(",",Table4[[#This Row],[Customer_Name]])-1)</f>
        <v>Emily</v>
      </c>
      <c r="C472" s="22" t="str">
        <f>LEFT(Table4[[#This Row],[Customer_Name]],FIND(",",Table4[[#This Row],[Customer_Name]])-1)</f>
        <v>Smith</v>
      </c>
      <c r="D472" s="22" t="str">
        <f>LEFT(Table4[[#This Row],[First_Name]],2)&amp;LEFT(Table4[[#This Row],[Last_Name]],2)&amp;ROW()</f>
        <v>EmSm472</v>
      </c>
    </row>
    <row r="473" spans="1:4" x14ac:dyDescent="0.25">
      <c r="A473" s="22" t="s">
        <v>97</v>
      </c>
      <c r="B473" s="22" t="str">
        <f>RIGHT(Table4[[#This Row],[Customer_Name]],LEN(Table4[[#This Row],[Customer_Name]])-FIND(",",Table4[[#This Row],[Customer_Name]])-1)</f>
        <v>Michael</v>
      </c>
      <c r="C473" s="22" t="str">
        <f>LEFT(Table4[[#This Row],[Customer_Name]],FIND(",",Table4[[#This Row],[Customer_Name]])-1)</f>
        <v>Martinez</v>
      </c>
      <c r="D473" s="22" t="str">
        <f>LEFT(Table4[[#This Row],[First_Name]],2)&amp;LEFT(Table4[[#This Row],[Last_Name]],2)&amp;ROW()</f>
        <v>MiMa473</v>
      </c>
    </row>
    <row r="474" spans="1:4" x14ac:dyDescent="0.25">
      <c r="A474" s="22" t="s">
        <v>209</v>
      </c>
      <c r="B474" s="22" t="str">
        <f>RIGHT(Table4[[#This Row],[Customer_Name]],LEN(Table4[[#This Row],[Customer_Name]])-FIND(",",Table4[[#This Row],[Customer_Name]])-1)</f>
        <v>James</v>
      </c>
      <c r="C474" s="22" t="str">
        <f>LEFT(Table4[[#This Row],[Customer_Name]],FIND(",",Table4[[#This Row],[Customer_Name]])-1)</f>
        <v>Williams</v>
      </c>
      <c r="D474" s="22" t="str">
        <f>LEFT(Table4[[#This Row],[First_Name]],2)&amp;LEFT(Table4[[#This Row],[Last_Name]],2)&amp;ROW()</f>
        <v>JaWi474</v>
      </c>
    </row>
    <row r="475" spans="1:4" x14ac:dyDescent="0.25">
      <c r="A475" s="22" t="s">
        <v>193</v>
      </c>
      <c r="B475" s="22" t="str">
        <f>RIGHT(Table4[[#This Row],[Customer_Name]],LEN(Table4[[#This Row],[Customer_Name]])-FIND(",",Table4[[#This Row],[Customer_Name]])-1)</f>
        <v>Laura</v>
      </c>
      <c r="C475" s="22" t="str">
        <f>LEFT(Table4[[#This Row],[Customer_Name]],FIND(",",Table4[[#This Row],[Customer_Name]])-1)</f>
        <v>Hernandez</v>
      </c>
      <c r="D475" s="22" t="str">
        <f>LEFT(Table4[[#This Row],[First_Name]],2)&amp;LEFT(Table4[[#This Row],[Last_Name]],2)&amp;ROW()</f>
        <v>LaHe475</v>
      </c>
    </row>
    <row r="476" spans="1:4" x14ac:dyDescent="0.25">
      <c r="A476" s="22" t="s">
        <v>286</v>
      </c>
      <c r="B476" s="22" t="str">
        <f>RIGHT(Table4[[#This Row],[Customer_Name]],LEN(Table4[[#This Row],[Customer_Name]])-FIND(",",Table4[[#This Row],[Customer_Name]])-1)</f>
        <v>Michael</v>
      </c>
      <c r="C476" s="22" t="str">
        <f>LEFT(Table4[[#This Row],[Customer_Name]],FIND(",",Table4[[#This Row],[Customer_Name]])-1)</f>
        <v>Hernandez</v>
      </c>
      <c r="D476" s="22" t="str">
        <f>LEFT(Table4[[#This Row],[First_Name]],2)&amp;LEFT(Table4[[#This Row],[Last_Name]],2)&amp;ROW()</f>
        <v>MiHe476</v>
      </c>
    </row>
    <row r="477" spans="1:4" x14ac:dyDescent="0.25">
      <c r="A477" s="22" t="s">
        <v>105</v>
      </c>
      <c r="B477" s="22" t="str">
        <f>RIGHT(Table4[[#This Row],[Customer_Name]],LEN(Table4[[#This Row],[Customer_Name]])-FIND(",",Table4[[#This Row],[Customer_Name]])-1)</f>
        <v>Laura</v>
      </c>
      <c r="C477" s="22" t="str">
        <f>LEFT(Table4[[#This Row],[Customer_Name]],FIND(",",Table4[[#This Row],[Customer_Name]])-1)</f>
        <v>Miller</v>
      </c>
      <c r="D477" s="22" t="str">
        <f>LEFT(Table4[[#This Row],[First_Name]],2)&amp;LEFT(Table4[[#This Row],[Last_Name]],2)&amp;ROW()</f>
        <v>LaMi477</v>
      </c>
    </row>
    <row r="478" spans="1:4" x14ac:dyDescent="0.25">
      <c r="A478" s="22" t="s">
        <v>226</v>
      </c>
      <c r="B478" s="22" t="str">
        <f>RIGHT(Table4[[#This Row],[Customer_Name]],LEN(Table4[[#This Row],[Customer_Name]])-FIND(",",Table4[[#This Row],[Customer_Name]])-1)</f>
        <v>Emily</v>
      </c>
      <c r="C478" s="22" t="str">
        <f>LEFT(Table4[[#This Row],[Customer_Name]],FIND(",",Table4[[#This Row],[Customer_Name]])-1)</f>
        <v>Miller</v>
      </c>
      <c r="D478" s="22" t="str">
        <f>LEFT(Table4[[#This Row],[First_Name]],2)&amp;LEFT(Table4[[#This Row],[Last_Name]],2)&amp;ROW()</f>
        <v>EmMi478</v>
      </c>
    </row>
    <row r="479" spans="1:4" x14ac:dyDescent="0.25">
      <c r="A479" s="22" t="s">
        <v>105</v>
      </c>
      <c r="B479" s="22" t="str">
        <f>RIGHT(Table4[[#This Row],[Customer_Name]],LEN(Table4[[#This Row],[Customer_Name]])-FIND(",",Table4[[#This Row],[Customer_Name]])-1)</f>
        <v>Laura</v>
      </c>
      <c r="C479" s="22" t="str">
        <f>LEFT(Table4[[#This Row],[Customer_Name]],FIND(",",Table4[[#This Row],[Customer_Name]])-1)</f>
        <v>Miller</v>
      </c>
      <c r="D479" s="22" t="str">
        <f>LEFT(Table4[[#This Row],[First_Name]],2)&amp;LEFT(Table4[[#This Row],[Last_Name]],2)&amp;ROW()</f>
        <v>LaMi479</v>
      </c>
    </row>
    <row r="480" spans="1:4" x14ac:dyDescent="0.25">
      <c r="A480" s="22" t="s">
        <v>76</v>
      </c>
      <c r="B480" s="22" t="str">
        <f>RIGHT(Table4[[#This Row],[Customer_Name]],LEN(Table4[[#This Row],[Customer_Name]])-FIND(",",Table4[[#This Row],[Customer_Name]])-1)</f>
        <v>David</v>
      </c>
      <c r="C480" s="22" t="str">
        <f>LEFT(Table4[[#This Row],[Customer_Name]],FIND(",",Table4[[#This Row],[Customer_Name]])-1)</f>
        <v>Williams</v>
      </c>
      <c r="D480" s="22" t="str">
        <f>LEFT(Table4[[#This Row],[First_Name]],2)&amp;LEFT(Table4[[#This Row],[Last_Name]],2)&amp;ROW()</f>
        <v>DaWi480</v>
      </c>
    </row>
    <row r="481" spans="1:4" x14ac:dyDescent="0.25">
      <c r="A481" s="22" t="s">
        <v>50</v>
      </c>
      <c r="B481" s="22" t="str">
        <f>RIGHT(Table4[[#This Row],[Customer_Name]],LEN(Table4[[#This Row],[Customer_Name]])-FIND(",",Table4[[#This Row],[Customer_Name]])-1)</f>
        <v>Emma</v>
      </c>
      <c r="C481" s="22" t="str">
        <f>LEFT(Table4[[#This Row],[Customer_Name]],FIND(",",Table4[[#This Row],[Customer_Name]])-1)</f>
        <v>Hernandez</v>
      </c>
      <c r="D481" s="22" t="str">
        <f>LEFT(Table4[[#This Row],[First_Name]],2)&amp;LEFT(Table4[[#This Row],[Last_Name]],2)&amp;ROW()</f>
        <v>EmHe481</v>
      </c>
    </row>
    <row r="482" spans="1:4" x14ac:dyDescent="0.25">
      <c r="A482" s="22" t="s">
        <v>73</v>
      </c>
      <c r="B482" s="22" t="str">
        <f>RIGHT(Table4[[#This Row],[Customer_Name]],LEN(Table4[[#This Row],[Customer_Name]])-FIND(",",Table4[[#This Row],[Customer_Name]])-1)</f>
        <v>Sarah</v>
      </c>
      <c r="C482" s="22" t="str">
        <f>LEFT(Table4[[#This Row],[Customer_Name]],FIND(",",Table4[[#This Row],[Customer_Name]])-1)</f>
        <v>Davis</v>
      </c>
      <c r="D482" s="22" t="str">
        <f>LEFT(Table4[[#This Row],[First_Name]],2)&amp;LEFT(Table4[[#This Row],[Last_Name]],2)&amp;ROW()</f>
        <v>SaDa482</v>
      </c>
    </row>
    <row r="483" spans="1:4" x14ac:dyDescent="0.25">
      <c r="A483" s="22" t="s">
        <v>246</v>
      </c>
      <c r="B483" s="22" t="str">
        <f>RIGHT(Table4[[#This Row],[Customer_Name]],LEN(Table4[[#This Row],[Customer_Name]])-FIND(",",Table4[[#This Row],[Customer_Name]])-1)</f>
        <v>John</v>
      </c>
      <c r="C483" s="22" t="str">
        <f>LEFT(Table4[[#This Row],[Customer_Name]],FIND(",",Table4[[#This Row],[Customer_Name]])-1)</f>
        <v>Martinez</v>
      </c>
      <c r="D483" s="22" t="str">
        <f>LEFT(Table4[[#This Row],[First_Name]],2)&amp;LEFT(Table4[[#This Row],[Last_Name]],2)&amp;ROW()</f>
        <v>JoMa483</v>
      </c>
    </row>
    <row r="484" spans="1:4" x14ac:dyDescent="0.25">
      <c r="A484" s="22" t="s">
        <v>135</v>
      </c>
      <c r="B484" s="22" t="str">
        <f>RIGHT(Table4[[#This Row],[Customer_Name]],LEN(Table4[[#This Row],[Customer_Name]])-FIND(",",Table4[[#This Row],[Customer_Name]])-1)</f>
        <v>Daniel</v>
      </c>
      <c r="C484" s="22" t="str">
        <f>LEFT(Table4[[#This Row],[Customer_Name]],FIND(",",Table4[[#This Row],[Customer_Name]])-1)</f>
        <v>Smith</v>
      </c>
      <c r="D484" s="22" t="str">
        <f>LEFT(Table4[[#This Row],[First_Name]],2)&amp;LEFT(Table4[[#This Row],[Last_Name]],2)&amp;ROW()</f>
        <v>DaSm484</v>
      </c>
    </row>
    <row r="485" spans="1:4" x14ac:dyDescent="0.25">
      <c r="A485" s="22" t="s">
        <v>67</v>
      </c>
      <c r="B485" s="22" t="str">
        <f>RIGHT(Table4[[#This Row],[Customer_Name]],LEN(Table4[[#This Row],[Customer_Name]])-FIND(",",Table4[[#This Row],[Customer_Name]])-1)</f>
        <v>James</v>
      </c>
      <c r="C485" s="22" t="str">
        <f>LEFT(Table4[[#This Row],[Customer_Name]],FIND(",",Table4[[#This Row],[Customer_Name]])-1)</f>
        <v>Davis</v>
      </c>
      <c r="D485" s="22" t="str">
        <f>LEFT(Table4[[#This Row],[First_Name]],2)&amp;LEFT(Table4[[#This Row],[Last_Name]],2)&amp;ROW()</f>
        <v>JaDa485</v>
      </c>
    </row>
    <row r="486" spans="1:4" x14ac:dyDescent="0.25">
      <c r="A486" s="22" t="s">
        <v>399</v>
      </c>
      <c r="B486" s="22" t="str">
        <f>RIGHT(Table4[[#This Row],[Customer_Name]],LEN(Table4[[#This Row],[Customer_Name]])-FIND(",",Table4[[#This Row],[Customer_Name]])-1)</f>
        <v>John</v>
      </c>
      <c r="C486" s="22" t="str">
        <f>LEFT(Table4[[#This Row],[Customer_Name]],FIND(",",Table4[[#This Row],[Customer_Name]])-1)</f>
        <v>Smith</v>
      </c>
      <c r="D486" s="22" t="str">
        <f>LEFT(Table4[[#This Row],[First_Name]],2)&amp;LEFT(Table4[[#This Row],[Last_Name]],2)&amp;ROW()</f>
        <v>JoSm486</v>
      </c>
    </row>
    <row r="487" spans="1:4" x14ac:dyDescent="0.25">
      <c r="A487" s="22" t="s">
        <v>183</v>
      </c>
      <c r="B487" s="22" t="str">
        <f>RIGHT(Table4[[#This Row],[Customer_Name]],LEN(Table4[[#This Row],[Customer_Name]])-FIND(",",Table4[[#This Row],[Customer_Name]])-1)</f>
        <v>Michael</v>
      </c>
      <c r="C487" s="22" t="str">
        <f>LEFT(Table4[[#This Row],[Customer_Name]],FIND(",",Table4[[#This Row],[Customer_Name]])-1)</f>
        <v>Davis</v>
      </c>
      <c r="D487" s="22" t="str">
        <f>LEFT(Table4[[#This Row],[First_Name]],2)&amp;LEFT(Table4[[#This Row],[Last_Name]],2)&amp;ROW()</f>
        <v>MiDa487</v>
      </c>
    </row>
    <row r="488" spans="1:4" x14ac:dyDescent="0.25">
      <c r="A488" s="22" t="s">
        <v>207</v>
      </c>
      <c r="B488" s="22" t="str">
        <f>RIGHT(Table4[[#This Row],[Customer_Name]],LEN(Table4[[#This Row],[Customer_Name]])-FIND(",",Table4[[#This Row],[Customer_Name]])-1)</f>
        <v>Sarah</v>
      </c>
      <c r="C488" s="22" t="str">
        <f>LEFT(Table4[[#This Row],[Customer_Name]],FIND(",",Table4[[#This Row],[Customer_Name]])-1)</f>
        <v>Miller</v>
      </c>
      <c r="D488" s="22" t="str">
        <f>LEFT(Table4[[#This Row],[First_Name]],2)&amp;LEFT(Table4[[#This Row],[Last_Name]],2)&amp;ROW()</f>
        <v>SaMi488</v>
      </c>
    </row>
    <row r="489" spans="1:4" x14ac:dyDescent="0.25">
      <c r="A489" s="22" t="s">
        <v>204</v>
      </c>
      <c r="B489" s="22" t="str">
        <f>RIGHT(Table4[[#This Row],[Customer_Name]],LEN(Table4[[#This Row],[Customer_Name]])-FIND(",",Table4[[#This Row],[Customer_Name]])-1)</f>
        <v>Sophia</v>
      </c>
      <c r="C489" s="22" t="str">
        <f>LEFT(Table4[[#This Row],[Customer_Name]],FIND(",",Table4[[#This Row],[Customer_Name]])-1)</f>
        <v>Martinez</v>
      </c>
      <c r="D489" s="22" t="str">
        <f>LEFT(Table4[[#This Row],[First_Name]],2)&amp;LEFT(Table4[[#This Row],[Last_Name]],2)&amp;ROW()</f>
        <v>SoMa489</v>
      </c>
    </row>
    <row r="490" spans="1:4" x14ac:dyDescent="0.25">
      <c r="A490" s="22" t="s">
        <v>108</v>
      </c>
      <c r="B490" s="22" t="str">
        <f>RIGHT(Table4[[#This Row],[Customer_Name]],LEN(Table4[[#This Row],[Customer_Name]])-FIND(",",Table4[[#This Row],[Customer_Name]])-1)</f>
        <v>Sophia</v>
      </c>
      <c r="C490" s="22" t="str">
        <f>LEFT(Table4[[#This Row],[Customer_Name]],FIND(",",Table4[[#This Row],[Customer_Name]])-1)</f>
        <v>Garcia</v>
      </c>
      <c r="D490" s="22" t="str">
        <f>LEFT(Table4[[#This Row],[First_Name]],2)&amp;LEFT(Table4[[#This Row],[Last_Name]],2)&amp;ROW()</f>
        <v>SoGa490</v>
      </c>
    </row>
    <row r="491" spans="1:4" x14ac:dyDescent="0.25">
      <c r="A491" s="22" t="s">
        <v>123</v>
      </c>
      <c r="B491" s="22" t="str">
        <f>RIGHT(Table4[[#This Row],[Customer_Name]],LEN(Table4[[#This Row],[Customer_Name]])-FIND(",",Table4[[#This Row],[Customer_Name]])-1)</f>
        <v>Emily</v>
      </c>
      <c r="C491" s="22" t="str">
        <f>LEFT(Table4[[#This Row],[Customer_Name]],FIND(",",Table4[[#This Row],[Customer_Name]])-1)</f>
        <v>Garcia</v>
      </c>
      <c r="D491" s="22" t="str">
        <f>LEFT(Table4[[#This Row],[First_Name]],2)&amp;LEFT(Table4[[#This Row],[Last_Name]],2)&amp;ROW()</f>
        <v>EmGa491</v>
      </c>
    </row>
    <row r="492" spans="1:4" x14ac:dyDescent="0.25">
      <c r="A492" s="22" t="s">
        <v>291</v>
      </c>
      <c r="B492" s="22" t="str">
        <f>RIGHT(Table4[[#This Row],[Customer_Name]],LEN(Table4[[#This Row],[Customer_Name]])-FIND(",",Table4[[#This Row],[Customer_Name]])-1)</f>
        <v>John</v>
      </c>
      <c r="C492" s="22" t="str">
        <f>LEFT(Table4[[#This Row],[Customer_Name]],FIND(",",Table4[[#This Row],[Customer_Name]])-1)</f>
        <v>Brown</v>
      </c>
      <c r="D492" s="22" t="str">
        <f>LEFT(Table4[[#This Row],[First_Name]],2)&amp;LEFT(Table4[[#This Row],[Last_Name]],2)&amp;ROW()</f>
        <v>JoBr492</v>
      </c>
    </row>
    <row r="493" spans="1:4" x14ac:dyDescent="0.25">
      <c r="A493" s="22" t="s">
        <v>315</v>
      </c>
      <c r="B493" s="22" t="str">
        <f>RIGHT(Table4[[#This Row],[Customer_Name]],LEN(Table4[[#This Row],[Customer_Name]])-FIND(",",Table4[[#This Row],[Customer_Name]])-1)</f>
        <v>Sarah</v>
      </c>
      <c r="C493" s="22" t="str">
        <f>LEFT(Table4[[#This Row],[Customer_Name]],FIND(",",Table4[[#This Row],[Customer_Name]])-1)</f>
        <v>Hernandez</v>
      </c>
      <c r="D493" s="22" t="str">
        <f>LEFT(Table4[[#This Row],[First_Name]],2)&amp;LEFT(Table4[[#This Row],[Last_Name]],2)&amp;ROW()</f>
        <v>SaHe493</v>
      </c>
    </row>
    <row r="494" spans="1:4" x14ac:dyDescent="0.25">
      <c r="A494" s="22" t="s">
        <v>410</v>
      </c>
      <c r="B494" s="22" t="str">
        <f>RIGHT(Table4[[#This Row],[Customer_Name]],LEN(Table4[[#This Row],[Customer_Name]])-FIND(",",Table4[[#This Row],[Customer_Name]])-1)</f>
        <v>James</v>
      </c>
      <c r="C494" s="22" t="str">
        <f>LEFT(Table4[[#This Row],[Customer_Name]],FIND(",",Table4[[#This Row],[Customer_Name]])-1)</f>
        <v>Garcia</v>
      </c>
      <c r="D494" s="22" t="str">
        <f>LEFT(Table4[[#This Row],[First_Name]],2)&amp;LEFT(Table4[[#This Row],[Last_Name]],2)&amp;ROW()</f>
        <v>JaGa494</v>
      </c>
    </row>
    <row r="495" spans="1:4" x14ac:dyDescent="0.25">
      <c r="A495" s="22" t="s">
        <v>85</v>
      </c>
      <c r="B495" s="22" t="str">
        <f>RIGHT(Table4[[#This Row],[Customer_Name]],LEN(Table4[[#This Row],[Customer_Name]])-FIND(",",Table4[[#This Row],[Customer_Name]])-1)</f>
        <v>Michael</v>
      </c>
      <c r="C495" s="22" t="str">
        <f>LEFT(Table4[[#This Row],[Customer_Name]],FIND(",",Table4[[#This Row],[Customer_Name]])-1)</f>
        <v>Miller</v>
      </c>
      <c r="D495" s="22" t="str">
        <f>LEFT(Table4[[#This Row],[First_Name]],2)&amp;LEFT(Table4[[#This Row],[Last_Name]],2)&amp;ROW()</f>
        <v>MiMi495</v>
      </c>
    </row>
    <row r="496" spans="1:4" x14ac:dyDescent="0.25">
      <c r="A496" s="22" t="s">
        <v>183</v>
      </c>
      <c r="B496" s="22" t="str">
        <f>RIGHT(Table4[[#This Row],[Customer_Name]],LEN(Table4[[#This Row],[Customer_Name]])-FIND(",",Table4[[#This Row],[Customer_Name]])-1)</f>
        <v>Michael</v>
      </c>
      <c r="C496" s="22" t="str">
        <f>LEFT(Table4[[#This Row],[Customer_Name]],FIND(",",Table4[[#This Row],[Customer_Name]])-1)</f>
        <v>Davis</v>
      </c>
      <c r="D496" s="22" t="str">
        <f>LEFT(Table4[[#This Row],[First_Name]],2)&amp;LEFT(Table4[[#This Row],[Last_Name]],2)&amp;ROW()</f>
        <v>MiDa496</v>
      </c>
    </row>
    <row r="497" spans="1:4" x14ac:dyDescent="0.25">
      <c r="A497" s="22" t="s">
        <v>41</v>
      </c>
      <c r="B497" s="22" t="str">
        <f>RIGHT(Table4[[#This Row],[Customer_Name]],LEN(Table4[[#This Row],[Customer_Name]])-FIND(",",Table4[[#This Row],[Customer_Name]])-1)</f>
        <v>Emma</v>
      </c>
      <c r="C497" s="22" t="str">
        <f>LEFT(Table4[[#This Row],[Customer_Name]],FIND(",",Table4[[#This Row],[Customer_Name]])-1)</f>
        <v>Johnson</v>
      </c>
      <c r="D497" s="22" t="str">
        <f>LEFT(Table4[[#This Row],[First_Name]],2)&amp;LEFT(Table4[[#This Row],[Last_Name]],2)&amp;ROW()</f>
        <v>EmJo497</v>
      </c>
    </row>
    <row r="498" spans="1:4" x14ac:dyDescent="0.25">
      <c r="A498" s="22" t="s">
        <v>297</v>
      </c>
      <c r="B498" s="22" t="str">
        <f>RIGHT(Table4[[#This Row],[Customer_Name]],LEN(Table4[[#This Row],[Customer_Name]])-FIND(",",Table4[[#This Row],[Customer_Name]])-1)</f>
        <v>Emily</v>
      </c>
      <c r="C498" s="22" t="str">
        <f>LEFT(Table4[[#This Row],[Customer_Name]],FIND(",",Table4[[#This Row],[Customer_Name]])-1)</f>
        <v>Johnson</v>
      </c>
      <c r="D498" s="22" t="str">
        <f>LEFT(Table4[[#This Row],[First_Name]],2)&amp;LEFT(Table4[[#This Row],[Last_Name]],2)&amp;ROW()</f>
        <v>EmJo498</v>
      </c>
    </row>
    <row r="499" spans="1:4" x14ac:dyDescent="0.25">
      <c r="A499" s="22" t="s">
        <v>176</v>
      </c>
      <c r="B499" s="22" t="str">
        <f>RIGHT(Table4[[#This Row],[Customer_Name]],LEN(Table4[[#This Row],[Customer_Name]])-FIND(",",Table4[[#This Row],[Customer_Name]])-1)</f>
        <v>David</v>
      </c>
      <c r="C499" s="22" t="str">
        <f>LEFT(Table4[[#This Row],[Customer_Name]],FIND(",",Table4[[#This Row],[Customer_Name]])-1)</f>
        <v>Smith</v>
      </c>
      <c r="D499" s="22" t="str">
        <f>LEFT(Table4[[#This Row],[First_Name]],2)&amp;LEFT(Table4[[#This Row],[Last_Name]],2)&amp;ROW()</f>
        <v>DaSm499</v>
      </c>
    </row>
    <row r="500" spans="1:4" x14ac:dyDescent="0.25">
      <c r="A500" s="22" t="s">
        <v>71</v>
      </c>
      <c r="B500" s="22" t="str">
        <f>RIGHT(Table4[[#This Row],[Customer_Name]],LEN(Table4[[#This Row],[Customer_Name]])-FIND(",",Table4[[#This Row],[Customer_Name]])-1)</f>
        <v>Emma</v>
      </c>
      <c r="C500" s="22" t="str">
        <f>LEFT(Table4[[#This Row],[Customer_Name]],FIND(",",Table4[[#This Row],[Customer_Name]])-1)</f>
        <v>Smith</v>
      </c>
      <c r="D500" s="22" t="str">
        <f>LEFT(Table4[[#This Row],[First_Name]],2)&amp;LEFT(Table4[[#This Row],[Last_Name]],2)&amp;ROW()</f>
        <v>EmSm500</v>
      </c>
    </row>
    <row r="501" spans="1:4" x14ac:dyDescent="0.25">
      <c r="A501" s="22" t="s">
        <v>286</v>
      </c>
      <c r="B501" s="22" t="str">
        <f>RIGHT(Table4[[#This Row],[Customer_Name]],LEN(Table4[[#This Row],[Customer_Name]])-FIND(",",Table4[[#This Row],[Customer_Name]])-1)</f>
        <v>Michael</v>
      </c>
      <c r="C501" s="22" t="str">
        <f>LEFT(Table4[[#This Row],[Customer_Name]],FIND(",",Table4[[#This Row],[Customer_Name]])-1)</f>
        <v>Hernandez</v>
      </c>
      <c r="D501" s="22" t="str">
        <f>LEFT(Table4[[#This Row],[First_Name]],2)&amp;LEFT(Table4[[#This Row],[Last_Name]],2)&amp;ROW()</f>
        <v>MiHe501</v>
      </c>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501"/>
  <sheetViews>
    <sheetView zoomScale="80" zoomScaleNormal="80" workbookViewId="0">
      <selection activeCell="J26" sqref="J26"/>
    </sheetView>
  </sheetViews>
  <sheetFormatPr defaultRowHeight="15" x14ac:dyDescent="0.25"/>
  <cols>
    <col min="1" max="1" width="16" style="5" bestFit="1" customWidth="1"/>
    <col min="2" max="2" width="10.7109375" style="2" bestFit="1" customWidth="1"/>
    <col min="3" max="3" width="20.140625" style="6" bestFit="1" customWidth="1"/>
    <col min="4" max="4" width="22.28515625" bestFit="1" customWidth="1"/>
  </cols>
  <sheetData>
    <row r="1" spans="1:6" s="118" customFormat="1" ht="15.75" x14ac:dyDescent="0.25">
      <c r="A1" s="115" t="s">
        <v>8</v>
      </c>
      <c r="B1" s="116" t="s">
        <v>10</v>
      </c>
      <c r="C1" s="117" t="s">
        <v>689</v>
      </c>
      <c r="D1" s="118" t="s">
        <v>690</v>
      </c>
    </row>
    <row r="2" spans="1:6" x14ac:dyDescent="0.25">
      <c r="A2" s="64">
        <v>1104.4000000000001</v>
      </c>
      <c r="B2" s="2">
        <v>355.04</v>
      </c>
      <c r="C2" s="65">
        <f>Table5[[#This Row],[Profit]]/Table5[[#This Row],[Total_Sales]]</f>
        <v>0.32147772546178921</v>
      </c>
      <c r="D2" s="22" t="str">
        <f>IF(AND(Table5[[#This Row],[Profit_Margin%]]&gt;20%,Table5[[#This Row],[Total_Sales]]&gt;2000),"Excellent",IF(AND(Table5[[#This Row],[Profit_Margin%]]&gt;=10%,Table5[[#This Row],[Profit_Margin%]]&lt;=20%),"Good","Needs Improvement"))</f>
        <v>Needs Improvement</v>
      </c>
    </row>
    <row r="3" spans="1:6" x14ac:dyDescent="0.25">
      <c r="A3" s="64">
        <v>1056.99</v>
      </c>
      <c r="B3" s="2">
        <v>403.4</v>
      </c>
      <c r="C3" s="65">
        <f>Table5[[#This Row],[Profit]]/Table5[[#This Row],[Total_Sales]]</f>
        <v>0.38164977908967918</v>
      </c>
      <c r="D3" s="22" t="str">
        <f>IF(AND(Table5[[#This Row],[Profit_Margin%]]&gt;20%,Table5[[#This Row],[Total_Sales]]&gt;2000),"Excellent",IF(AND(Table5[[#This Row],[Profit_Margin%]]&gt;=10%,Table5[[#This Row],[Profit_Margin%]]&lt;=20%),"Good","Needs Improvement"))</f>
        <v>Needs Improvement</v>
      </c>
    </row>
    <row r="4" spans="1:6" x14ac:dyDescent="0.25">
      <c r="A4" s="64">
        <v>968.32</v>
      </c>
      <c r="B4" s="2">
        <v>282.37</v>
      </c>
      <c r="C4" s="65">
        <f>Table5[[#This Row],[Profit]]/Table5[[#This Row],[Total_Sales]]</f>
        <v>0.2916081460674157</v>
      </c>
      <c r="D4" s="22" t="str">
        <f>IF(AND(Table5[[#This Row],[Profit_Margin%]]&gt;20%,Table5[[#This Row],[Total_Sales]]&gt;2000),"Excellent",IF(AND(Table5[[#This Row],[Profit_Margin%]]&gt;=10%,Table5[[#This Row],[Profit_Margin%]]&lt;=20%),"Good","Needs Improvement"))</f>
        <v>Needs Improvement</v>
      </c>
      <c r="F4" s="4"/>
    </row>
    <row r="5" spans="1:6" x14ac:dyDescent="0.25">
      <c r="A5" s="64">
        <v>338.16</v>
      </c>
      <c r="B5" s="2">
        <v>134.77000000000001</v>
      </c>
      <c r="C5" s="65">
        <f>Table5[[#This Row],[Profit]]/Table5[[#This Row],[Total_Sales]]</f>
        <v>0.39853915306363852</v>
      </c>
      <c r="D5" s="22" t="str">
        <f>IF(AND(Table5[[#This Row],[Profit_Margin%]]&gt;20%,Table5[[#This Row],[Total_Sales]]&gt;2000),"Excellent",IF(AND(Table5[[#This Row],[Profit_Margin%]]&gt;=10%,Table5[[#This Row],[Profit_Margin%]]&lt;=20%),"Good","Needs Improvement"))</f>
        <v>Needs Improvement</v>
      </c>
    </row>
    <row r="6" spans="1:6" x14ac:dyDescent="0.25">
      <c r="A6" s="64">
        <v>1176.74</v>
      </c>
      <c r="B6" s="2">
        <v>430.8</v>
      </c>
      <c r="C6" s="65">
        <f>Table5[[#This Row],[Profit]]/Table5[[#This Row],[Total_Sales]]</f>
        <v>0.36609616397844896</v>
      </c>
      <c r="D6" s="22" t="str">
        <f>IF(AND(Table5[[#This Row],[Profit_Margin%]]&gt;20%,Table5[[#This Row],[Total_Sales]]&gt;2000),"Excellent",IF(AND(Table5[[#This Row],[Profit_Margin%]]&gt;=10%,Table5[[#This Row],[Profit_Margin%]]&lt;=20%),"Good","Needs Improvement"))</f>
        <v>Needs Improvement</v>
      </c>
    </row>
    <row r="7" spans="1:6" x14ac:dyDescent="0.25">
      <c r="A7" s="64">
        <v>363.22</v>
      </c>
      <c r="B7" s="2">
        <v>87.86</v>
      </c>
      <c r="C7" s="65">
        <f>Table5[[#This Row],[Profit]]/Table5[[#This Row],[Total_Sales]]</f>
        <v>0.2418919663014151</v>
      </c>
      <c r="D7" s="22" t="str">
        <f>IF(AND(Table5[[#This Row],[Profit_Margin%]]&gt;20%,Table5[[#This Row],[Total_Sales]]&gt;2000),"Excellent",IF(AND(Table5[[#This Row],[Profit_Margin%]]&gt;=10%,Table5[[#This Row],[Profit_Margin%]]&lt;=20%),"Good","Needs Improvement"))</f>
        <v>Needs Improvement</v>
      </c>
    </row>
    <row r="8" spans="1:6" x14ac:dyDescent="0.25">
      <c r="A8" s="64">
        <v>94.56</v>
      </c>
      <c r="B8" s="2">
        <v>20.079999999999998</v>
      </c>
      <c r="C8" s="65">
        <f>Table5[[#This Row],[Profit]]/Table5[[#This Row],[Total_Sales]]</f>
        <v>0.21235194585448391</v>
      </c>
      <c r="D8" s="22" t="str">
        <f>IF(AND(Table5[[#This Row],[Profit_Margin%]]&gt;20%,Table5[[#This Row],[Total_Sales]]&gt;2000),"Excellent",IF(AND(Table5[[#This Row],[Profit_Margin%]]&gt;=10%,Table5[[#This Row],[Profit_Margin%]]&lt;=20%),"Good","Needs Improvement"))</f>
        <v>Needs Improvement</v>
      </c>
    </row>
    <row r="9" spans="1:6" x14ac:dyDescent="0.25">
      <c r="A9" s="64">
        <v>429.94</v>
      </c>
      <c r="B9" s="2">
        <v>66.91</v>
      </c>
      <c r="C9" s="65">
        <f>Table5[[#This Row],[Profit]]/Table5[[#This Row],[Total_Sales]]</f>
        <v>0.15562636646973996</v>
      </c>
      <c r="D9" s="22" t="str">
        <f>IF(AND(Table5[[#This Row],[Profit_Margin%]]&gt;20%,Table5[[#This Row],[Total_Sales]]&gt;2000),"Excellent",IF(AND(Table5[[#This Row],[Profit_Margin%]]&gt;=10%,Table5[[#This Row],[Profit_Margin%]]&lt;=20%),"Good","Needs Improvement"))</f>
        <v>Good</v>
      </c>
    </row>
    <row r="10" spans="1:6" x14ac:dyDescent="0.25">
      <c r="A10" s="64">
        <v>1150.0899999999999</v>
      </c>
      <c r="B10" s="2">
        <v>360.29</v>
      </c>
      <c r="C10" s="65">
        <f>Table5[[#This Row],[Profit]]/Table5[[#This Row],[Total_Sales]]</f>
        <v>0.31327113530245465</v>
      </c>
      <c r="D10" s="22" t="str">
        <f>IF(AND(Table5[[#This Row],[Profit_Margin%]]&gt;20%,Table5[[#This Row],[Total_Sales]]&gt;2000),"Excellent",IF(AND(Table5[[#This Row],[Profit_Margin%]]&gt;=10%,Table5[[#This Row],[Profit_Margin%]]&lt;=20%),"Good","Needs Improvement"))</f>
        <v>Needs Improvement</v>
      </c>
    </row>
    <row r="11" spans="1:6" x14ac:dyDescent="0.25">
      <c r="A11" s="64">
        <v>512.46</v>
      </c>
      <c r="B11" s="2">
        <v>139.32</v>
      </c>
      <c r="C11" s="65">
        <f>Table5[[#This Row],[Profit]]/Table5[[#This Row],[Total_Sales]]</f>
        <v>0.27186512118018963</v>
      </c>
      <c r="D11" s="22" t="str">
        <f>IF(AND(Table5[[#This Row],[Profit_Margin%]]&gt;20%,Table5[[#This Row],[Total_Sales]]&gt;2000),"Excellent",IF(AND(Table5[[#This Row],[Profit_Margin%]]&gt;=10%,Table5[[#This Row],[Profit_Margin%]]&lt;=20%),"Good","Needs Improvement"))</f>
        <v>Needs Improvement</v>
      </c>
    </row>
    <row r="12" spans="1:6" x14ac:dyDescent="0.25">
      <c r="A12" s="64">
        <v>1850.88</v>
      </c>
      <c r="B12" s="2">
        <v>675.73</v>
      </c>
      <c r="C12" s="65">
        <f>Table5[[#This Row],[Profit]]/Table5[[#This Row],[Total_Sales]]</f>
        <v>0.36508579702627936</v>
      </c>
      <c r="D12" s="22" t="str">
        <f>IF(AND(Table5[[#This Row],[Profit_Margin%]]&gt;20%,Table5[[#This Row],[Total_Sales]]&gt;2000),"Excellent",IF(AND(Table5[[#This Row],[Profit_Margin%]]&gt;=10%,Table5[[#This Row],[Profit_Margin%]]&lt;=20%),"Good","Needs Improvement"))</f>
        <v>Needs Improvement</v>
      </c>
    </row>
    <row r="13" spans="1:6" x14ac:dyDescent="0.25">
      <c r="A13" s="64">
        <v>2879.73</v>
      </c>
      <c r="B13" s="2">
        <v>779.44</v>
      </c>
      <c r="C13" s="65">
        <f>Table5[[#This Row],[Profit]]/Table5[[#This Row],[Total_Sales]]</f>
        <v>0.27066426366360735</v>
      </c>
      <c r="D13" s="22" t="str">
        <f>IF(AND(Table5[[#This Row],[Profit_Margin%]]&gt;20%,Table5[[#This Row],[Total_Sales]]&gt;2000),"Excellent",IF(AND(Table5[[#This Row],[Profit_Margin%]]&gt;=10%,Table5[[#This Row],[Profit_Margin%]]&lt;=20%),"Good","Needs Improvement"))</f>
        <v>Excellent</v>
      </c>
    </row>
    <row r="14" spans="1:6" x14ac:dyDescent="0.25">
      <c r="A14" s="64">
        <v>2447.56</v>
      </c>
      <c r="B14" s="2">
        <v>802.16</v>
      </c>
      <c r="C14" s="65">
        <f>Table5[[#This Row],[Profit]]/Table5[[#This Row],[Total_Sales]]</f>
        <v>0.3277386458350357</v>
      </c>
      <c r="D14" s="22" t="str">
        <f>IF(AND(Table5[[#This Row],[Profit_Margin%]]&gt;20%,Table5[[#This Row],[Total_Sales]]&gt;2000),"Excellent",IF(AND(Table5[[#This Row],[Profit_Margin%]]&gt;=10%,Table5[[#This Row],[Profit_Margin%]]&lt;=20%),"Good","Needs Improvement"))</f>
        <v>Excellent</v>
      </c>
    </row>
    <row r="15" spans="1:6" x14ac:dyDescent="0.25">
      <c r="A15" s="64">
        <v>1390.4</v>
      </c>
      <c r="B15" s="2">
        <v>560.36</v>
      </c>
      <c r="C15" s="65">
        <f>Table5[[#This Row],[Profit]]/Table5[[#This Row],[Total_Sales]]</f>
        <v>0.4030207134637514</v>
      </c>
      <c r="D15" s="22" t="str">
        <f>IF(AND(Table5[[#This Row],[Profit_Margin%]]&gt;20%,Table5[[#This Row],[Total_Sales]]&gt;2000),"Excellent",IF(AND(Table5[[#This Row],[Profit_Margin%]]&gt;=10%,Table5[[#This Row],[Profit_Margin%]]&lt;=20%),"Good","Needs Improvement"))</f>
        <v>Needs Improvement</v>
      </c>
    </row>
    <row r="16" spans="1:6" x14ac:dyDescent="0.25">
      <c r="A16" s="64">
        <v>936.98</v>
      </c>
      <c r="B16" s="2">
        <v>357.11</v>
      </c>
      <c r="C16" s="65">
        <f>Table5[[#This Row],[Profit]]/Table5[[#This Row],[Total_Sales]]</f>
        <v>0.38112873273709152</v>
      </c>
      <c r="D16" s="22" t="str">
        <f>IF(AND(Table5[[#This Row],[Profit_Margin%]]&gt;20%,Table5[[#This Row],[Total_Sales]]&gt;2000),"Excellent",IF(AND(Table5[[#This Row],[Profit_Margin%]]&gt;=10%,Table5[[#This Row],[Profit_Margin%]]&lt;=20%),"Good","Needs Improvement"))</f>
        <v>Needs Improvement</v>
      </c>
    </row>
    <row r="17" spans="1:4" x14ac:dyDescent="0.25">
      <c r="A17" s="64">
        <v>1217.28</v>
      </c>
      <c r="B17" s="2">
        <v>207.6</v>
      </c>
      <c r="C17" s="65">
        <f>Table5[[#This Row],[Profit]]/Table5[[#This Row],[Total_Sales]]</f>
        <v>0.17054416403785488</v>
      </c>
      <c r="D17" s="22" t="str">
        <f>IF(AND(Table5[[#This Row],[Profit_Margin%]]&gt;20%,Table5[[#This Row],[Total_Sales]]&gt;2000),"Excellent",IF(AND(Table5[[#This Row],[Profit_Margin%]]&gt;=10%,Table5[[#This Row],[Profit_Margin%]]&lt;=20%),"Good","Needs Improvement"))</f>
        <v>Good</v>
      </c>
    </row>
    <row r="18" spans="1:4" x14ac:dyDescent="0.25">
      <c r="A18" s="64">
        <v>1443.36</v>
      </c>
      <c r="B18" s="2">
        <v>477.05</v>
      </c>
      <c r="C18" s="65">
        <f>Table5[[#This Row],[Profit]]/Table5[[#This Row],[Total_Sales]]</f>
        <v>0.33051352399955664</v>
      </c>
      <c r="D18" s="22" t="str">
        <f>IF(AND(Table5[[#This Row],[Profit_Margin%]]&gt;20%,Table5[[#This Row],[Total_Sales]]&gt;2000),"Excellent",IF(AND(Table5[[#This Row],[Profit_Margin%]]&gt;=10%,Table5[[#This Row],[Profit_Margin%]]&lt;=20%),"Good","Needs Improvement"))</f>
        <v>Needs Improvement</v>
      </c>
    </row>
    <row r="19" spans="1:4" x14ac:dyDescent="0.25">
      <c r="A19" s="64">
        <v>193.02</v>
      </c>
      <c r="B19" s="2">
        <v>58.57</v>
      </c>
      <c r="C19" s="65">
        <f>Table5[[#This Row],[Profit]]/Table5[[#This Row],[Total_Sales]]</f>
        <v>0.30344005802507512</v>
      </c>
      <c r="D19" s="22" t="str">
        <f>IF(AND(Table5[[#This Row],[Profit_Margin%]]&gt;20%,Table5[[#This Row],[Total_Sales]]&gt;2000),"Excellent",IF(AND(Table5[[#This Row],[Profit_Margin%]]&gt;=10%,Table5[[#This Row],[Profit_Margin%]]&lt;=20%),"Good","Needs Improvement"))</f>
        <v>Needs Improvement</v>
      </c>
    </row>
    <row r="20" spans="1:4" x14ac:dyDescent="0.25">
      <c r="A20" s="64">
        <v>893.18</v>
      </c>
      <c r="B20" s="2">
        <v>195.79</v>
      </c>
      <c r="C20" s="65">
        <f>Table5[[#This Row],[Profit]]/Table5[[#This Row],[Total_Sales]]</f>
        <v>0.21920553527844333</v>
      </c>
      <c r="D20" s="22" t="str">
        <f>IF(AND(Table5[[#This Row],[Profit_Margin%]]&gt;20%,Table5[[#This Row],[Total_Sales]]&gt;2000),"Excellent",IF(AND(Table5[[#This Row],[Profit_Margin%]]&gt;=10%,Table5[[#This Row],[Profit_Margin%]]&lt;=20%),"Good","Needs Improvement"))</f>
        <v>Needs Improvement</v>
      </c>
    </row>
    <row r="21" spans="1:4" x14ac:dyDescent="0.25">
      <c r="A21" s="64">
        <v>1475.76</v>
      </c>
      <c r="B21" s="2">
        <v>310.36</v>
      </c>
      <c r="C21" s="65">
        <f>Table5[[#This Row],[Profit]]/Table5[[#This Row],[Total_Sales]]</f>
        <v>0.21030519867729172</v>
      </c>
      <c r="D21" s="22" t="str">
        <f>IF(AND(Table5[[#This Row],[Profit_Margin%]]&gt;20%,Table5[[#This Row],[Total_Sales]]&gt;2000),"Excellent",IF(AND(Table5[[#This Row],[Profit_Margin%]]&gt;=10%,Table5[[#This Row],[Profit_Margin%]]&lt;=20%),"Good","Needs Improvement"))</f>
        <v>Needs Improvement</v>
      </c>
    </row>
    <row r="22" spans="1:4" x14ac:dyDescent="0.25">
      <c r="A22" s="64">
        <v>412.62</v>
      </c>
      <c r="B22" s="2">
        <v>155.44</v>
      </c>
      <c r="C22" s="65">
        <f>Table5[[#This Row],[Profit]]/Table5[[#This Row],[Total_Sales]]</f>
        <v>0.37671465270709126</v>
      </c>
      <c r="D22" s="22" t="str">
        <f>IF(AND(Table5[[#This Row],[Profit_Margin%]]&gt;20%,Table5[[#This Row],[Total_Sales]]&gt;2000),"Excellent",IF(AND(Table5[[#This Row],[Profit_Margin%]]&gt;=10%,Table5[[#This Row],[Profit_Margin%]]&lt;=20%),"Good","Needs Improvement"))</f>
        <v>Needs Improvement</v>
      </c>
    </row>
    <row r="23" spans="1:4" x14ac:dyDescent="0.25">
      <c r="A23" s="64">
        <v>111</v>
      </c>
      <c r="B23" s="2">
        <v>29.24</v>
      </c>
      <c r="C23" s="65">
        <f>Table5[[#This Row],[Profit]]/Table5[[#This Row],[Total_Sales]]</f>
        <v>0.2634234234234234</v>
      </c>
      <c r="D23" s="22" t="str">
        <f>IF(AND(Table5[[#This Row],[Profit_Margin%]]&gt;20%,Table5[[#This Row],[Total_Sales]]&gt;2000),"Excellent",IF(AND(Table5[[#This Row],[Profit_Margin%]]&gt;=10%,Table5[[#This Row],[Profit_Margin%]]&lt;=20%),"Good","Needs Improvement"))</f>
        <v>Needs Improvement</v>
      </c>
    </row>
    <row r="24" spans="1:4" x14ac:dyDescent="0.25">
      <c r="A24" s="64">
        <v>955.68</v>
      </c>
      <c r="B24" s="2">
        <v>164.11</v>
      </c>
      <c r="C24" s="65">
        <f>Table5[[#This Row],[Profit]]/Table5[[#This Row],[Total_Sales]]</f>
        <v>0.17172065963502431</v>
      </c>
      <c r="D24" s="22" t="str">
        <f>IF(AND(Table5[[#This Row],[Profit_Margin%]]&gt;20%,Table5[[#This Row],[Total_Sales]]&gt;2000),"Excellent",IF(AND(Table5[[#This Row],[Profit_Margin%]]&gt;=10%,Table5[[#This Row],[Profit_Margin%]]&lt;=20%),"Good","Needs Improvement"))</f>
        <v>Good</v>
      </c>
    </row>
    <row r="25" spans="1:4" x14ac:dyDescent="0.25">
      <c r="A25" s="64">
        <v>1085.6199999999999</v>
      </c>
      <c r="B25" s="2">
        <v>313.47000000000003</v>
      </c>
      <c r="C25" s="65">
        <f>Table5[[#This Row],[Profit]]/Table5[[#This Row],[Total_Sales]]</f>
        <v>0.2887474438569666</v>
      </c>
      <c r="D25" s="22" t="str">
        <f>IF(AND(Table5[[#This Row],[Profit_Margin%]]&gt;20%,Table5[[#This Row],[Total_Sales]]&gt;2000),"Excellent",IF(AND(Table5[[#This Row],[Profit_Margin%]]&gt;=10%,Table5[[#This Row],[Profit_Margin%]]&lt;=20%),"Good","Needs Improvement"))</f>
        <v>Needs Improvement</v>
      </c>
    </row>
    <row r="26" spans="1:4" x14ac:dyDescent="0.25">
      <c r="A26" s="64">
        <v>789.25</v>
      </c>
      <c r="B26" s="2">
        <v>232.78</v>
      </c>
      <c r="C26" s="65">
        <f>Table5[[#This Row],[Profit]]/Table5[[#This Row],[Total_Sales]]</f>
        <v>0.29493823249920809</v>
      </c>
      <c r="D26" s="22" t="str">
        <f>IF(AND(Table5[[#This Row],[Profit_Margin%]]&gt;20%,Table5[[#This Row],[Total_Sales]]&gt;2000),"Excellent",IF(AND(Table5[[#This Row],[Profit_Margin%]]&gt;=10%,Table5[[#This Row],[Profit_Margin%]]&lt;=20%),"Good","Needs Improvement"))</f>
        <v>Needs Improvement</v>
      </c>
    </row>
    <row r="27" spans="1:4" x14ac:dyDescent="0.25">
      <c r="A27" s="64">
        <v>379.12</v>
      </c>
      <c r="B27" s="2">
        <v>151</v>
      </c>
      <c r="C27" s="65">
        <f>Table5[[#This Row],[Profit]]/Table5[[#This Row],[Total_Sales]]</f>
        <v>0.39829077864528378</v>
      </c>
      <c r="D27" s="22" t="str">
        <f>IF(AND(Table5[[#This Row],[Profit_Margin%]]&gt;20%,Table5[[#This Row],[Total_Sales]]&gt;2000),"Excellent",IF(AND(Table5[[#This Row],[Profit_Margin%]]&gt;=10%,Table5[[#This Row],[Profit_Margin%]]&lt;=20%),"Good","Needs Improvement"))</f>
        <v>Needs Improvement</v>
      </c>
    </row>
    <row r="28" spans="1:4" x14ac:dyDescent="0.25">
      <c r="A28" s="64">
        <v>1377.48</v>
      </c>
      <c r="B28" s="2">
        <v>221.76</v>
      </c>
      <c r="C28" s="65">
        <f>Table5[[#This Row],[Profit]]/Table5[[#This Row],[Total_Sales]]</f>
        <v>0.16098963324331386</v>
      </c>
      <c r="D28" s="22" t="str">
        <f>IF(AND(Table5[[#This Row],[Profit_Margin%]]&gt;20%,Table5[[#This Row],[Total_Sales]]&gt;2000),"Excellent",IF(AND(Table5[[#This Row],[Profit_Margin%]]&gt;=10%,Table5[[#This Row],[Profit_Margin%]]&lt;=20%),"Good","Needs Improvement"))</f>
        <v>Good</v>
      </c>
    </row>
    <row r="29" spans="1:4" x14ac:dyDescent="0.25">
      <c r="A29" s="64">
        <v>237.78</v>
      </c>
      <c r="B29" s="2">
        <v>94.7</v>
      </c>
      <c r="C29" s="65">
        <f>Table5[[#This Row],[Profit]]/Table5[[#This Row],[Total_Sales]]</f>
        <v>0.39826730591302884</v>
      </c>
      <c r="D29" s="22" t="str">
        <f>IF(AND(Table5[[#This Row],[Profit_Margin%]]&gt;20%,Table5[[#This Row],[Total_Sales]]&gt;2000),"Excellent",IF(AND(Table5[[#This Row],[Profit_Margin%]]&gt;=10%,Table5[[#This Row],[Profit_Margin%]]&lt;=20%),"Good","Needs Improvement"))</f>
        <v>Needs Improvement</v>
      </c>
    </row>
    <row r="30" spans="1:4" x14ac:dyDescent="0.25">
      <c r="A30" s="64">
        <v>2462.4</v>
      </c>
      <c r="B30" s="2">
        <v>871.57</v>
      </c>
      <c r="C30" s="65">
        <f>Table5[[#This Row],[Profit]]/Table5[[#This Row],[Total_Sales]]</f>
        <v>0.35395142949967512</v>
      </c>
      <c r="D30" s="22" t="str">
        <f>IF(AND(Table5[[#This Row],[Profit_Margin%]]&gt;20%,Table5[[#This Row],[Total_Sales]]&gt;2000),"Excellent",IF(AND(Table5[[#This Row],[Profit_Margin%]]&gt;=10%,Table5[[#This Row],[Profit_Margin%]]&lt;=20%),"Good","Needs Improvement"))</f>
        <v>Excellent</v>
      </c>
    </row>
    <row r="31" spans="1:4" x14ac:dyDescent="0.25">
      <c r="A31" s="64">
        <v>44.98</v>
      </c>
      <c r="B31" s="2">
        <v>17.170000000000002</v>
      </c>
      <c r="C31" s="65">
        <f>Table5[[#This Row],[Profit]]/Table5[[#This Row],[Total_Sales]]</f>
        <v>0.38172521120498004</v>
      </c>
      <c r="D31" s="22" t="str">
        <f>IF(AND(Table5[[#This Row],[Profit_Margin%]]&gt;20%,Table5[[#This Row],[Total_Sales]]&gt;2000),"Excellent",IF(AND(Table5[[#This Row],[Profit_Margin%]]&gt;=10%,Table5[[#This Row],[Profit_Margin%]]&lt;=20%),"Good","Needs Improvement"))</f>
        <v>Needs Improvement</v>
      </c>
    </row>
    <row r="32" spans="1:4" x14ac:dyDescent="0.25">
      <c r="A32" s="64">
        <v>113.22</v>
      </c>
      <c r="B32" s="2">
        <v>25.18</v>
      </c>
      <c r="C32" s="65">
        <f>Table5[[#This Row],[Profit]]/Table5[[#This Row],[Total_Sales]]</f>
        <v>0.22239886945769299</v>
      </c>
      <c r="D32" s="22" t="str">
        <f>IF(AND(Table5[[#This Row],[Profit_Margin%]]&gt;20%,Table5[[#This Row],[Total_Sales]]&gt;2000),"Excellent",IF(AND(Table5[[#This Row],[Profit_Margin%]]&gt;=10%,Table5[[#This Row],[Profit_Margin%]]&lt;=20%),"Good","Needs Improvement"))</f>
        <v>Needs Improvement</v>
      </c>
    </row>
    <row r="33" spans="1:4" x14ac:dyDescent="0.25">
      <c r="A33" s="64">
        <v>477.6</v>
      </c>
      <c r="B33" s="2">
        <v>157.06</v>
      </c>
      <c r="C33" s="65">
        <f>Table5[[#This Row],[Profit]]/Table5[[#This Row],[Total_Sales]]</f>
        <v>0.32885259631490787</v>
      </c>
      <c r="D33" s="22" t="str">
        <f>IF(AND(Table5[[#This Row],[Profit_Margin%]]&gt;20%,Table5[[#This Row],[Total_Sales]]&gt;2000),"Excellent",IF(AND(Table5[[#This Row],[Profit_Margin%]]&gt;=10%,Table5[[#This Row],[Profit_Margin%]]&lt;=20%),"Good","Needs Improvement"))</f>
        <v>Needs Improvement</v>
      </c>
    </row>
    <row r="34" spans="1:4" x14ac:dyDescent="0.25">
      <c r="A34" s="64">
        <v>1123.98</v>
      </c>
      <c r="B34" s="2">
        <v>234.78</v>
      </c>
      <c r="C34" s="65">
        <f>Table5[[#This Row],[Profit]]/Table5[[#This Row],[Total_Sales]]</f>
        <v>0.20888272033310201</v>
      </c>
      <c r="D34" s="22" t="str">
        <f>IF(AND(Table5[[#This Row],[Profit_Margin%]]&gt;20%,Table5[[#This Row],[Total_Sales]]&gt;2000),"Excellent",IF(AND(Table5[[#This Row],[Profit_Margin%]]&gt;=10%,Table5[[#This Row],[Profit_Margin%]]&lt;=20%),"Good","Needs Improvement"))</f>
        <v>Needs Improvement</v>
      </c>
    </row>
    <row r="35" spans="1:4" x14ac:dyDescent="0.25">
      <c r="A35" s="64">
        <v>1127.78</v>
      </c>
      <c r="B35" s="2">
        <v>366.63</v>
      </c>
      <c r="C35" s="65">
        <f>Table5[[#This Row],[Profit]]/Table5[[#This Row],[Total_Sales]]</f>
        <v>0.32508999982266046</v>
      </c>
      <c r="D35" s="22" t="str">
        <f>IF(AND(Table5[[#This Row],[Profit_Margin%]]&gt;20%,Table5[[#This Row],[Total_Sales]]&gt;2000),"Excellent",IF(AND(Table5[[#This Row],[Profit_Margin%]]&gt;=10%,Table5[[#This Row],[Profit_Margin%]]&lt;=20%),"Good","Needs Improvement"))</f>
        <v>Needs Improvement</v>
      </c>
    </row>
    <row r="36" spans="1:4" x14ac:dyDescent="0.25">
      <c r="A36" s="64">
        <v>135.47999999999999</v>
      </c>
      <c r="B36" s="2">
        <v>28.89</v>
      </c>
      <c r="C36" s="65">
        <f>Table5[[#This Row],[Profit]]/Table5[[#This Row],[Total_Sales]]</f>
        <v>0.21324180690876884</v>
      </c>
      <c r="D36" s="22" t="str">
        <f>IF(AND(Table5[[#This Row],[Profit_Margin%]]&gt;20%,Table5[[#This Row],[Total_Sales]]&gt;2000),"Excellent",IF(AND(Table5[[#This Row],[Profit_Margin%]]&gt;=10%,Table5[[#This Row],[Profit_Margin%]]&lt;=20%),"Good","Needs Improvement"))</f>
        <v>Needs Improvement</v>
      </c>
    </row>
    <row r="37" spans="1:4" x14ac:dyDescent="0.25">
      <c r="A37" s="64">
        <v>646.5</v>
      </c>
      <c r="B37" s="2">
        <v>228.61</v>
      </c>
      <c r="C37" s="65">
        <f>Table5[[#This Row],[Profit]]/Table5[[#This Row],[Total_Sales]]</f>
        <v>0.35361175560711527</v>
      </c>
      <c r="D37" s="22" t="str">
        <f>IF(AND(Table5[[#This Row],[Profit_Margin%]]&gt;20%,Table5[[#This Row],[Total_Sales]]&gt;2000),"Excellent",IF(AND(Table5[[#This Row],[Profit_Margin%]]&gt;=10%,Table5[[#This Row],[Profit_Margin%]]&lt;=20%),"Good","Needs Improvement"))</f>
        <v>Needs Improvement</v>
      </c>
    </row>
    <row r="38" spans="1:4" x14ac:dyDescent="0.25">
      <c r="A38" s="64">
        <v>354.72</v>
      </c>
      <c r="B38" s="2">
        <v>63.32</v>
      </c>
      <c r="C38" s="65">
        <f>Table5[[#This Row],[Profit]]/Table5[[#This Row],[Total_Sales]]</f>
        <v>0.17850699142986015</v>
      </c>
      <c r="D38" s="22" t="str">
        <f>IF(AND(Table5[[#This Row],[Profit_Margin%]]&gt;20%,Table5[[#This Row],[Total_Sales]]&gt;2000),"Excellent",IF(AND(Table5[[#This Row],[Profit_Margin%]]&gt;=10%,Table5[[#This Row],[Profit_Margin%]]&lt;=20%),"Good","Needs Improvement"))</f>
        <v>Good</v>
      </c>
    </row>
    <row r="39" spans="1:4" x14ac:dyDescent="0.25">
      <c r="A39" s="64">
        <v>141.44</v>
      </c>
      <c r="B39" s="2">
        <v>32.78</v>
      </c>
      <c r="C39" s="65">
        <f>Table5[[#This Row],[Profit]]/Table5[[#This Row],[Total_Sales]]</f>
        <v>0.23175904977375567</v>
      </c>
      <c r="D39" s="22" t="str">
        <f>IF(AND(Table5[[#This Row],[Profit_Margin%]]&gt;20%,Table5[[#This Row],[Total_Sales]]&gt;2000),"Excellent",IF(AND(Table5[[#This Row],[Profit_Margin%]]&gt;=10%,Table5[[#This Row],[Profit_Margin%]]&lt;=20%),"Good","Needs Improvement"))</f>
        <v>Needs Improvement</v>
      </c>
    </row>
    <row r="40" spans="1:4" x14ac:dyDescent="0.25">
      <c r="A40" s="64">
        <v>879.76</v>
      </c>
      <c r="B40" s="2">
        <v>250.44</v>
      </c>
      <c r="C40" s="65">
        <f>Table5[[#This Row],[Profit]]/Table5[[#This Row],[Total_Sales]]</f>
        <v>0.28466854596708191</v>
      </c>
      <c r="D40" s="22" t="str">
        <f>IF(AND(Table5[[#This Row],[Profit_Margin%]]&gt;20%,Table5[[#This Row],[Total_Sales]]&gt;2000),"Excellent",IF(AND(Table5[[#This Row],[Profit_Margin%]]&gt;=10%,Table5[[#This Row],[Profit_Margin%]]&lt;=20%),"Good","Needs Improvement"))</f>
        <v>Needs Improvement</v>
      </c>
    </row>
    <row r="41" spans="1:4" x14ac:dyDescent="0.25">
      <c r="A41" s="64">
        <v>1929.2</v>
      </c>
      <c r="B41" s="2">
        <v>645.98</v>
      </c>
      <c r="C41" s="65">
        <f>Table5[[#This Row],[Profit]]/Table5[[#This Row],[Total_Sales]]</f>
        <v>0.3348434584283641</v>
      </c>
      <c r="D41" s="22" t="str">
        <f>IF(AND(Table5[[#This Row],[Profit_Margin%]]&gt;20%,Table5[[#This Row],[Total_Sales]]&gt;2000),"Excellent",IF(AND(Table5[[#This Row],[Profit_Margin%]]&gt;=10%,Table5[[#This Row],[Profit_Margin%]]&lt;=20%),"Good","Needs Improvement"))</f>
        <v>Needs Improvement</v>
      </c>
    </row>
    <row r="42" spans="1:4" x14ac:dyDescent="0.25">
      <c r="A42" s="64">
        <v>1391.54</v>
      </c>
      <c r="B42" s="2">
        <v>435.78</v>
      </c>
      <c r="C42" s="65">
        <f>Table5[[#This Row],[Profit]]/Table5[[#This Row],[Total_Sales]]</f>
        <v>0.31316383287580662</v>
      </c>
      <c r="D42" s="22" t="str">
        <f>IF(AND(Table5[[#This Row],[Profit_Margin%]]&gt;20%,Table5[[#This Row],[Total_Sales]]&gt;2000),"Excellent",IF(AND(Table5[[#This Row],[Profit_Margin%]]&gt;=10%,Table5[[#This Row],[Profit_Margin%]]&lt;=20%),"Good","Needs Improvement"))</f>
        <v>Needs Improvement</v>
      </c>
    </row>
    <row r="43" spans="1:4" x14ac:dyDescent="0.25">
      <c r="A43" s="64">
        <v>768.6</v>
      </c>
      <c r="B43" s="2">
        <v>258.52999999999997</v>
      </c>
      <c r="C43" s="65">
        <f>Table5[[#This Row],[Profit]]/Table5[[#This Row],[Total_Sales]]</f>
        <v>0.33636481915170435</v>
      </c>
      <c r="D43" s="22" t="str">
        <f>IF(AND(Table5[[#This Row],[Profit_Margin%]]&gt;20%,Table5[[#This Row],[Total_Sales]]&gt;2000),"Excellent",IF(AND(Table5[[#This Row],[Profit_Margin%]]&gt;=10%,Table5[[#This Row],[Profit_Margin%]]&lt;=20%),"Good","Needs Improvement"))</f>
        <v>Needs Improvement</v>
      </c>
    </row>
    <row r="44" spans="1:4" x14ac:dyDescent="0.25">
      <c r="A44" s="64">
        <v>806.61</v>
      </c>
      <c r="B44" s="2">
        <v>210.38</v>
      </c>
      <c r="C44" s="65">
        <f>Table5[[#This Row],[Profit]]/Table5[[#This Row],[Total_Sales]]</f>
        <v>0.26081997495691844</v>
      </c>
      <c r="D44" s="22" t="str">
        <f>IF(AND(Table5[[#This Row],[Profit_Margin%]]&gt;20%,Table5[[#This Row],[Total_Sales]]&gt;2000),"Excellent",IF(AND(Table5[[#This Row],[Profit_Margin%]]&gt;=10%,Table5[[#This Row],[Profit_Margin%]]&lt;=20%),"Good","Needs Improvement"))</f>
        <v>Needs Improvement</v>
      </c>
    </row>
    <row r="45" spans="1:4" x14ac:dyDescent="0.25">
      <c r="A45" s="64">
        <v>2500.4</v>
      </c>
      <c r="B45" s="2">
        <v>933.59</v>
      </c>
      <c r="C45" s="65">
        <f>Table5[[#This Row],[Profit]]/Table5[[#This Row],[Total_Sales]]</f>
        <v>0.37337625979843225</v>
      </c>
      <c r="D45" s="22" t="str">
        <f>IF(AND(Table5[[#This Row],[Profit_Margin%]]&gt;20%,Table5[[#This Row],[Total_Sales]]&gt;2000),"Excellent",IF(AND(Table5[[#This Row],[Profit_Margin%]]&gt;=10%,Table5[[#This Row],[Profit_Margin%]]&lt;=20%),"Good","Needs Improvement"))</f>
        <v>Excellent</v>
      </c>
    </row>
    <row r="46" spans="1:4" x14ac:dyDescent="0.25">
      <c r="A46" s="64">
        <v>286.55</v>
      </c>
      <c r="B46" s="2">
        <v>75.16</v>
      </c>
      <c r="C46" s="65">
        <f>Table5[[#This Row],[Profit]]/Table5[[#This Row],[Total_Sales]]</f>
        <v>0.26229279357878205</v>
      </c>
      <c r="D46" s="22" t="str">
        <f>IF(AND(Table5[[#This Row],[Profit_Margin%]]&gt;20%,Table5[[#This Row],[Total_Sales]]&gt;2000),"Excellent",IF(AND(Table5[[#This Row],[Profit_Margin%]]&gt;=10%,Table5[[#This Row],[Profit_Margin%]]&lt;=20%),"Good","Needs Improvement"))</f>
        <v>Needs Improvement</v>
      </c>
    </row>
    <row r="47" spans="1:4" x14ac:dyDescent="0.25">
      <c r="A47" s="64">
        <v>1226.82</v>
      </c>
      <c r="B47" s="2">
        <v>430.27</v>
      </c>
      <c r="C47" s="65">
        <f>Table5[[#This Row],[Profit]]/Table5[[#This Row],[Total_Sales]]</f>
        <v>0.35071974698814823</v>
      </c>
      <c r="D47" s="22" t="str">
        <f>IF(AND(Table5[[#This Row],[Profit_Margin%]]&gt;20%,Table5[[#This Row],[Total_Sales]]&gt;2000),"Excellent",IF(AND(Table5[[#This Row],[Profit_Margin%]]&gt;=10%,Table5[[#This Row],[Profit_Margin%]]&lt;=20%),"Good","Needs Improvement"))</f>
        <v>Needs Improvement</v>
      </c>
    </row>
    <row r="48" spans="1:4" x14ac:dyDescent="0.25">
      <c r="A48" s="64">
        <v>514.08000000000004</v>
      </c>
      <c r="B48" s="2">
        <v>155.34</v>
      </c>
      <c r="C48" s="65">
        <f>Table5[[#This Row],[Profit]]/Table5[[#This Row],[Total_Sales]]</f>
        <v>0.30217086834733892</v>
      </c>
      <c r="D48" s="22" t="str">
        <f>IF(AND(Table5[[#This Row],[Profit_Margin%]]&gt;20%,Table5[[#This Row],[Total_Sales]]&gt;2000),"Excellent",IF(AND(Table5[[#This Row],[Profit_Margin%]]&gt;=10%,Table5[[#This Row],[Profit_Margin%]]&lt;=20%),"Good","Needs Improvement"))</f>
        <v>Needs Improvement</v>
      </c>
    </row>
    <row r="49" spans="1:4" x14ac:dyDescent="0.25">
      <c r="A49" s="64">
        <v>556.02</v>
      </c>
      <c r="B49" s="2">
        <v>220.02</v>
      </c>
      <c r="C49" s="65">
        <f>Table5[[#This Row],[Profit]]/Table5[[#This Row],[Total_Sales]]</f>
        <v>0.39570519046077485</v>
      </c>
      <c r="D49" s="22" t="str">
        <f>IF(AND(Table5[[#This Row],[Profit_Margin%]]&gt;20%,Table5[[#This Row],[Total_Sales]]&gt;2000),"Excellent",IF(AND(Table5[[#This Row],[Profit_Margin%]]&gt;=10%,Table5[[#This Row],[Profit_Margin%]]&lt;=20%),"Good","Needs Improvement"))</f>
        <v>Needs Improvement</v>
      </c>
    </row>
    <row r="50" spans="1:4" x14ac:dyDescent="0.25">
      <c r="A50" s="64">
        <v>1100.6099999999999</v>
      </c>
      <c r="B50" s="2">
        <v>284.51</v>
      </c>
      <c r="C50" s="65">
        <f>Table5[[#This Row],[Profit]]/Table5[[#This Row],[Total_Sales]]</f>
        <v>0.25850210337903529</v>
      </c>
      <c r="D50" s="22" t="str">
        <f>IF(AND(Table5[[#This Row],[Profit_Margin%]]&gt;20%,Table5[[#This Row],[Total_Sales]]&gt;2000),"Excellent",IF(AND(Table5[[#This Row],[Profit_Margin%]]&gt;=10%,Table5[[#This Row],[Profit_Margin%]]&lt;=20%),"Good","Needs Improvement"))</f>
        <v>Needs Improvement</v>
      </c>
    </row>
    <row r="51" spans="1:4" x14ac:dyDescent="0.25">
      <c r="A51" s="64">
        <v>656.88</v>
      </c>
      <c r="B51" s="2">
        <v>167.02</v>
      </c>
      <c r="C51" s="65">
        <f>Table5[[#This Row],[Profit]]/Table5[[#This Row],[Total_Sales]]</f>
        <v>0.25426257459505541</v>
      </c>
      <c r="D51" s="22" t="str">
        <f>IF(AND(Table5[[#This Row],[Profit_Margin%]]&gt;20%,Table5[[#This Row],[Total_Sales]]&gt;2000),"Excellent",IF(AND(Table5[[#This Row],[Profit_Margin%]]&gt;=10%,Table5[[#This Row],[Profit_Margin%]]&lt;=20%),"Good","Needs Improvement"))</f>
        <v>Needs Improvement</v>
      </c>
    </row>
    <row r="52" spans="1:4" x14ac:dyDescent="0.25">
      <c r="A52" s="64">
        <v>1057.3900000000001</v>
      </c>
      <c r="B52" s="2">
        <v>248.17</v>
      </c>
      <c r="C52" s="65">
        <f>Table5[[#This Row],[Profit]]/Table5[[#This Row],[Total_Sales]]</f>
        <v>0.23470053622599038</v>
      </c>
      <c r="D52" s="22" t="str">
        <f>IF(AND(Table5[[#This Row],[Profit_Margin%]]&gt;20%,Table5[[#This Row],[Total_Sales]]&gt;2000),"Excellent",IF(AND(Table5[[#This Row],[Profit_Margin%]]&gt;=10%,Table5[[#This Row],[Profit_Margin%]]&lt;=20%),"Good","Needs Improvement"))</f>
        <v>Needs Improvement</v>
      </c>
    </row>
    <row r="53" spans="1:4" x14ac:dyDescent="0.25">
      <c r="A53" s="64">
        <v>1686.33</v>
      </c>
      <c r="B53" s="2">
        <v>458.21</v>
      </c>
      <c r="C53" s="65">
        <f>Table5[[#This Row],[Profit]]/Table5[[#This Row],[Total_Sales]]</f>
        <v>0.27172024455474314</v>
      </c>
      <c r="D53" s="22" t="str">
        <f>IF(AND(Table5[[#This Row],[Profit_Margin%]]&gt;20%,Table5[[#This Row],[Total_Sales]]&gt;2000),"Excellent",IF(AND(Table5[[#This Row],[Profit_Margin%]]&gt;=10%,Table5[[#This Row],[Profit_Margin%]]&lt;=20%),"Good","Needs Improvement"))</f>
        <v>Needs Improvement</v>
      </c>
    </row>
    <row r="54" spans="1:4" x14ac:dyDescent="0.25">
      <c r="A54" s="64">
        <v>1837.11</v>
      </c>
      <c r="B54" s="2">
        <v>372.79</v>
      </c>
      <c r="C54" s="65">
        <f>Table5[[#This Row],[Profit]]/Table5[[#This Row],[Total_Sales]]</f>
        <v>0.2029219807197174</v>
      </c>
      <c r="D54" s="22" t="str">
        <f>IF(AND(Table5[[#This Row],[Profit_Margin%]]&gt;20%,Table5[[#This Row],[Total_Sales]]&gt;2000),"Excellent",IF(AND(Table5[[#This Row],[Profit_Margin%]]&gt;=10%,Table5[[#This Row],[Profit_Margin%]]&lt;=20%),"Good","Needs Improvement"))</f>
        <v>Needs Improvement</v>
      </c>
    </row>
    <row r="55" spans="1:4" x14ac:dyDescent="0.25">
      <c r="A55" s="64">
        <v>915.66</v>
      </c>
      <c r="B55" s="2">
        <v>145.72999999999999</v>
      </c>
      <c r="C55" s="65">
        <f>Table5[[#This Row],[Profit]]/Table5[[#This Row],[Total_Sales]]</f>
        <v>0.15915296070593887</v>
      </c>
      <c r="D55" s="22" t="str">
        <f>IF(AND(Table5[[#This Row],[Profit_Margin%]]&gt;20%,Table5[[#This Row],[Total_Sales]]&gt;2000),"Excellent",IF(AND(Table5[[#This Row],[Profit_Margin%]]&gt;=10%,Table5[[#This Row],[Profit_Margin%]]&lt;=20%),"Good","Needs Improvement"))</f>
        <v>Good</v>
      </c>
    </row>
    <row r="56" spans="1:4" x14ac:dyDescent="0.25">
      <c r="A56" s="64">
        <v>373.8</v>
      </c>
      <c r="B56" s="2">
        <v>144.96</v>
      </c>
      <c r="C56" s="65">
        <f>Table5[[#This Row],[Profit]]/Table5[[#This Row],[Total_Sales]]</f>
        <v>0.38780096308186196</v>
      </c>
      <c r="D56" s="22" t="str">
        <f>IF(AND(Table5[[#This Row],[Profit_Margin%]]&gt;20%,Table5[[#This Row],[Total_Sales]]&gt;2000),"Excellent",IF(AND(Table5[[#This Row],[Profit_Margin%]]&gt;=10%,Table5[[#This Row],[Profit_Margin%]]&lt;=20%),"Good","Needs Improvement"))</f>
        <v>Needs Improvement</v>
      </c>
    </row>
    <row r="57" spans="1:4" x14ac:dyDescent="0.25">
      <c r="A57" s="64">
        <v>463.36</v>
      </c>
      <c r="B57" s="2">
        <v>139.71</v>
      </c>
      <c r="C57" s="65">
        <f>Table5[[#This Row],[Profit]]/Table5[[#This Row],[Total_Sales]]</f>
        <v>0.30151502071823205</v>
      </c>
      <c r="D57" s="22" t="str">
        <f>IF(AND(Table5[[#This Row],[Profit_Margin%]]&gt;20%,Table5[[#This Row],[Total_Sales]]&gt;2000),"Excellent",IF(AND(Table5[[#This Row],[Profit_Margin%]]&gt;=10%,Table5[[#This Row],[Profit_Margin%]]&lt;=20%),"Good","Needs Improvement"))</f>
        <v>Needs Improvement</v>
      </c>
    </row>
    <row r="58" spans="1:4" x14ac:dyDescent="0.25">
      <c r="A58" s="64">
        <v>1082.4100000000001</v>
      </c>
      <c r="B58" s="2">
        <v>186.29</v>
      </c>
      <c r="C58" s="65">
        <f>Table5[[#This Row],[Profit]]/Table5[[#This Row],[Total_Sales]]</f>
        <v>0.1721066878539555</v>
      </c>
      <c r="D58" s="22" t="str">
        <f>IF(AND(Table5[[#This Row],[Profit_Margin%]]&gt;20%,Table5[[#This Row],[Total_Sales]]&gt;2000),"Excellent",IF(AND(Table5[[#This Row],[Profit_Margin%]]&gt;=10%,Table5[[#This Row],[Profit_Margin%]]&lt;=20%),"Good","Needs Improvement"))</f>
        <v>Good</v>
      </c>
    </row>
    <row r="59" spans="1:4" x14ac:dyDescent="0.25">
      <c r="A59" s="64">
        <v>900.54</v>
      </c>
      <c r="B59" s="2">
        <v>202.1</v>
      </c>
      <c r="C59" s="65">
        <f>Table5[[#This Row],[Profit]]/Table5[[#This Row],[Total_Sales]]</f>
        <v>0.22442090301374731</v>
      </c>
      <c r="D59" s="22" t="str">
        <f>IF(AND(Table5[[#This Row],[Profit_Margin%]]&gt;20%,Table5[[#This Row],[Total_Sales]]&gt;2000),"Excellent",IF(AND(Table5[[#This Row],[Profit_Margin%]]&gt;=10%,Table5[[#This Row],[Profit_Margin%]]&lt;=20%),"Good","Needs Improvement"))</f>
        <v>Needs Improvement</v>
      </c>
    </row>
    <row r="60" spans="1:4" x14ac:dyDescent="0.25">
      <c r="A60" s="64">
        <v>1218.6600000000001</v>
      </c>
      <c r="B60" s="2">
        <v>214.17</v>
      </c>
      <c r="C60" s="65">
        <f>Table5[[#This Row],[Profit]]/Table5[[#This Row],[Total_Sales]]</f>
        <v>0.17574220865540838</v>
      </c>
      <c r="D60" s="22" t="str">
        <f>IF(AND(Table5[[#This Row],[Profit_Margin%]]&gt;20%,Table5[[#This Row],[Total_Sales]]&gt;2000),"Excellent",IF(AND(Table5[[#This Row],[Profit_Margin%]]&gt;=10%,Table5[[#This Row],[Profit_Margin%]]&lt;=20%),"Good","Needs Improvement"))</f>
        <v>Good</v>
      </c>
    </row>
    <row r="61" spans="1:4" x14ac:dyDescent="0.25">
      <c r="A61" s="64">
        <v>1172.08</v>
      </c>
      <c r="B61" s="2">
        <v>375.08</v>
      </c>
      <c r="C61" s="65">
        <f>Table5[[#This Row],[Profit]]/Table5[[#This Row],[Total_Sales]]</f>
        <v>0.32001228585079516</v>
      </c>
      <c r="D61" s="22" t="str">
        <f>IF(AND(Table5[[#This Row],[Profit_Margin%]]&gt;20%,Table5[[#This Row],[Total_Sales]]&gt;2000),"Excellent",IF(AND(Table5[[#This Row],[Profit_Margin%]]&gt;=10%,Table5[[#This Row],[Profit_Margin%]]&lt;=20%),"Good","Needs Improvement"))</f>
        <v>Needs Improvement</v>
      </c>
    </row>
    <row r="62" spans="1:4" x14ac:dyDescent="0.25">
      <c r="A62" s="64">
        <v>3247.6</v>
      </c>
      <c r="B62" s="2">
        <v>1240.69</v>
      </c>
      <c r="C62" s="65">
        <f>Table5[[#This Row],[Profit]]/Table5[[#This Row],[Total_Sales]]</f>
        <v>0.3820328858233773</v>
      </c>
      <c r="D62" s="22" t="str">
        <f>IF(AND(Table5[[#This Row],[Profit_Margin%]]&gt;20%,Table5[[#This Row],[Total_Sales]]&gt;2000),"Excellent",IF(AND(Table5[[#This Row],[Profit_Margin%]]&gt;=10%,Table5[[#This Row],[Profit_Margin%]]&lt;=20%),"Good","Needs Improvement"))</f>
        <v>Excellent</v>
      </c>
    </row>
    <row r="63" spans="1:4" x14ac:dyDescent="0.25">
      <c r="A63" s="64">
        <v>800.4</v>
      </c>
      <c r="B63" s="2">
        <v>144.11000000000001</v>
      </c>
      <c r="C63" s="65">
        <f>Table5[[#This Row],[Profit]]/Table5[[#This Row],[Total_Sales]]</f>
        <v>0.18004747626186909</v>
      </c>
      <c r="D63" s="22" t="str">
        <f>IF(AND(Table5[[#This Row],[Profit_Margin%]]&gt;20%,Table5[[#This Row],[Total_Sales]]&gt;2000),"Excellent",IF(AND(Table5[[#This Row],[Profit_Margin%]]&gt;=10%,Table5[[#This Row],[Profit_Margin%]]&lt;=20%),"Good","Needs Improvement"))</f>
        <v>Good</v>
      </c>
    </row>
    <row r="64" spans="1:4" x14ac:dyDescent="0.25">
      <c r="A64" s="64">
        <v>1673.28</v>
      </c>
      <c r="B64" s="2">
        <v>196.54</v>
      </c>
      <c r="C64" s="65">
        <f>Table5[[#This Row],[Profit]]/Table5[[#This Row],[Total_Sales]]</f>
        <v>0.11745792694587875</v>
      </c>
      <c r="D64" s="22" t="str">
        <f>IF(AND(Table5[[#This Row],[Profit_Margin%]]&gt;20%,Table5[[#This Row],[Total_Sales]]&gt;2000),"Excellent",IF(AND(Table5[[#This Row],[Profit_Margin%]]&gt;=10%,Table5[[#This Row],[Profit_Margin%]]&lt;=20%),"Good","Needs Improvement"))</f>
        <v>Good</v>
      </c>
    </row>
    <row r="65" spans="1:4" x14ac:dyDescent="0.25">
      <c r="A65" s="64">
        <v>1186.06</v>
      </c>
      <c r="B65" s="2">
        <v>341.73</v>
      </c>
      <c r="C65" s="65">
        <f>Table5[[#This Row],[Profit]]/Table5[[#This Row],[Total_Sales]]</f>
        <v>0.28812201743588017</v>
      </c>
      <c r="D65" s="22" t="str">
        <f>IF(AND(Table5[[#This Row],[Profit_Margin%]]&gt;20%,Table5[[#This Row],[Total_Sales]]&gt;2000),"Excellent",IF(AND(Table5[[#This Row],[Profit_Margin%]]&gt;=10%,Table5[[#This Row],[Profit_Margin%]]&lt;=20%),"Good","Needs Improvement"))</f>
        <v>Needs Improvement</v>
      </c>
    </row>
    <row r="66" spans="1:4" x14ac:dyDescent="0.25">
      <c r="A66" s="64">
        <v>46.18</v>
      </c>
      <c r="B66" s="2">
        <v>12.66</v>
      </c>
      <c r="C66" s="65">
        <f>Table5[[#This Row],[Profit]]/Table5[[#This Row],[Total_Sales]]</f>
        <v>0.27414465136422694</v>
      </c>
      <c r="D66" s="22" t="str">
        <f>IF(AND(Table5[[#This Row],[Profit_Margin%]]&gt;20%,Table5[[#This Row],[Total_Sales]]&gt;2000),"Excellent",IF(AND(Table5[[#This Row],[Profit_Margin%]]&gt;=10%,Table5[[#This Row],[Profit_Margin%]]&lt;=20%),"Good","Needs Improvement"))</f>
        <v>Needs Improvement</v>
      </c>
    </row>
    <row r="67" spans="1:4" x14ac:dyDescent="0.25">
      <c r="A67" s="64">
        <v>1872.4</v>
      </c>
      <c r="B67" s="2">
        <v>549.39</v>
      </c>
      <c r="C67" s="65">
        <f>Table5[[#This Row],[Profit]]/Table5[[#This Row],[Total_Sales]]</f>
        <v>0.29341486861781668</v>
      </c>
      <c r="D67" s="22" t="str">
        <f>IF(AND(Table5[[#This Row],[Profit_Margin%]]&gt;20%,Table5[[#This Row],[Total_Sales]]&gt;2000),"Excellent",IF(AND(Table5[[#This Row],[Profit_Margin%]]&gt;=10%,Table5[[#This Row],[Profit_Margin%]]&lt;=20%),"Good","Needs Improvement"))</f>
        <v>Needs Improvement</v>
      </c>
    </row>
    <row r="68" spans="1:4" x14ac:dyDescent="0.25">
      <c r="A68" s="64">
        <v>2451.4299999999998</v>
      </c>
      <c r="B68" s="2">
        <v>960.39</v>
      </c>
      <c r="C68" s="65">
        <f>Table5[[#This Row],[Profit]]/Table5[[#This Row],[Total_Sales]]</f>
        <v>0.39176725421488684</v>
      </c>
      <c r="D68" s="22" t="str">
        <f>IF(AND(Table5[[#This Row],[Profit_Margin%]]&gt;20%,Table5[[#This Row],[Total_Sales]]&gt;2000),"Excellent",IF(AND(Table5[[#This Row],[Profit_Margin%]]&gt;=10%,Table5[[#This Row],[Profit_Margin%]]&lt;=20%),"Good","Needs Improvement"))</f>
        <v>Excellent</v>
      </c>
    </row>
    <row r="69" spans="1:4" x14ac:dyDescent="0.25">
      <c r="A69" s="64">
        <v>333.45</v>
      </c>
      <c r="B69" s="2">
        <v>125.31</v>
      </c>
      <c r="C69" s="65">
        <f>Table5[[#This Row],[Profit]]/Table5[[#This Row],[Total_Sales]]</f>
        <v>0.37579847053531268</v>
      </c>
      <c r="D69" s="22" t="str">
        <f>IF(AND(Table5[[#This Row],[Profit_Margin%]]&gt;20%,Table5[[#This Row],[Total_Sales]]&gt;2000),"Excellent",IF(AND(Table5[[#This Row],[Profit_Margin%]]&gt;=10%,Table5[[#This Row],[Profit_Margin%]]&lt;=20%),"Good","Needs Improvement"))</f>
        <v>Needs Improvement</v>
      </c>
    </row>
    <row r="70" spans="1:4" x14ac:dyDescent="0.25">
      <c r="A70" s="64">
        <v>288.45</v>
      </c>
      <c r="B70" s="2">
        <v>35.729999999999997</v>
      </c>
      <c r="C70" s="65">
        <f>Table5[[#This Row],[Profit]]/Table5[[#This Row],[Total_Sales]]</f>
        <v>0.12386895475819032</v>
      </c>
      <c r="D70" s="22" t="str">
        <f>IF(AND(Table5[[#This Row],[Profit_Margin%]]&gt;20%,Table5[[#This Row],[Total_Sales]]&gt;2000),"Excellent",IF(AND(Table5[[#This Row],[Profit_Margin%]]&gt;=10%,Table5[[#This Row],[Profit_Margin%]]&lt;=20%),"Good","Needs Improvement"))</f>
        <v>Good</v>
      </c>
    </row>
    <row r="71" spans="1:4" x14ac:dyDescent="0.25">
      <c r="A71" s="64">
        <v>1548.36</v>
      </c>
      <c r="B71" s="2">
        <v>559.6</v>
      </c>
      <c r="C71" s="65">
        <f>Table5[[#This Row],[Profit]]/Table5[[#This Row],[Total_Sales]]</f>
        <v>0.36141465808984996</v>
      </c>
      <c r="D71" s="22" t="str">
        <f>IF(AND(Table5[[#This Row],[Profit_Margin%]]&gt;20%,Table5[[#This Row],[Total_Sales]]&gt;2000),"Excellent",IF(AND(Table5[[#This Row],[Profit_Margin%]]&gt;=10%,Table5[[#This Row],[Profit_Margin%]]&lt;=20%),"Good","Needs Improvement"))</f>
        <v>Needs Improvement</v>
      </c>
    </row>
    <row r="72" spans="1:4" x14ac:dyDescent="0.25">
      <c r="A72" s="64">
        <v>2108.04</v>
      </c>
      <c r="B72" s="2">
        <v>676.34</v>
      </c>
      <c r="C72" s="65">
        <f>Table5[[#This Row],[Profit]]/Table5[[#This Row],[Total_Sales]]</f>
        <v>0.32083831426348647</v>
      </c>
      <c r="D72" s="22" t="str">
        <f>IF(AND(Table5[[#This Row],[Profit_Margin%]]&gt;20%,Table5[[#This Row],[Total_Sales]]&gt;2000),"Excellent",IF(AND(Table5[[#This Row],[Profit_Margin%]]&gt;=10%,Table5[[#This Row],[Profit_Margin%]]&lt;=20%),"Good","Needs Improvement"))</f>
        <v>Excellent</v>
      </c>
    </row>
    <row r="73" spans="1:4" x14ac:dyDescent="0.25">
      <c r="A73" s="64">
        <v>989.82</v>
      </c>
      <c r="B73" s="2">
        <v>237</v>
      </c>
      <c r="C73" s="65">
        <f>Table5[[#This Row],[Profit]]/Table5[[#This Row],[Total_Sales]]</f>
        <v>0.23943747348002667</v>
      </c>
      <c r="D73" s="22" t="str">
        <f>IF(AND(Table5[[#This Row],[Profit_Margin%]]&gt;20%,Table5[[#This Row],[Total_Sales]]&gt;2000),"Excellent",IF(AND(Table5[[#This Row],[Profit_Margin%]]&gt;=10%,Table5[[#This Row],[Profit_Margin%]]&lt;=20%),"Good","Needs Improvement"))</f>
        <v>Needs Improvement</v>
      </c>
    </row>
    <row r="74" spans="1:4" x14ac:dyDescent="0.25">
      <c r="A74" s="64">
        <v>350.82</v>
      </c>
      <c r="B74" s="2">
        <v>100.26</v>
      </c>
      <c r="C74" s="65">
        <f>Table5[[#This Row],[Profit]]/Table5[[#This Row],[Total_Sales]]</f>
        <v>0.28578758337609034</v>
      </c>
      <c r="D74" s="22" t="str">
        <f>IF(AND(Table5[[#This Row],[Profit_Margin%]]&gt;20%,Table5[[#This Row],[Total_Sales]]&gt;2000),"Excellent",IF(AND(Table5[[#This Row],[Profit_Margin%]]&gt;=10%,Table5[[#This Row],[Profit_Margin%]]&lt;=20%),"Good","Needs Improvement"))</f>
        <v>Needs Improvement</v>
      </c>
    </row>
    <row r="75" spans="1:4" x14ac:dyDescent="0.25">
      <c r="A75" s="64">
        <v>502.04</v>
      </c>
      <c r="B75" s="2">
        <v>181.91</v>
      </c>
      <c r="C75" s="65">
        <f>Table5[[#This Row],[Profit]]/Table5[[#This Row],[Total_Sales]]</f>
        <v>0.36234164608397734</v>
      </c>
      <c r="D75" s="22" t="str">
        <f>IF(AND(Table5[[#This Row],[Profit_Margin%]]&gt;20%,Table5[[#This Row],[Total_Sales]]&gt;2000),"Excellent",IF(AND(Table5[[#This Row],[Profit_Margin%]]&gt;=10%,Table5[[#This Row],[Profit_Margin%]]&lt;=20%),"Good","Needs Improvement"))</f>
        <v>Needs Improvement</v>
      </c>
    </row>
    <row r="76" spans="1:4" x14ac:dyDescent="0.25">
      <c r="A76" s="64">
        <v>1047.1300000000001</v>
      </c>
      <c r="B76" s="2">
        <v>221.65</v>
      </c>
      <c r="C76" s="65">
        <f>Table5[[#This Row],[Profit]]/Table5[[#This Row],[Total_Sales]]</f>
        <v>0.21167381318460934</v>
      </c>
      <c r="D76" s="22" t="str">
        <f>IF(AND(Table5[[#This Row],[Profit_Margin%]]&gt;20%,Table5[[#This Row],[Total_Sales]]&gt;2000),"Excellent",IF(AND(Table5[[#This Row],[Profit_Margin%]]&gt;=10%,Table5[[#This Row],[Profit_Margin%]]&lt;=20%),"Good","Needs Improvement"))</f>
        <v>Needs Improvement</v>
      </c>
    </row>
    <row r="77" spans="1:4" x14ac:dyDescent="0.25">
      <c r="A77" s="64">
        <v>1031.94</v>
      </c>
      <c r="B77" s="2">
        <v>219.49</v>
      </c>
      <c r="C77" s="65">
        <f>Table5[[#This Row],[Profit]]/Table5[[#This Row],[Total_Sales]]</f>
        <v>0.2126964746012365</v>
      </c>
      <c r="D77" s="22" t="str">
        <f>IF(AND(Table5[[#This Row],[Profit_Margin%]]&gt;20%,Table5[[#This Row],[Total_Sales]]&gt;2000),"Excellent",IF(AND(Table5[[#This Row],[Profit_Margin%]]&gt;=10%,Table5[[#This Row],[Profit_Margin%]]&lt;=20%),"Good","Needs Improvement"))</f>
        <v>Needs Improvement</v>
      </c>
    </row>
    <row r="78" spans="1:4" x14ac:dyDescent="0.25">
      <c r="A78" s="64">
        <v>1108.3800000000001</v>
      </c>
      <c r="B78" s="2">
        <v>307.82</v>
      </c>
      <c r="C78" s="65">
        <f>Table5[[#This Row],[Profit]]/Table5[[#This Row],[Total_Sales]]</f>
        <v>0.27772063732654861</v>
      </c>
      <c r="D78" s="22" t="str">
        <f>IF(AND(Table5[[#This Row],[Profit_Margin%]]&gt;20%,Table5[[#This Row],[Total_Sales]]&gt;2000),"Excellent",IF(AND(Table5[[#This Row],[Profit_Margin%]]&gt;=10%,Table5[[#This Row],[Profit_Margin%]]&lt;=20%),"Good","Needs Improvement"))</f>
        <v>Needs Improvement</v>
      </c>
    </row>
    <row r="79" spans="1:4" x14ac:dyDescent="0.25">
      <c r="A79" s="64">
        <v>1486.5</v>
      </c>
      <c r="B79" s="2">
        <v>389.73</v>
      </c>
      <c r="C79" s="65">
        <f>Table5[[#This Row],[Profit]]/Table5[[#This Row],[Total_Sales]]</f>
        <v>0.26217961654894045</v>
      </c>
      <c r="D79" s="22" t="str">
        <f>IF(AND(Table5[[#This Row],[Profit_Margin%]]&gt;20%,Table5[[#This Row],[Total_Sales]]&gt;2000),"Excellent",IF(AND(Table5[[#This Row],[Profit_Margin%]]&gt;=10%,Table5[[#This Row],[Profit_Margin%]]&lt;=20%),"Good","Needs Improvement"))</f>
        <v>Needs Improvement</v>
      </c>
    </row>
    <row r="80" spans="1:4" x14ac:dyDescent="0.25">
      <c r="A80" s="64">
        <v>801.84</v>
      </c>
      <c r="B80" s="2">
        <v>153.79</v>
      </c>
      <c r="C80" s="65">
        <f>Table5[[#This Row],[Profit]]/Table5[[#This Row],[Total_Sales]]</f>
        <v>0.19179636835278857</v>
      </c>
      <c r="D80" s="22" t="str">
        <f>IF(AND(Table5[[#This Row],[Profit_Margin%]]&gt;20%,Table5[[#This Row],[Total_Sales]]&gt;2000),"Excellent",IF(AND(Table5[[#This Row],[Profit_Margin%]]&gt;=10%,Table5[[#This Row],[Profit_Margin%]]&lt;=20%),"Good","Needs Improvement"))</f>
        <v>Good</v>
      </c>
    </row>
    <row r="81" spans="1:4" x14ac:dyDescent="0.25">
      <c r="A81" s="64">
        <v>1169.28</v>
      </c>
      <c r="B81" s="2">
        <v>343.68</v>
      </c>
      <c r="C81" s="65">
        <f>Table5[[#This Row],[Profit]]/Table5[[#This Row],[Total_Sales]]</f>
        <v>0.29392446633825947</v>
      </c>
      <c r="D81" s="22" t="str">
        <f>IF(AND(Table5[[#This Row],[Profit_Margin%]]&gt;20%,Table5[[#This Row],[Total_Sales]]&gt;2000),"Excellent",IF(AND(Table5[[#This Row],[Profit_Margin%]]&gt;=10%,Table5[[#This Row],[Profit_Margin%]]&lt;=20%),"Good","Needs Improvement"))</f>
        <v>Needs Improvement</v>
      </c>
    </row>
    <row r="82" spans="1:4" x14ac:dyDescent="0.25">
      <c r="A82" s="64">
        <v>1118</v>
      </c>
      <c r="B82" s="2">
        <v>180.41</v>
      </c>
      <c r="C82" s="65">
        <f>Table5[[#This Row],[Profit]]/Table5[[#This Row],[Total_Sales]]</f>
        <v>0.16136851520572451</v>
      </c>
      <c r="D82" s="22" t="str">
        <f>IF(AND(Table5[[#This Row],[Profit_Margin%]]&gt;20%,Table5[[#This Row],[Total_Sales]]&gt;2000),"Excellent",IF(AND(Table5[[#This Row],[Profit_Margin%]]&gt;=10%,Table5[[#This Row],[Profit_Margin%]]&lt;=20%),"Good","Needs Improvement"))</f>
        <v>Good</v>
      </c>
    </row>
    <row r="83" spans="1:4" x14ac:dyDescent="0.25">
      <c r="A83" s="64">
        <v>843.99</v>
      </c>
      <c r="B83" s="2">
        <v>223.59</v>
      </c>
      <c r="C83" s="65">
        <f>Table5[[#This Row],[Profit]]/Table5[[#This Row],[Total_Sales]]</f>
        <v>0.26492020047630899</v>
      </c>
      <c r="D83" s="22" t="str">
        <f>IF(AND(Table5[[#This Row],[Profit_Margin%]]&gt;20%,Table5[[#This Row],[Total_Sales]]&gt;2000),"Excellent",IF(AND(Table5[[#This Row],[Profit_Margin%]]&gt;=10%,Table5[[#This Row],[Profit_Margin%]]&lt;=20%),"Good","Needs Improvement"))</f>
        <v>Needs Improvement</v>
      </c>
    </row>
    <row r="84" spans="1:4" x14ac:dyDescent="0.25">
      <c r="A84" s="64">
        <v>433.42</v>
      </c>
      <c r="B84" s="2">
        <v>69.13</v>
      </c>
      <c r="C84" s="65">
        <f>Table5[[#This Row],[Profit]]/Table5[[#This Row],[Total_Sales]]</f>
        <v>0.15949886945687783</v>
      </c>
      <c r="D84" s="22" t="str">
        <f>IF(AND(Table5[[#This Row],[Profit_Margin%]]&gt;20%,Table5[[#This Row],[Total_Sales]]&gt;2000),"Excellent",IF(AND(Table5[[#This Row],[Profit_Margin%]]&gt;=10%,Table5[[#This Row],[Profit_Margin%]]&lt;=20%),"Good","Needs Improvement"))</f>
        <v>Good</v>
      </c>
    </row>
    <row r="85" spans="1:4" x14ac:dyDescent="0.25">
      <c r="A85" s="64">
        <v>1115.8</v>
      </c>
      <c r="B85" s="2">
        <v>175.93</v>
      </c>
      <c r="C85" s="65">
        <f>Table5[[#This Row],[Profit]]/Table5[[#This Row],[Total_Sales]]</f>
        <v>0.15767162573937982</v>
      </c>
      <c r="D85" s="22" t="str">
        <f>IF(AND(Table5[[#This Row],[Profit_Margin%]]&gt;20%,Table5[[#This Row],[Total_Sales]]&gt;2000),"Excellent",IF(AND(Table5[[#This Row],[Profit_Margin%]]&gt;=10%,Table5[[#This Row],[Profit_Margin%]]&lt;=20%),"Good","Needs Improvement"))</f>
        <v>Good</v>
      </c>
    </row>
    <row r="86" spans="1:4" x14ac:dyDescent="0.25">
      <c r="A86" s="64">
        <v>750.59</v>
      </c>
      <c r="B86" s="2">
        <v>102.79</v>
      </c>
      <c r="C86" s="65">
        <f>Table5[[#This Row],[Profit]]/Table5[[#This Row],[Total_Sales]]</f>
        <v>0.13694560279246992</v>
      </c>
      <c r="D86" s="22" t="str">
        <f>IF(AND(Table5[[#This Row],[Profit_Margin%]]&gt;20%,Table5[[#This Row],[Total_Sales]]&gt;2000),"Excellent",IF(AND(Table5[[#This Row],[Profit_Margin%]]&gt;=10%,Table5[[#This Row],[Profit_Margin%]]&lt;=20%),"Good","Needs Improvement"))</f>
        <v>Good</v>
      </c>
    </row>
    <row r="87" spans="1:4" x14ac:dyDescent="0.25">
      <c r="A87" s="64">
        <v>1500.8</v>
      </c>
      <c r="B87" s="2">
        <v>312.25</v>
      </c>
      <c r="C87" s="65">
        <f>Table5[[#This Row],[Profit]]/Table5[[#This Row],[Total_Sales]]</f>
        <v>0.2080557036247335</v>
      </c>
      <c r="D87" s="22" t="str">
        <f>IF(AND(Table5[[#This Row],[Profit_Margin%]]&gt;20%,Table5[[#This Row],[Total_Sales]]&gt;2000),"Excellent",IF(AND(Table5[[#This Row],[Profit_Margin%]]&gt;=10%,Table5[[#This Row],[Profit_Margin%]]&lt;=20%),"Good","Needs Improvement"))</f>
        <v>Needs Improvement</v>
      </c>
    </row>
    <row r="88" spans="1:4" x14ac:dyDescent="0.25">
      <c r="A88" s="64">
        <v>1481.85</v>
      </c>
      <c r="B88" s="2">
        <v>400.25</v>
      </c>
      <c r="C88" s="65">
        <f>Table5[[#This Row],[Profit]]/Table5[[#This Row],[Total_Sales]]</f>
        <v>0.2701015622363937</v>
      </c>
      <c r="D88" s="22" t="str">
        <f>IF(AND(Table5[[#This Row],[Profit_Margin%]]&gt;20%,Table5[[#This Row],[Total_Sales]]&gt;2000),"Excellent",IF(AND(Table5[[#This Row],[Profit_Margin%]]&gt;=10%,Table5[[#This Row],[Profit_Margin%]]&lt;=20%),"Good","Needs Improvement"))</f>
        <v>Needs Improvement</v>
      </c>
    </row>
    <row r="89" spans="1:4" x14ac:dyDescent="0.25">
      <c r="A89" s="64">
        <v>1968.3</v>
      </c>
      <c r="B89" s="2">
        <v>312.75</v>
      </c>
      <c r="C89" s="65">
        <f>Table5[[#This Row],[Profit]]/Table5[[#This Row],[Total_Sales]]</f>
        <v>0.15889346136259716</v>
      </c>
      <c r="D89" s="22" t="str">
        <f>IF(AND(Table5[[#This Row],[Profit_Margin%]]&gt;20%,Table5[[#This Row],[Total_Sales]]&gt;2000),"Excellent",IF(AND(Table5[[#This Row],[Profit_Margin%]]&gt;=10%,Table5[[#This Row],[Profit_Margin%]]&lt;=20%),"Good","Needs Improvement"))</f>
        <v>Good</v>
      </c>
    </row>
    <row r="90" spans="1:4" x14ac:dyDescent="0.25">
      <c r="A90" s="64">
        <v>221.67</v>
      </c>
      <c r="B90" s="2">
        <v>68.64</v>
      </c>
      <c r="C90" s="65">
        <f>Table5[[#This Row],[Profit]]/Table5[[#This Row],[Total_Sales]]</f>
        <v>0.30964947895520373</v>
      </c>
      <c r="D90" s="22" t="str">
        <f>IF(AND(Table5[[#This Row],[Profit_Margin%]]&gt;20%,Table5[[#This Row],[Total_Sales]]&gt;2000),"Excellent",IF(AND(Table5[[#This Row],[Profit_Margin%]]&gt;=10%,Table5[[#This Row],[Profit_Margin%]]&lt;=20%),"Good","Needs Improvement"))</f>
        <v>Needs Improvement</v>
      </c>
    </row>
    <row r="91" spans="1:4" x14ac:dyDescent="0.25">
      <c r="A91" s="64">
        <v>130.74</v>
      </c>
      <c r="B91" s="2">
        <v>29.99</v>
      </c>
      <c r="C91" s="65">
        <f>Table5[[#This Row],[Profit]]/Table5[[#This Row],[Total_Sales]]</f>
        <v>0.22938656876242922</v>
      </c>
      <c r="D91" s="22" t="str">
        <f>IF(AND(Table5[[#This Row],[Profit_Margin%]]&gt;20%,Table5[[#This Row],[Total_Sales]]&gt;2000),"Excellent",IF(AND(Table5[[#This Row],[Profit_Margin%]]&gt;=10%,Table5[[#This Row],[Profit_Margin%]]&lt;=20%),"Good","Needs Improvement"))</f>
        <v>Needs Improvement</v>
      </c>
    </row>
    <row r="92" spans="1:4" x14ac:dyDescent="0.25">
      <c r="A92" s="64">
        <v>1343.89</v>
      </c>
      <c r="B92" s="2">
        <v>500.16</v>
      </c>
      <c r="C92" s="65">
        <f>Table5[[#This Row],[Profit]]/Table5[[#This Row],[Total_Sales]]</f>
        <v>0.37217331775666163</v>
      </c>
      <c r="D92" s="22" t="str">
        <f>IF(AND(Table5[[#This Row],[Profit_Margin%]]&gt;20%,Table5[[#This Row],[Total_Sales]]&gt;2000),"Excellent",IF(AND(Table5[[#This Row],[Profit_Margin%]]&gt;=10%,Table5[[#This Row],[Profit_Margin%]]&lt;=20%),"Good","Needs Improvement"))</f>
        <v>Needs Improvement</v>
      </c>
    </row>
    <row r="93" spans="1:4" x14ac:dyDescent="0.25">
      <c r="A93" s="64">
        <v>1274.1400000000001</v>
      </c>
      <c r="B93" s="2">
        <v>428.41</v>
      </c>
      <c r="C93" s="65">
        <f>Table5[[#This Row],[Profit]]/Table5[[#This Row],[Total_Sales]]</f>
        <v>0.33623463669612441</v>
      </c>
      <c r="D93" s="22" t="str">
        <f>IF(AND(Table5[[#This Row],[Profit_Margin%]]&gt;20%,Table5[[#This Row],[Total_Sales]]&gt;2000),"Excellent",IF(AND(Table5[[#This Row],[Profit_Margin%]]&gt;=10%,Table5[[#This Row],[Profit_Margin%]]&lt;=20%),"Good","Needs Improvement"))</f>
        <v>Needs Improvement</v>
      </c>
    </row>
    <row r="94" spans="1:4" x14ac:dyDescent="0.25">
      <c r="A94" s="64">
        <v>100.52</v>
      </c>
      <c r="B94" s="2">
        <v>22.92</v>
      </c>
      <c r="C94" s="65">
        <f>Table5[[#This Row],[Profit]]/Table5[[#This Row],[Total_Sales]]</f>
        <v>0.22801432550736175</v>
      </c>
      <c r="D94" s="22" t="str">
        <f>IF(AND(Table5[[#This Row],[Profit_Margin%]]&gt;20%,Table5[[#This Row],[Total_Sales]]&gt;2000),"Excellent",IF(AND(Table5[[#This Row],[Profit_Margin%]]&gt;=10%,Table5[[#This Row],[Profit_Margin%]]&lt;=20%),"Good","Needs Improvement"))</f>
        <v>Needs Improvement</v>
      </c>
    </row>
    <row r="95" spans="1:4" x14ac:dyDescent="0.25">
      <c r="A95" s="64">
        <v>502.84</v>
      </c>
      <c r="B95" s="2">
        <v>73.33</v>
      </c>
      <c r="C95" s="65">
        <f>Table5[[#This Row],[Profit]]/Table5[[#This Row],[Total_Sales]]</f>
        <v>0.14583167607986636</v>
      </c>
      <c r="D95" s="22" t="str">
        <f>IF(AND(Table5[[#This Row],[Profit_Margin%]]&gt;20%,Table5[[#This Row],[Total_Sales]]&gt;2000),"Excellent",IF(AND(Table5[[#This Row],[Profit_Margin%]]&gt;=10%,Table5[[#This Row],[Profit_Margin%]]&lt;=20%),"Good","Needs Improvement"))</f>
        <v>Good</v>
      </c>
    </row>
    <row r="96" spans="1:4" x14ac:dyDescent="0.25">
      <c r="A96" s="64">
        <v>931.06</v>
      </c>
      <c r="B96" s="2">
        <v>350</v>
      </c>
      <c r="C96" s="65">
        <f>Table5[[#This Row],[Profit]]/Table5[[#This Row],[Total_Sales]]</f>
        <v>0.37591562305329412</v>
      </c>
      <c r="D96" s="22" t="str">
        <f>IF(AND(Table5[[#This Row],[Profit_Margin%]]&gt;20%,Table5[[#This Row],[Total_Sales]]&gt;2000),"Excellent",IF(AND(Table5[[#This Row],[Profit_Margin%]]&gt;=10%,Table5[[#This Row],[Profit_Margin%]]&lt;=20%),"Good","Needs Improvement"))</f>
        <v>Needs Improvement</v>
      </c>
    </row>
    <row r="97" spans="1:4" x14ac:dyDescent="0.25">
      <c r="A97" s="64">
        <v>1677.9</v>
      </c>
      <c r="B97" s="2">
        <v>638.95000000000005</v>
      </c>
      <c r="C97" s="65">
        <f>Table5[[#This Row],[Profit]]/Table5[[#This Row],[Total_Sales]]</f>
        <v>0.38080338518386081</v>
      </c>
      <c r="D97" s="22" t="str">
        <f>IF(AND(Table5[[#This Row],[Profit_Margin%]]&gt;20%,Table5[[#This Row],[Total_Sales]]&gt;2000),"Excellent",IF(AND(Table5[[#This Row],[Profit_Margin%]]&gt;=10%,Table5[[#This Row],[Profit_Margin%]]&lt;=20%),"Good","Needs Improvement"))</f>
        <v>Needs Improvement</v>
      </c>
    </row>
    <row r="98" spans="1:4" x14ac:dyDescent="0.25">
      <c r="A98" s="64">
        <v>1899.24</v>
      </c>
      <c r="B98" s="2">
        <v>456.33</v>
      </c>
      <c r="C98" s="65">
        <f>Table5[[#This Row],[Profit]]/Table5[[#This Row],[Total_Sales]]</f>
        <v>0.24026979212737726</v>
      </c>
      <c r="D98" s="22" t="str">
        <f>IF(AND(Table5[[#This Row],[Profit_Margin%]]&gt;20%,Table5[[#This Row],[Total_Sales]]&gt;2000),"Excellent",IF(AND(Table5[[#This Row],[Profit_Margin%]]&gt;=10%,Table5[[#This Row],[Profit_Margin%]]&lt;=20%),"Good","Needs Improvement"))</f>
        <v>Needs Improvement</v>
      </c>
    </row>
    <row r="99" spans="1:4" x14ac:dyDescent="0.25">
      <c r="A99" s="64">
        <v>45.84</v>
      </c>
      <c r="B99" s="2">
        <v>16.579999999999998</v>
      </c>
      <c r="C99" s="65">
        <f>Table5[[#This Row],[Profit]]/Table5[[#This Row],[Total_Sales]]</f>
        <v>0.3616928446771378</v>
      </c>
      <c r="D99" s="22" t="str">
        <f>IF(AND(Table5[[#This Row],[Profit_Margin%]]&gt;20%,Table5[[#This Row],[Total_Sales]]&gt;2000),"Excellent",IF(AND(Table5[[#This Row],[Profit_Margin%]]&gt;=10%,Table5[[#This Row],[Profit_Margin%]]&lt;=20%),"Good","Needs Improvement"))</f>
        <v>Needs Improvement</v>
      </c>
    </row>
    <row r="100" spans="1:4" x14ac:dyDescent="0.25">
      <c r="A100" s="64">
        <v>1000.92</v>
      </c>
      <c r="B100" s="2">
        <v>269.04000000000002</v>
      </c>
      <c r="C100" s="65">
        <f>Table5[[#This Row],[Profit]]/Table5[[#This Row],[Total_Sales]]</f>
        <v>0.26879271070615035</v>
      </c>
      <c r="D100" s="22" t="str">
        <f>IF(AND(Table5[[#This Row],[Profit_Margin%]]&gt;20%,Table5[[#This Row],[Total_Sales]]&gt;2000),"Excellent",IF(AND(Table5[[#This Row],[Profit_Margin%]]&gt;=10%,Table5[[#This Row],[Profit_Margin%]]&lt;=20%),"Good","Needs Improvement"))</f>
        <v>Needs Improvement</v>
      </c>
    </row>
    <row r="101" spans="1:4" x14ac:dyDescent="0.25">
      <c r="A101" s="64">
        <v>1092.9000000000001</v>
      </c>
      <c r="B101" s="2">
        <v>280.93</v>
      </c>
      <c r="C101" s="65">
        <f>Table5[[#This Row],[Profit]]/Table5[[#This Row],[Total_Sales]]</f>
        <v>0.25705005032482386</v>
      </c>
      <c r="D101" s="22" t="str">
        <f>IF(AND(Table5[[#This Row],[Profit_Margin%]]&gt;20%,Table5[[#This Row],[Total_Sales]]&gt;2000),"Excellent",IF(AND(Table5[[#This Row],[Profit_Margin%]]&gt;=10%,Table5[[#This Row],[Profit_Margin%]]&lt;=20%),"Good","Needs Improvement"))</f>
        <v>Needs Improvement</v>
      </c>
    </row>
    <row r="102" spans="1:4" x14ac:dyDescent="0.25">
      <c r="A102" s="64">
        <v>200.43</v>
      </c>
      <c r="B102" s="2">
        <v>72.47</v>
      </c>
      <c r="C102" s="65">
        <f>Table5[[#This Row],[Profit]]/Table5[[#This Row],[Total_Sales]]</f>
        <v>0.36157261886943071</v>
      </c>
      <c r="D102" s="22" t="str">
        <f>IF(AND(Table5[[#This Row],[Profit_Margin%]]&gt;20%,Table5[[#This Row],[Total_Sales]]&gt;2000),"Excellent",IF(AND(Table5[[#This Row],[Profit_Margin%]]&gt;=10%,Table5[[#This Row],[Profit_Margin%]]&lt;=20%),"Good","Needs Improvement"))</f>
        <v>Needs Improvement</v>
      </c>
    </row>
    <row r="103" spans="1:4" x14ac:dyDescent="0.25">
      <c r="A103" s="64">
        <v>718.9</v>
      </c>
      <c r="B103" s="2">
        <v>269.64999999999998</v>
      </c>
      <c r="C103" s="65">
        <f>Table5[[#This Row],[Profit]]/Table5[[#This Row],[Total_Sales]]</f>
        <v>0.37508693837807761</v>
      </c>
      <c r="D103" s="22" t="str">
        <f>IF(AND(Table5[[#This Row],[Profit_Margin%]]&gt;20%,Table5[[#This Row],[Total_Sales]]&gt;2000),"Excellent",IF(AND(Table5[[#This Row],[Profit_Margin%]]&gt;=10%,Table5[[#This Row],[Profit_Margin%]]&lt;=20%),"Good","Needs Improvement"))</f>
        <v>Needs Improvement</v>
      </c>
    </row>
    <row r="104" spans="1:4" x14ac:dyDescent="0.25">
      <c r="A104" s="64">
        <v>516.35</v>
      </c>
      <c r="B104" s="2">
        <v>144.16999999999999</v>
      </c>
      <c r="C104" s="65">
        <f>Table5[[#This Row],[Profit]]/Table5[[#This Row],[Total_Sales]]</f>
        <v>0.2792098382879829</v>
      </c>
      <c r="D104" s="22" t="str">
        <f>IF(AND(Table5[[#This Row],[Profit_Margin%]]&gt;20%,Table5[[#This Row],[Total_Sales]]&gt;2000),"Excellent",IF(AND(Table5[[#This Row],[Profit_Margin%]]&gt;=10%,Table5[[#This Row],[Profit_Margin%]]&lt;=20%),"Good","Needs Improvement"))</f>
        <v>Needs Improvement</v>
      </c>
    </row>
    <row r="105" spans="1:4" x14ac:dyDescent="0.25">
      <c r="A105" s="64">
        <v>657.9</v>
      </c>
      <c r="B105" s="2">
        <v>168.24</v>
      </c>
      <c r="C105" s="65">
        <f>Table5[[#This Row],[Profit]]/Table5[[#This Row],[Total_Sales]]</f>
        <v>0.25572275421796625</v>
      </c>
      <c r="D105" s="22" t="str">
        <f>IF(AND(Table5[[#This Row],[Profit_Margin%]]&gt;20%,Table5[[#This Row],[Total_Sales]]&gt;2000),"Excellent",IF(AND(Table5[[#This Row],[Profit_Margin%]]&gt;=10%,Table5[[#This Row],[Profit_Margin%]]&lt;=20%),"Good","Needs Improvement"))</f>
        <v>Needs Improvement</v>
      </c>
    </row>
    <row r="106" spans="1:4" x14ac:dyDescent="0.25">
      <c r="A106" s="64">
        <v>942.56</v>
      </c>
      <c r="B106" s="2">
        <v>343.16</v>
      </c>
      <c r="C106" s="65">
        <f>Table5[[#This Row],[Profit]]/Table5[[#This Row],[Total_Sales]]</f>
        <v>0.36407231369886273</v>
      </c>
      <c r="D106" s="22" t="str">
        <f>IF(AND(Table5[[#This Row],[Profit_Margin%]]&gt;20%,Table5[[#This Row],[Total_Sales]]&gt;2000),"Excellent",IF(AND(Table5[[#This Row],[Profit_Margin%]]&gt;=10%,Table5[[#This Row],[Profit_Margin%]]&lt;=20%),"Good","Needs Improvement"))</f>
        <v>Needs Improvement</v>
      </c>
    </row>
    <row r="107" spans="1:4" x14ac:dyDescent="0.25">
      <c r="A107" s="64">
        <v>168.63</v>
      </c>
      <c r="B107" s="2">
        <v>41.07</v>
      </c>
      <c r="C107" s="65">
        <f>Table5[[#This Row],[Profit]]/Table5[[#This Row],[Total_Sales]]</f>
        <v>0.24355096957836686</v>
      </c>
      <c r="D107" s="22" t="str">
        <f>IF(AND(Table5[[#This Row],[Profit_Margin%]]&gt;20%,Table5[[#This Row],[Total_Sales]]&gt;2000),"Excellent",IF(AND(Table5[[#This Row],[Profit_Margin%]]&gt;=10%,Table5[[#This Row],[Profit_Margin%]]&lt;=20%),"Good","Needs Improvement"))</f>
        <v>Needs Improvement</v>
      </c>
    </row>
    <row r="108" spans="1:4" x14ac:dyDescent="0.25">
      <c r="A108" s="64">
        <v>509.52</v>
      </c>
      <c r="B108" s="2">
        <v>69.069999999999993</v>
      </c>
      <c r="C108" s="65">
        <f>Table5[[#This Row],[Profit]]/Table5[[#This Row],[Total_Sales]]</f>
        <v>0.13555895745014915</v>
      </c>
      <c r="D108" s="22" t="str">
        <f>IF(AND(Table5[[#This Row],[Profit_Margin%]]&gt;20%,Table5[[#This Row],[Total_Sales]]&gt;2000),"Excellent",IF(AND(Table5[[#This Row],[Profit_Margin%]]&gt;=10%,Table5[[#This Row],[Profit_Margin%]]&lt;=20%),"Good","Needs Improvement"))</f>
        <v>Good</v>
      </c>
    </row>
    <row r="109" spans="1:4" x14ac:dyDescent="0.25">
      <c r="A109" s="64">
        <v>1151</v>
      </c>
      <c r="B109" s="2">
        <v>306.7</v>
      </c>
      <c r="C109" s="65">
        <f>Table5[[#This Row],[Profit]]/Table5[[#This Row],[Total_Sales]]</f>
        <v>0.26646394439617721</v>
      </c>
      <c r="D109" s="22" t="str">
        <f>IF(AND(Table5[[#This Row],[Profit_Margin%]]&gt;20%,Table5[[#This Row],[Total_Sales]]&gt;2000),"Excellent",IF(AND(Table5[[#This Row],[Profit_Margin%]]&gt;=10%,Table5[[#This Row],[Profit_Margin%]]&lt;=20%),"Good","Needs Improvement"))</f>
        <v>Needs Improvement</v>
      </c>
    </row>
    <row r="110" spans="1:4" x14ac:dyDescent="0.25">
      <c r="A110" s="64">
        <v>136.08000000000001</v>
      </c>
      <c r="B110" s="2">
        <v>25.24</v>
      </c>
      <c r="C110" s="65">
        <f>Table5[[#This Row],[Profit]]/Table5[[#This Row],[Total_Sales]]</f>
        <v>0.18547912992357435</v>
      </c>
      <c r="D110" s="22" t="str">
        <f>IF(AND(Table5[[#This Row],[Profit_Margin%]]&gt;20%,Table5[[#This Row],[Total_Sales]]&gt;2000),"Excellent",IF(AND(Table5[[#This Row],[Profit_Margin%]]&gt;=10%,Table5[[#This Row],[Profit_Margin%]]&lt;=20%),"Good","Needs Improvement"))</f>
        <v>Good</v>
      </c>
    </row>
    <row r="111" spans="1:4" x14ac:dyDescent="0.25">
      <c r="A111" s="64">
        <v>423.52</v>
      </c>
      <c r="B111" s="2">
        <v>119.65</v>
      </c>
      <c r="C111" s="65">
        <f>Table5[[#This Row],[Profit]]/Table5[[#This Row],[Total_Sales]]</f>
        <v>0.28251322251605593</v>
      </c>
      <c r="D111" s="22" t="str">
        <f>IF(AND(Table5[[#This Row],[Profit_Margin%]]&gt;20%,Table5[[#This Row],[Total_Sales]]&gt;2000),"Excellent",IF(AND(Table5[[#This Row],[Profit_Margin%]]&gt;=10%,Table5[[#This Row],[Profit_Margin%]]&lt;=20%),"Good","Needs Improvement"))</f>
        <v>Needs Improvement</v>
      </c>
    </row>
    <row r="112" spans="1:4" x14ac:dyDescent="0.25">
      <c r="A112" s="64">
        <v>1381.76</v>
      </c>
      <c r="B112" s="2">
        <v>269.22000000000003</v>
      </c>
      <c r="C112" s="65">
        <f>Table5[[#This Row],[Profit]]/Table5[[#This Row],[Total_Sales]]</f>
        <v>0.19483846688281614</v>
      </c>
      <c r="D112" s="22" t="str">
        <f>IF(AND(Table5[[#This Row],[Profit_Margin%]]&gt;20%,Table5[[#This Row],[Total_Sales]]&gt;2000),"Excellent",IF(AND(Table5[[#This Row],[Profit_Margin%]]&gt;=10%,Table5[[#This Row],[Profit_Margin%]]&lt;=20%),"Good","Needs Improvement"))</f>
        <v>Good</v>
      </c>
    </row>
    <row r="113" spans="1:4" x14ac:dyDescent="0.25">
      <c r="A113" s="64">
        <v>546.65</v>
      </c>
      <c r="B113" s="2">
        <v>83.93</v>
      </c>
      <c r="C113" s="65">
        <f>Table5[[#This Row],[Profit]]/Table5[[#This Row],[Total_Sales]]</f>
        <v>0.153535168755145</v>
      </c>
      <c r="D113" s="22" t="str">
        <f>IF(AND(Table5[[#This Row],[Profit_Margin%]]&gt;20%,Table5[[#This Row],[Total_Sales]]&gt;2000),"Excellent",IF(AND(Table5[[#This Row],[Profit_Margin%]]&gt;=10%,Table5[[#This Row],[Profit_Margin%]]&lt;=20%),"Good","Needs Improvement"))</f>
        <v>Good</v>
      </c>
    </row>
    <row r="114" spans="1:4" x14ac:dyDescent="0.25">
      <c r="A114" s="64">
        <v>1030.4000000000001</v>
      </c>
      <c r="B114" s="2">
        <v>328.68</v>
      </c>
      <c r="C114" s="65">
        <f>Table5[[#This Row],[Profit]]/Table5[[#This Row],[Total_Sales]]</f>
        <v>0.31898291925465838</v>
      </c>
      <c r="D114" s="22" t="str">
        <f>IF(AND(Table5[[#This Row],[Profit_Margin%]]&gt;20%,Table5[[#This Row],[Total_Sales]]&gt;2000),"Excellent",IF(AND(Table5[[#This Row],[Profit_Margin%]]&gt;=10%,Table5[[#This Row],[Profit_Margin%]]&lt;=20%),"Good","Needs Improvement"))</f>
        <v>Needs Improvement</v>
      </c>
    </row>
    <row r="115" spans="1:4" x14ac:dyDescent="0.25">
      <c r="A115" s="64">
        <v>292.95</v>
      </c>
      <c r="B115" s="2">
        <v>53.3</v>
      </c>
      <c r="C115" s="65">
        <f>Table5[[#This Row],[Profit]]/Table5[[#This Row],[Total_Sales]]</f>
        <v>0.18194231097456903</v>
      </c>
      <c r="D115" s="22" t="str">
        <f>IF(AND(Table5[[#This Row],[Profit_Margin%]]&gt;20%,Table5[[#This Row],[Total_Sales]]&gt;2000),"Excellent",IF(AND(Table5[[#This Row],[Profit_Margin%]]&gt;=10%,Table5[[#This Row],[Profit_Margin%]]&lt;=20%),"Good","Needs Improvement"))</f>
        <v>Good</v>
      </c>
    </row>
    <row r="116" spans="1:4" x14ac:dyDescent="0.25">
      <c r="A116" s="64">
        <v>937.8</v>
      </c>
      <c r="B116" s="2">
        <v>185</v>
      </c>
      <c r="C116" s="65">
        <f>Table5[[#This Row],[Profit]]/Table5[[#This Row],[Total_Sales]]</f>
        <v>0.19727020686713587</v>
      </c>
      <c r="D116" s="22" t="str">
        <f>IF(AND(Table5[[#This Row],[Profit_Margin%]]&gt;20%,Table5[[#This Row],[Total_Sales]]&gt;2000),"Excellent",IF(AND(Table5[[#This Row],[Profit_Margin%]]&gt;=10%,Table5[[#This Row],[Profit_Margin%]]&lt;=20%),"Good","Needs Improvement"))</f>
        <v>Good</v>
      </c>
    </row>
    <row r="117" spans="1:4" x14ac:dyDescent="0.25">
      <c r="A117" s="64">
        <v>1235.52</v>
      </c>
      <c r="B117" s="2">
        <v>372.11</v>
      </c>
      <c r="C117" s="65">
        <f>Table5[[#This Row],[Profit]]/Table5[[#This Row],[Total_Sales]]</f>
        <v>0.30117683242683246</v>
      </c>
      <c r="D117" s="22" t="str">
        <f>IF(AND(Table5[[#This Row],[Profit_Margin%]]&gt;20%,Table5[[#This Row],[Total_Sales]]&gt;2000),"Excellent",IF(AND(Table5[[#This Row],[Profit_Margin%]]&gt;=10%,Table5[[#This Row],[Profit_Margin%]]&lt;=20%),"Good","Needs Improvement"))</f>
        <v>Needs Improvement</v>
      </c>
    </row>
    <row r="118" spans="1:4" x14ac:dyDescent="0.25">
      <c r="A118" s="64">
        <v>1002.44</v>
      </c>
      <c r="B118" s="2">
        <v>285.39</v>
      </c>
      <c r="C118" s="65">
        <f>Table5[[#This Row],[Profit]]/Table5[[#This Row],[Total_Sales]]</f>
        <v>0.28469534336219621</v>
      </c>
      <c r="D118" s="22" t="str">
        <f>IF(AND(Table5[[#This Row],[Profit_Margin%]]&gt;20%,Table5[[#This Row],[Total_Sales]]&gt;2000),"Excellent",IF(AND(Table5[[#This Row],[Profit_Margin%]]&gt;=10%,Table5[[#This Row],[Profit_Margin%]]&lt;=20%),"Good","Needs Improvement"))</f>
        <v>Needs Improvement</v>
      </c>
    </row>
    <row r="119" spans="1:4" x14ac:dyDescent="0.25">
      <c r="A119" s="64">
        <v>123.62</v>
      </c>
      <c r="B119" s="2">
        <v>27.42</v>
      </c>
      <c r="C119" s="65">
        <f>Table5[[#This Row],[Profit]]/Table5[[#This Row],[Total_Sales]]</f>
        <v>0.22180876880763631</v>
      </c>
      <c r="D119" s="22" t="str">
        <f>IF(AND(Table5[[#This Row],[Profit_Margin%]]&gt;20%,Table5[[#This Row],[Total_Sales]]&gt;2000),"Excellent",IF(AND(Table5[[#This Row],[Profit_Margin%]]&gt;=10%,Table5[[#This Row],[Profit_Margin%]]&lt;=20%),"Good","Needs Improvement"))</f>
        <v>Needs Improvement</v>
      </c>
    </row>
    <row r="120" spans="1:4" x14ac:dyDescent="0.25">
      <c r="A120" s="64">
        <v>1339</v>
      </c>
      <c r="B120" s="2">
        <v>336.91</v>
      </c>
      <c r="C120" s="65">
        <f>Table5[[#This Row],[Profit]]/Table5[[#This Row],[Total_Sales]]</f>
        <v>0.25161314413741598</v>
      </c>
      <c r="D120" s="22" t="str">
        <f>IF(AND(Table5[[#This Row],[Profit_Margin%]]&gt;20%,Table5[[#This Row],[Total_Sales]]&gt;2000),"Excellent",IF(AND(Table5[[#This Row],[Profit_Margin%]]&gt;=10%,Table5[[#This Row],[Profit_Margin%]]&lt;=20%),"Good","Needs Improvement"))</f>
        <v>Needs Improvement</v>
      </c>
    </row>
    <row r="121" spans="1:4" x14ac:dyDescent="0.25">
      <c r="A121" s="64">
        <v>675</v>
      </c>
      <c r="B121" s="2">
        <v>241.01</v>
      </c>
      <c r="C121" s="65">
        <f>Table5[[#This Row],[Profit]]/Table5[[#This Row],[Total_Sales]]</f>
        <v>0.35705185185185184</v>
      </c>
      <c r="D121" s="22" t="str">
        <f>IF(AND(Table5[[#This Row],[Profit_Margin%]]&gt;20%,Table5[[#This Row],[Total_Sales]]&gt;2000),"Excellent",IF(AND(Table5[[#This Row],[Profit_Margin%]]&gt;=10%,Table5[[#This Row],[Profit_Margin%]]&lt;=20%),"Good","Needs Improvement"))</f>
        <v>Needs Improvement</v>
      </c>
    </row>
    <row r="122" spans="1:4" x14ac:dyDescent="0.25">
      <c r="A122" s="64">
        <v>76</v>
      </c>
      <c r="B122" s="2">
        <v>21.22</v>
      </c>
      <c r="C122" s="65">
        <f>Table5[[#This Row],[Profit]]/Table5[[#This Row],[Total_Sales]]</f>
        <v>0.27921052631578946</v>
      </c>
      <c r="D122" s="22" t="str">
        <f>IF(AND(Table5[[#This Row],[Profit_Margin%]]&gt;20%,Table5[[#This Row],[Total_Sales]]&gt;2000),"Excellent",IF(AND(Table5[[#This Row],[Profit_Margin%]]&gt;=10%,Table5[[#This Row],[Profit_Margin%]]&lt;=20%),"Good","Needs Improvement"))</f>
        <v>Needs Improvement</v>
      </c>
    </row>
    <row r="123" spans="1:4" x14ac:dyDescent="0.25">
      <c r="A123" s="64">
        <v>639.12</v>
      </c>
      <c r="B123" s="2">
        <v>235.2</v>
      </c>
      <c r="C123" s="65">
        <f>Table5[[#This Row],[Profit]]/Table5[[#This Row],[Total_Sales]]</f>
        <v>0.36800600826135937</v>
      </c>
      <c r="D123" s="22" t="str">
        <f>IF(AND(Table5[[#This Row],[Profit_Margin%]]&gt;20%,Table5[[#This Row],[Total_Sales]]&gt;2000),"Excellent",IF(AND(Table5[[#This Row],[Profit_Margin%]]&gt;=10%,Table5[[#This Row],[Profit_Margin%]]&lt;=20%),"Good","Needs Improvement"))</f>
        <v>Needs Improvement</v>
      </c>
    </row>
    <row r="124" spans="1:4" x14ac:dyDescent="0.25">
      <c r="A124" s="64">
        <v>1121.6400000000001</v>
      </c>
      <c r="B124" s="2">
        <v>423.56</v>
      </c>
      <c r="C124" s="65">
        <f>Table5[[#This Row],[Profit]]/Table5[[#This Row],[Total_Sales]]</f>
        <v>0.37762561962840124</v>
      </c>
      <c r="D124" s="22" t="str">
        <f>IF(AND(Table5[[#This Row],[Profit_Margin%]]&gt;20%,Table5[[#This Row],[Total_Sales]]&gt;2000),"Excellent",IF(AND(Table5[[#This Row],[Profit_Margin%]]&gt;=10%,Table5[[#This Row],[Profit_Margin%]]&lt;=20%),"Good","Needs Improvement"))</f>
        <v>Needs Improvement</v>
      </c>
    </row>
    <row r="125" spans="1:4" x14ac:dyDescent="0.25">
      <c r="A125" s="64">
        <v>1170.3900000000001</v>
      </c>
      <c r="B125" s="2">
        <v>134.96</v>
      </c>
      <c r="C125" s="65">
        <f>Table5[[#This Row],[Profit]]/Table5[[#This Row],[Total_Sales]]</f>
        <v>0.11531199002042054</v>
      </c>
      <c r="D125" s="22" t="str">
        <f>IF(AND(Table5[[#This Row],[Profit_Margin%]]&gt;20%,Table5[[#This Row],[Total_Sales]]&gt;2000),"Excellent",IF(AND(Table5[[#This Row],[Profit_Margin%]]&gt;=10%,Table5[[#This Row],[Profit_Margin%]]&lt;=20%),"Good","Needs Improvement"))</f>
        <v>Good</v>
      </c>
    </row>
    <row r="126" spans="1:4" x14ac:dyDescent="0.25">
      <c r="A126" s="64">
        <v>156.55000000000001</v>
      </c>
      <c r="B126" s="2">
        <v>40.01</v>
      </c>
      <c r="C126" s="65">
        <f>Table5[[#This Row],[Profit]]/Table5[[#This Row],[Total_Sales]]</f>
        <v>0.25557329926541039</v>
      </c>
      <c r="D126" s="22" t="str">
        <f>IF(AND(Table5[[#This Row],[Profit_Margin%]]&gt;20%,Table5[[#This Row],[Total_Sales]]&gt;2000),"Excellent",IF(AND(Table5[[#This Row],[Profit_Margin%]]&gt;=10%,Table5[[#This Row],[Profit_Margin%]]&lt;=20%),"Good","Needs Improvement"))</f>
        <v>Needs Improvement</v>
      </c>
    </row>
    <row r="127" spans="1:4" x14ac:dyDescent="0.25">
      <c r="A127" s="64">
        <v>1551.9</v>
      </c>
      <c r="B127" s="2">
        <v>301.64</v>
      </c>
      <c r="C127" s="65">
        <f>Table5[[#This Row],[Profit]]/Table5[[#This Row],[Total_Sales]]</f>
        <v>0.19436819382692183</v>
      </c>
      <c r="D127" s="22" t="str">
        <f>IF(AND(Table5[[#This Row],[Profit_Margin%]]&gt;20%,Table5[[#This Row],[Total_Sales]]&gt;2000),"Excellent",IF(AND(Table5[[#This Row],[Profit_Margin%]]&gt;=10%,Table5[[#This Row],[Profit_Margin%]]&lt;=20%),"Good","Needs Improvement"))</f>
        <v>Good</v>
      </c>
    </row>
    <row r="128" spans="1:4" x14ac:dyDescent="0.25">
      <c r="A128" s="64">
        <v>2065.3200000000002</v>
      </c>
      <c r="B128" s="2">
        <v>530.98</v>
      </c>
      <c r="C128" s="65">
        <f>Table5[[#This Row],[Profit]]/Table5[[#This Row],[Total_Sales]]</f>
        <v>0.25709333178393662</v>
      </c>
      <c r="D128" s="22" t="str">
        <f>IF(AND(Table5[[#This Row],[Profit_Margin%]]&gt;20%,Table5[[#This Row],[Total_Sales]]&gt;2000),"Excellent",IF(AND(Table5[[#This Row],[Profit_Margin%]]&gt;=10%,Table5[[#This Row],[Profit_Margin%]]&lt;=20%),"Good","Needs Improvement"))</f>
        <v>Excellent</v>
      </c>
    </row>
    <row r="129" spans="1:4" x14ac:dyDescent="0.25">
      <c r="A129" s="64">
        <v>522.34</v>
      </c>
      <c r="B129" s="2">
        <v>120.97</v>
      </c>
      <c r="C129" s="65">
        <f>Table5[[#This Row],[Profit]]/Table5[[#This Row],[Total_Sales]]</f>
        <v>0.23159244936248419</v>
      </c>
      <c r="D129" s="22" t="str">
        <f>IF(AND(Table5[[#This Row],[Profit_Margin%]]&gt;20%,Table5[[#This Row],[Total_Sales]]&gt;2000),"Excellent",IF(AND(Table5[[#This Row],[Profit_Margin%]]&gt;=10%,Table5[[#This Row],[Profit_Margin%]]&lt;=20%),"Good","Needs Improvement"))</f>
        <v>Needs Improvement</v>
      </c>
    </row>
    <row r="130" spans="1:4" x14ac:dyDescent="0.25">
      <c r="A130" s="64">
        <v>1454.1</v>
      </c>
      <c r="B130" s="2">
        <v>203.02</v>
      </c>
      <c r="C130" s="65">
        <f>Table5[[#This Row],[Profit]]/Table5[[#This Row],[Total_Sales]]</f>
        <v>0.13961900832129842</v>
      </c>
      <c r="D130" s="22" t="str">
        <f>IF(AND(Table5[[#This Row],[Profit_Margin%]]&gt;20%,Table5[[#This Row],[Total_Sales]]&gt;2000),"Excellent",IF(AND(Table5[[#This Row],[Profit_Margin%]]&gt;=10%,Table5[[#This Row],[Profit_Margin%]]&lt;=20%),"Good","Needs Improvement"))</f>
        <v>Good</v>
      </c>
    </row>
    <row r="131" spans="1:4" x14ac:dyDescent="0.25">
      <c r="A131" s="64">
        <v>735.76</v>
      </c>
      <c r="B131" s="2">
        <v>140.80000000000001</v>
      </c>
      <c r="C131" s="65">
        <f>Table5[[#This Row],[Profit]]/Table5[[#This Row],[Total_Sales]]</f>
        <v>0.19136675002718279</v>
      </c>
      <c r="D131" s="22" t="str">
        <f>IF(AND(Table5[[#This Row],[Profit_Margin%]]&gt;20%,Table5[[#This Row],[Total_Sales]]&gt;2000),"Excellent",IF(AND(Table5[[#This Row],[Profit_Margin%]]&gt;=10%,Table5[[#This Row],[Profit_Margin%]]&lt;=20%),"Good","Needs Improvement"))</f>
        <v>Good</v>
      </c>
    </row>
    <row r="132" spans="1:4" x14ac:dyDescent="0.25">
      <c r="A132" s="64">
        <v>1381.38</v>
      </c>
      <c r="B132" s="2">
        <v>535.54</v>
      </c>
      <c r="C132" s="65">
        <f>Table5[[#This Row],[Profit]]/Table5[[#This Row],[Total_Sales]]</f>
        <v>0.38768477898912673</v>
      </c>
      <c r="D132" s="22" t="str">
        <f>IF(AND(Table5[[#This Row],[Profit_Margin%]]&gt;20%,Table5[[#This Row],[Total_Sales]]&gt;2000),"Excellent",IF(AND(Table5[[#This Row],[Profit_Margin%]]&gt;=10%,Table5[[#This Row],[Profit_Margin%]]&lt;=20%),"Good","Needs Improvement"))</f>
        <v>Needs Improvement</v>
      </c>
    </row>
    <row r="133" spans="1:4" x14ac:dyDescent="0.25">
      <c r="A133" s="64">
        <v>1305.48</v>
      </c>
      <c r="B133" s="2">
        <v>322.55</v>
      </c>
      <c r="C133" s="65">
        <f>Table5[[#This Row],[Profit]]/Table5[[#This Row],[Total_Sales]]</f>
        <v>0.24707387321138585</v>
      </c>
      <c r="D133" s="22" t="str">
        <f>IF(AND(Table5[[#This Row],[Profit_Margin%]]&gt;20%,Table5[[#This Row],[Total_Sales]]&gt;2000),"Excellent",IF(AND(Table5[[#This Row],[Profit_Margin%]]&gt;=10%,Table5[[#This Row],[Profit_Margin%]]&lt;=20%),"Good","Needs Improvement"))</f>
        <v>Needs Improvement</v>
      </c>
    </row>
    <row r="134" spans="1:4" x14ac:dyDescent="0.25">
      <c r="A134" s="64">
        <v>1322.86</v>
      </c>
      <c r="B134" s="2">
        <v>388.8</v>
      </c>
      <c r="C134" s="65">
        <f>Table5[[#This Row],[Profit]]/Table5[[#This Row],[Total_Sales]]</f>
        <v>0.2939086524651135</v>
      </c>
      <c r="D134" s="22" t="str">
        <f>IF(AND(Table5[[#This Row],[Profit_Margin%]]&gt;20%,Table5[[#This Row],[Total_Sales]]&gt;2000),"Excellent",IF(AND(Table5[[#This Row],[Profit_Margin%]]&gt;=10%,Table5[[#This Row],[Profit_Margin%]]&lt;=20%),"Good","Needs Improvement"))</f>
        <v>Needs Improvement</v>
      </c>
    </row>
    <row r="135" spans="1:4" x14ac:dyDescent="0.25">
      <c r="A135" s="64">
        <v>860.58</v>
      </c>
      <c r="B135" s="2">
        <v>298.57</v>
      </c>
      <c r="C135" s="65">
        <f>Table5[[#This Row],[Profit]]/Table5[[#This Row],[Total_Sales]]</f>
        <v>0.34694043552023052</v>
      </c>
      <c r="D135" s="22" t="str">
        <f>IF(AND(Table5[[#This Row],[Profit_Margin%]]&gt;20%,Table5[[#This Row],[Total_Sales]]&gt;2000),"Excellent",IF(AND(Table5[[#This Row],[Profit_Margin%]]&gt;=10%,Table5[[#This Row],[Profit_Margin%]]&lt;=20%),"Good","Needs Improvement"))</f>
        <v>Needs Improvement</v>
      </c>
    </row>
    <row r="136" spans="1:4" x14ac:dyDescent="0.25">
      <c r="A136" s="64">
        <v>1965.6</v>
      </c>
      <c r="B136" s="2">
        <v>375.26</v>
      </c>
      <c r="C136" s="65">
        <f>Table5[[#This Row],[Profit]]/Table5[[#This Row],[Total_Sales]]</f>
        <v>0.19091371591371592</v>
      </c>
      <c r="D136" s="22" t="str">
        <f>IF(AND(Table5[[#This Row],[Profit_Margin%]]&gt;20%,Table5[[#This Row],[Total_Sales]]&gt;2000),"Excellent",IF(AND(Table5[[#This Row],[Profit_Margin%]]&gt;=10%,Table5[[#This Row],[Profit_Margin%]]&lt;=20%),"Good","Needs Improvement"))</f>
        <v>Good</v>
      </c>
    </row>
    <row r="137" spans="1:4" x14ac:dyDescent="0.25">
      <c r="A137" s="64">
        <v>27.49</v>
      </c>
      <c r="B137" s="2">
        <v>11.36</v>
      </c>
      <c r="C137" s="65">
        <f>Table5[[#This Row],[Profit]]/Table5[[#This Row],[Total_Sales]]</f>
        <v>0.41324117861040377</v>
      </c>
      <c r="D137" s="22" t="str">
        <f>IF(AND(Table5[[#This Row],[Profit_Margin%]]&gt;20%,Table5[[#This Row],[Total_Sales]]&gt;2000),"Excellent",IF(AND(Table5[[#This Row],[Profit_Margin%]]&gt;=10%,Table5[[#This Row],[Profit_Margin%]]&lt;=20%),"Good","Needs Improvement"))</f>
        <v>Needs Improvement</v>
      </c>
    </row>
    <row r="138" spans="1:4" x14ac:dyDescent="0.25">
      <c r="A138" s="64">
        <v>2055.5</v>
      </c>
      <c r="B138" s="2">
        <v>359.89</v>
      </c>
      <c r="C138" s="65">
        <f>Table5[[#This Row],[Profit]]/Table5[[#This Row],[Total_Sales]]</f>
        <v>0.17508635368523473</v>
      </c>
      <c r="D138" s="22" t="str">
        <f>IF(AND(Table5[[#This Row],[Profit_Margin%]]&gt;20%,Table5[[#This Row],[Total_Sales]]&gt;2000),"Excellent",IF(AND(Table5[[#This Row],[Profit_Margin%]]&gt;=10%,Table5[[#This Row],[Profit_Margin%]]&lt;=20%),"Good","Needs Improvement"))</f>
        <v>Good</v>
      </c>
    </row>
    <row r="139" spans="1:4" x14ac:dyDescent="0.25">
      <c r="A139" s="64">
        <v>459.72</v>
      </c>
      <c r="B139" s="2">
        <v>153.69999999999999</v>
      </c>
      <c r="C139" s="65">
        <f>Table5[[#This Row],[Profit]]/Table5[[#This Row],[Total_Sales]]</f>
        <v>0.33433394239972153</v>
      </c>
      <c r="D139" s="22" t="str">
        <f>IF(AND(Table5[[#This Row],[Profit_Margin%]]&gt;20%,Table5[[#This Row],[Total_Sales]]&gt;2000),"Excellent",IF(AND(Table5[[#This Row],[Profit_Margin%]]&gt;=10%,Table5[[#This Row],[Profit_Margin%]]&lt;=20%),"Good","Needs Improvement"))</f>
        <v>Needs Improvement</v>
      </c>
    </row>
    <row r="140" spans="1:4" x14ac:dyDescent="0.25">
      <c r="A140" s="64">
        <v>190.08</v>
      </c>
      <c r="B140" s="2">
        <v>67.849999999999994</v>
      </c>
      <c r="C140" s="65">
        <f>Table5[[#This Row],[Profit]]/Table5[[#This Row],[Total_Sales]]</f>
        <v>0.35695496632996626</v>
      </c>
      <c r="D140" s="22" t="str">
        <f>IF(AND(Table5[[#This Row],[Profit_Margin%]]&gt;20%,Table5[[#This Row],[Total_Sales]]&gt;2000),"Excellent",IF(AND(Table5[[#This Row],[Profit_Margin%]]&gt;=10%,Table5[[#This Row],[Profit_Margin%]]&lt;=20%),"Good","Needs Improvement"))</f>
        <v>Needs Improvement</v>
      </c>
    </row>
    <row r="141" spans="1:4" x14ac:dyDescent="0.25">
      <c r="A141" s="64">
        <v>883.92</v>
      </c>
      <c r="B141" s="2">
        <v>125.77</v>
      </c>
      <c r="C141" s="65">
        <f>Table5[[#This Row],[Profit]]/Table5[[#This Row],[Total_Sales]]</f>
        <v>0.14228663227441399</v>
      </c>
      <c r="D141" s="22" t="str">
        <f>IF(AND(Table5[[#This Row],[Profit_Margin%]]&gt;20%,Table5[[#This Row],[Total_Sales]]&gt;2000),"Excellent",IF(AND(Table5[[#This Row],[Profit_Margin%]]&gt;=10%,Table5[[#This Row],[Profit_Margin%]]&lt;=20%),"Good","Needs Improvement"))</f>
        <v>Good</v>
      </c>
    </row>
    <row r="142" spans="1:4" x14ac:dyDescent="0.25">
      <c r="A142" s="64">
        <v>1360.53</v>
      </c>
      <c r="B142" s="2">
        <v>174.13</v>
      </c>
      <c r="C142" s="65">
        <f>Table5[[#This Row],[Profit]]/Table5[[#This Row],[Total_Sales]]</f>
        <v>0.12798688746297399</v>
      </c>
      <c r="D142" s="22" t="str">
        <f>IF(AND(Table5[[#This Row],[Profit_Margin%]]&gt;20%,Table5[[#This Row],[Total_Sales]]&gt;2000),"Excellent",IF(AND(Table5[[#This Row],[Profit_Margin%]]&gt;=10%,Table5[[#This Row],[Profit_Margin%]]&lt;=20%),"Good","Needs Improvement"))</f>
        <v>Good</v>
      </c>
    </row>
    <row r="143" spans="1:4" x14ac:dyDescent="0.25">
      <c r="A143" s="64">
        <v>1281.1199999999999</v>
      </c>
      <c r="B143" s="2">
        <v>376.26</v>
      </c>
      <c r="C143" s="65">
        <f>Table5[[#This Row],[Profit]]/Table5[[#This Row],[Total_Sales]]</f>
        <v>0.2936961408767329</v>
      </c>
      <c r="D143" s="22" t="str">
        <f>IF(AND(Table5[[#This Row],[Profit_Margin%]]&gt;20%,Table5[[#This Row],[Total_Sales]]&gt;2000),"Excellent",IF(AND(Table5[[#This Row],[Profit_Margin%]]&gt;=10%,Table5[[#This Row],[Profit_Margin%]]&lt;=20%),"Good","Needs Improvement"))</f>
        <v>Needs Improvement</v>
      </c>
    </row>
    <row r="144" spans="1:4" x14ac:dyDescent="0.25">
      <c r="A144" s="64">
        <v>117.96</v>
      </c>
      <c r="B144" s="2">
        <v>35.99</v>
      </c>
      <c r="C144" s="65">
        <f>Table5[[#This Row],[Profit]]/Table5[[#This Row],[Total_Sales]]</f>
        <v>0.3051034248897932</v>
      </c>
      <c r="D144" s="22" t="str">
        <f>IF(AND(Table5[[#This Row],[Profit_Margin%]]&gt;20%,Table5[[#This Row],[Total_Sales]]&gt;2000),"Excellent",IF(AND(Table5[[#This Row],[Profit_Margin%]]&gt;=10%,Table5[[#This Row],[Profit_Margin%]]&lt;=20%),"Good","Needs Improvement"))</f>
        <v>Needs Improvement</v>
      </c>
    </row>
    <row r="145" spans="1:4" x14ac:dyDescent="0.25">
      <c r="A145" s="64">
        <v>432</v>
      </c>
      <c r="B145" s="2">
        <v>103.32</v>
      </c>
      <c r="C145" s="65">
        <f>Table5[[#This Row],[Profit]]/Table5[[#This Row],[Total_Sales]]</f>
        <v>0.23916666666666664</v>
      </c>
      <c r="D145" s="22" t="str">
        <f>IF(AND(Table5[[#This Row],[Profit_Margin%]]&gt;20%,Table5[[#This Row],[Total_Sales]]&gt;2000),"Excellent",IF(AND(Table5[[#This Row],[Profit_Margin%]]&gt;=10%,Table5[[#This Row],[Profit_Margin%]]&lt;=20%),"Good","Needs Improvement"))</f>
        <v>Needs Improvement</v>
      </c>
    </row>
    <row r="146" spans="1:4" x14ac:dyDescent="0.25">
      <c r="A146" s="64">
        <v>182.15</v>
      </c>
      <c r="B146" s="2">
        <v>61.83</v>
      </c>
      <c r="C146" s="65">
        <f>Table5[[#This Row],[Profit]]/Table5[[#This Row],[Total_Sales]]</f>
        <v>0.33944551194070821</v>
      </c>
      <c r="D146" s="22" t="str">
        <f>IF(AND(Table5[[#This Row],[Profit_Margin%]]&gt;20%,Table5[[#This Row],[Total_Sales]]&gt;2000),"Excellent",IF(AND(Table5[[#This Row],[Profit_Margin%]]&gt;=10%,Table5[[#This Row],[Profit_Margin%]]&lt;=20%),"Good","Needs Improvement"))</f>
        <v>Needs Improvement</v>
      </c>
    </row>
    <row r="147" spans="1:4" x14ac:dyDescent="0.25">
      <c r="A147" s="64">
        <v>1036.53</v>
      </c>
      <c r="B147" s="2">
        <v>400.43</v>
      </c>
      <c r="C147" s="65">
        <f>Table5[[#This Row],[Profit]]/Table5[[#This Row],[Total_Sales]]</f>
        <v>0.38631781038657831</v>
      </c>
      <c r="D147" s="22" t="str">
        <f>IF(AND(Table5[[#This Row],[Profit_Margin%]]&gt;20%,Table5[[#This Row],[Total_Sales]]&gt;2000),"Excellent",IF(AND(Table5[[#This Row],[Profit_Margin%]]&gt;=10%,Table5[[#This Row],[Profit_Margin%]]&lt;=20%),"Good","Needs Improvement"))</f>
        <v>Needs Improvement</v>
      </c>
    </row>
    <row r="148" spans="1:4" x14ac:dyDescent="0.25">
      <c r="A148" s="64">
        <v>475</v>
      </c>
      <c r="B148" s="2">
        <v>179.05</v>
      </c>
      <c r="C148" s="65">
        <f>Table5[[#This Row],[Profit]]/Table5[[#This Row],[Total_Sales]]</f>
        <v>0.37694736842105264</v>
      </c>
      <c r="D148" s="22" t="str">
        <f>IF(AND(Table5[[#This Row],[Profit_Margin%]]&gt;20%,Table5[[#This Row],[Total_Sales]]&gt;2000),"Excellent",IF(AND(Table5[[#This Row],[Profit_Margin%]]&gt;=10%,Table5[[#This Row],[Profit_Margin%]]&lt;=20%),"Good","Needs Improvement"))</f>
        <v>Needs Improvement</v>
      </c>
    </row>
    <row r="149" spans="1:4" x14ac:dyDescent="0.25">
      <c r="A149" s="64">
        <v>2356.11</v>
      </c>
      <c r="B149" s="2">
        <v>685.89</v>
      </c>
      <c r="C149" s="65">
        <f>Table5[[#This Row],[Profit]]/Table5[[#This Row],[Total_Sales]]</f>
        <v>0.29111119599679131</v>
      </c>
      <c r="D149" s="22" t="str">
        <f>IF(AND(Table5[[#This Row],[Profit_Margin%]]&gt;20%,Table5[[#This Row],[Total_Sales]]&gt;2000),"Excellent",IF(AND(Table5[[#This Row],[Profit_Margin%]]&gt;=10%,Table5[[#This Row],[Profit_Margin%]]&lt;=20%),"Good","Needs Improvement"))</f>
        <v>Excellent</v>
      </c>
    </row>
    <row r="150" spans="1:4" x14ac:dyDescent="0.25">
      <c r="A150" s="64">
        <v>1985.75</v>
      </c>
      <c r="B150" s="2">
        <v>553</v>
      </c>
      <c r="C150" s="65">
        <f>Table5[[#This Row],[Profit]]/Table5[[#This Row],[Total_Sales]]</f>
        <v>0.27848419992446177</v>
      </c>
      <c r="D150" s="22" t="str">
        <f>IF(AND(Table5[[#This Row],[Profit_Margin%]]&gt;20%,Table5[[#This Row],[Total_Sales]]&gt;2000),"Excellent",IF(AND(Table5[[#This Row],[Profit_Margin%]]&gt;=10%,Table5[[#This Row],[Profit_Margin%]]&lt;=20%),"Good","Needs Improvement"))</f>
        <v>Needs Improvement</v>
      </c>
    </row>
    <row r="151" spans="1:4" x14ac:dyDescent="0.25">
      <c r="A151" s="64">
        <v>688.68</v>
      </c>
      <c r="B151" s="2">
        <v>219.9</v>
      </c>
      <c r="C151" s="65">
        <f>Table5[[#This Row],[Profit]]/Table5[[#This Row],[Total_Sales]]</f>
        <v>0.31930649939013767</v>
      </c>
      <c r="D151" s="22" t="str">
        <f>IF(AND(Table5[[#This Row],[Profit_Margin%]]&gt;20%,Table5[[#This Row],[Total_Sales]]&gt;2000),"Excellent",IF(AND(Table5[[#This Row],[Profit_Margin%]]&gt;=10%,Table5[[#This Row],[Profit_Margin%]]&lt;=20%),"Good","Needs Improvement"))</f>
        <v>Needs Improvement</v>
      </c>
    </row>
    <row r="152" spans="1:4" x14ac:dyDescent="0.25">
      <c r="A152" s="64">
        <v>1446.46</v>
      </c>
      <c r="B152" s="2">
        <v>469.22</v>
      </c>
      <c r="C152" s="65">
        <f>Table5[[#This Row],[Profit]]/Table5[[#This Row],[Total_Sales]]</f>
        <v>0.32439196382893409</v>
      </c>
      <c r="D152" s="22" t="str">
        <f>IF(AND(Table5[[#This Row],[Profit_Margin%]]&gt;20%,Table5[[#This Row],[Total_Sales]]&gt;2000),"Excellent",IF(AND(Table5[[#This Row],[Profit_Margin%]]&gt;=10%,Table5[[#This Row],[Profit_Margin%]]&lt;=20%),"Good","Needs Improvement"))</f>
        <v>Needs Improvement</v>
      </c>
    </row>
    <row r="153" spans="1:4" x14ac:dyDescent="0.25">
      <c r="A153" s="64">
        <v>2158.65</v>
      </c>
      <c r="B153" s="2">
        <v>736.55</v>
      </c>
      <c r="C153" s="65">
        <f>Table5[[#This Row],[Profit]]/Table5[[#This Row],[Total_Sales]]</f>
        <v>0.34120862576147126</v>
      </c>
      <c r="D153" s="22" t="str">
        <f>IF(AND(Table5[[#This Row],[Profit_Margin%]]&gt;20%,Table5[[#This Row],[Total_Sales]]&gt;2000),"Excellent",IF(AND(Table5[[#This Row],[Profit_Margin%]]&gt;=10%,Table5[[#This Row],[Profit_Margin%]]&lt;=20%),"Good","Needs Improvement"))</f>
        <v>Excellent</v>
      </c>
    </row>
    <row r="154" spans="1:4" x14ac:dyDescent="0.25">
      <c r="A154" s="64">
        <v>634.48</v>
      </c>
      <c r="B154" s="2">
        <v>114.93</v>
      </c>
      <c r="C154" s="65">
        <f>Table5[[#This Row],[Profit]]/Table5[[#This Row],[Total_Sales]]</f>
        <v>0.1811404614802673</v>
      </c>
      <c r="D154" s="22" t="str">
        <f>IF(AND(Table5[[#This Row],[Profit_Margin%]]&gt;20%,Table5[[#This Row],[Total_Sales]]&gt;2000),"Excellent",IF(AND(Table5[[#This Row],[Profit_Margin%]]&gt;=10%,Table5[[#This Row],[Profit_Margin%]]&lt;=20%),"Good","Needs Improvement"))</f>
        <v>Good</v>
      </c>
    </row>
    <row r="155" spans="1:4" x14ac:dyDescent="0.25">
      <c r="A155" s="64">
        <v>1203.3599999999999</v>
      </c>
      <c r="B155" s="2">
        <v>429.43</v>
      </c>
      <c r="C155" s="65">
        <f>Table5[[#This Row],[Profit]]/Table5[[#This Row],[Total_Sales]]</f>
        <v>0.35685912777556178</v>
      </c>
      <c r="D155" s="22" t="str">
        <f>IF(AND(Table5[[#This Row],[Profit_Margin%]]&gt;20%,Table5[[#This Row],[Total_Sales]]&gt;2000),"Excellent",IF(AND(Table5[[#This Row],[Profit_Margin%]]&gt;=10%,Table5[[#This Row],[Profit_Margin%]]&lt;=20%),"Good","Needs Improvement"))</f>
        <v>Needs Improvement</v>
      </c>
    </row>
    <row r="156" spans="1:4" x14ac:dyDescent="0.25">
      <c r="A156" s="64">
        <v>946.43</v>
      </c>
      <c r="B156" s="2">
        <v>316.27999999999997</v>
      </c>
      <c r="C156" s="65">
        <f>Table5[[#This Row],[Profit]]/Table5[[#This Row],[Total_Sales]]</f>
        <v>0.33418213708356664</v>
      </c>
      <c r="D156" s="22" t="str">
        <f>IF(AND(Table5[[#This Row],[Profit_Margin%]]&gt;20%,Table5[[#This Row],[Total_Sales]]&gt;2000),"Excellent",IF(AND(Table5[[#This Row],[Profit_Margin%]]&gt;=10%,Table5[[#This Row],[Profit_Margin%]]&lt;=20%),"Good","Needs Improvement"))</f>
        <v>Needs Improvement</v>
      </c>
    </row>
    <row r="157" spans="1:4" x14ac:dyDescent="0.25">
      <c r="A157" s="64">
        <v>1023</v>
      </c>
      <c r="B157" s="2">
        <v>216.56</v>
      </c>
      <c r="C157" s="65">
        <f>Table5[[#This Row],[Profit]]/Table5[[#This Row],[Total_Sales]]</f>
        <v>0.21169110459433041</v>
      </c>
      <c r="D157" s="22" t="str">
        <f>IF(AND(Table5[[#This Row],[Profit_Margin%]]&gt;20%,Table5[[#This Row],[Total_Sales]]&gt;2000),"Excellent",IF(AND(Table5[[#This Row],[Profit_Margin%]]&gt;=10%,Table5[[#This Row],[Profit_Margin%]]&lt;=20%),"Good","Needs Improvement"))</f>
        <v>Needs Improvement</v>
      </c>
    </row>
    <row r="158" spans="1:4" x14ac:dyDescent="0.25">
      <c r="A158" s="64">
        <v>667.52</v>
      </c>
      <c r="B158" s="2">
        <v>149.9</v>
      </c>
      <c r="C158" s="65">
        <f>Table5[[#This Row],[Profit]]/Table5[[#This Row],[Total_Sales]]</f>
        <v>0.22456255992329818</v>
      </c>
      <c r="D158" s="22" t="str">
        <f>IF(AND(Table5[[#This Row],[Profit_Margin%]]&gt;20%,Table5[[#This Row],[Total_Sales]]&gt;2000),"Excellent",IF(AND(Table5[[#This Row],[Profit_Margin%]]&gt;=10%,Table5[[#This Row],[Profit_Margin%]]&lt;=20%),"Good","Needs Improvement"))</f>
        <v>Needs Improvement</v>
      </c>
    </row>
    <row r="159" spans="1:4" x14ac:dyDescent="0.25">
      <c r="A159" s="64">
        <v>442.98</v>
      </c>
      <c r="B159" s="2">
        <v>55.99</v>
      </c>
      <c r="C159" s="65">
        <f>Table5[[#This Row],[Profit]]/Table5[[#This Row],[Total_Sales]]</f>
        <v>0.12639396812497178</v>
      </c>
      <c r="D159" s="22" t="str">
        <f>IF(AND(Table5[[#This Row],[Profit_Margin%]]&gt;20%,Table5[[#This Row],[Total_Sales]]&gt;2000),"Excellent",IF(AND(Table5[[#This Row],[Profit_Margin%]]&gt;=10%,Table5[[#This Row],[Profit_Margin%]]&lt;=20%),"Good","Needs Improvement"))</f>
        <v>Good</v>
      </c>
    </row>
    <row r="160" spans="1:4" x14ac:dyDescent="0.25">
      <c r="A160" s="64">
        <v>1166.94</v>
      </c>
      <c r="B160" s="2">
        <v>412.66</v>
      </c>
      <c r="C160" s="65">
        <f>Table5[[#This Row],[Profit]]/Table5[[#This Row],[Total_Sales]]</f>
        <v>0.35362572197370901</v>
      </c>
      <c r="D160" s="22" t="str">
        <f>IF(AND(Table5[[#This Row],[Profit_Margin%]]&gt;20%,Table5[[#This Row],[Total_Sales]]&gt;2000),"Excellent",IF(AND(Table5[[#This Row],[Profit_Margin%]]&gt;=10%,Table5[[#This Row],[Profit_Margin%]]&lt;=20%),"Good","Needs Improvement"))</f>
        <v>Needs Improvement</v>
      </c>
    </row>
    <row r="161" spans="1:4" x14ac:dyDescent="0.25">
      <c r="A161" s="64">
        <v>1446.48</v>
      </c>
      <c r="B161" s="2">
        <v>361.78</v>
      </c>
      <c r="C161" s="65">
        <f>Table5[[#This Row],[Profit]]/Table5[[#This Row],[Total_Sales]]</f>
        <v>0.25011061335103146</v>
      </c>
      <c r="D161" s="22" t="str">
        <f>IF(AND(Table5[[#This Row],[Profit_Margin%]]&gt;20%,Table5[[#This Row],[Total_Sales]]&gt;2000),"Excellent",IF(AND(Table5[[#This Row],[Profit_Margin%]]&gt;=10%,Table5[[#This Row],[Profit_Margin%]]&lt;=20%),"Good","Needs Improvement"))</f>
        <v>Needs Improvement</v>
      </c>
    </row>
    <row r="162" spans="1:4" x14ac:dyDescent="0.25">
      <c r="A162" s="64">
        <v>267.3</v>
      </c>
      <c r="B162" s="2">
        <v>57.09</v>
      </c>
      <c r="C162" s="65">
        <f>Table5[[#This Row],[Profit]]/Table5[[#This Row],[Total_Sales]]</f>
        <v>0.21358024691358024</v>
      </c>
      <c r="D162" s="22" t="str">
        <f>IF(AND(Table5[[#This Row],[Profit_Margin%]]&gt;20%,Table5[[#This Row],[Total_Sales]]&gt;2000),"Excellent",IF(AND(Table5[[#This Row],[Profit_Margin%]]&gt;=10%,Table5[[#This Row],[Profit_Margin%]]&lt;=20%),"Good","Needs Improvement"))</f>
        <v>Needs Improvement</v>
      </c>
    </row>
    <row r="163" spans="1:4" x14ac:dyDescent="0.25">
      <c r="A163" s="64">
        <v>544.5</v>
      </c>
      <c r="B163" s="2">
        <v>207.91</v>
      </c>
      <c r="C163" s="65">
        <f>Table5[[#This Row],[Profit]]/Table5[[#This Row],[Total_Sales]]</f>
        <v>0.38183654729109273</v>
      </c>
      <c r="D163" s="22" t="str">
        <f>IF(AND(Table5[[#This Row],[Profit_Margin%]]&gt;20%,Table5[[#This Row],[Total_Sales]]&gt;2000),"Excellent",IF(AND(Table5[[#This Row],[Profit_Margin%]]&gt;=10%,Table5[[#This Row],[Profit_Margin%]]&lt;=20%),"Good","Needs Improvement"))</f>
        <v>Needs Improvement</v>
      </c>
    </row>
    <row r="164" spans="1:4" x14ac:dyDescent="0.25">
      <c r="A164" s="64">
        <v>1382.76</v>
      </c>
      <c r="B164" s="2">
        <v>477.59</v>
      </c>
      <c r="C164" s="65">
        <f>Table5[[#This Row],[Profit]]/Table5[[#This Row],[Total_Sales]]</f>
        <v>0.34538893228036677</v>
      </c>
      <c r="D164" s="22" t="str">
        <f>IF(AND(Table5[[#This Row],[Profit_Margin%]]&gt;20%,Table5[[#This Row],[Total_Sales]]&gt;2000),"Excellent",IF(AND(Table5[[#This Row],[Profit_Margin%]]&gt;=10%,Table5[[#This Row],[Profit_Margin%]]&lt;=20%),"Good","Needs Improvement"))</f>
        <v>Needs Improvement</v>
      </c>
    </row>
    <row r="165" spans="1:4" x14ac:dyDescent="0.25">
      <c r="A165" s="64">
        <v>538</v>
      </c>
      <c r="B165" s="2">
        <v>123.77</v>
      </c>
      <c r="C165" s="65">
        <f>Table5[[#This Row],[Profit]]/Table5[[#This Row],[Total_Sales]]</f>
        <v>0.23005576208178438</v>
      </c>
      <c r="D165" s="22" t="str">
        <f>IF(AND(Table5[[#This Row],[Profit_Margin%]]&gt;20%,Table5[[#This Row],[Total_Sales]]&gt;2000),"Excellent",IF(AND(Table5[[#This Row],[Profit_Margin%]]&gt;=10%,Table5[[#This Row],[Profit_Margin%]]&lt;=20%),"Good","Needs Improvement"))</f>
        <v>Needs Improvement</v>
      </c>
    </row>
    <row r="166" spans="1:4" x14ac:dyDescent="0.25">
      <c r="A166" s="64">
        <v>131.25</v>
      </c>
      <c r="B166" s="2">
        <v>37.9</v>
      </c>
      <c r="C166" s="65">
        <f>Table5[[#This Row],[Profit]]/Table5[[#This Row],[Total_Sales]]</f>
        <v>0.28876190476190478</v>
      </c>
      <c r="D166" s="22" t="str">
        <f>IF(AND(Table5[[#This Row],[Profit_Margin%]]&gt;20%,Table5[[#This Row],[Total_Sales]]&gt;2000),"Excellent",IF(AND(Table5[[#This Row],[Profit_Margin%]]&gt;=10%,Table5[[#This Row],[Profit_Margin%]]&lt;=20%),"Good","Needs Improvement"))</f>
        <v>Needs Improvement</v>
      </c>
    </row>
    <row r="167" spans="1:4" x14ac:dyDescent="0.25">
      <c r="A167" s="64">
        <v>314.8</v>
      </c>
      <c r="B167" s="2">
        <v>54.57</v>
      </c>
      <c r="C167" s="65">
        <f>Table5[[#This Row],[Profit]]/Table5[[#This Row],[Total_Sales]]</f>
        <v>0.17334815756035576</v>
      </c>
      <c r="D167" s="22" t="str">
        <f>IF(AND(Table5[[#This Row],[Profit_Margin%]]&gt;20%,Table5[[#This Row],[Total_Sales]]&gt;2000),"Excellent",IF(AND(Table5[[#This Row],[Profit_Margin%]]&gt;=10%,Table5[[#This Row],[Profit_Margin%]]&lt;=20%),"Good","Needs Improvement"))</f>
        <v>Good</v>
      </c>
    </row>
    <row r="168" spans="1:4" x14ac:dyDescent="0.25">
      <c r="A168" s="64">
        <v>649.11</v>
      </c>
      <c r="B168" s="2">
        <v>190.69</v>
      </c>
      <c r="C168" s="65">
        <f>Table5[[#This Row],[Profit]]/Table5[[#This Row],[Total_Sales]]</f>
        <v>0.29377147170741474</v>
      </c>
      <c r="D168" s="22" t="str">
        <f>IF(AND(Table5[[#This Row],[Profit_Margin%]]&gt;20%,Table5[[#This Row],[Total_Sales]]&gt;2000),"Excellent",IF(AND(Table5[[#This Row],[Profit_Margin%]]&gt;=10%,Table5[[#This Row],[Profit_Margin%]]&lt;=20%),"Good","Needs Improvement"))</f>
        <v>Needs Improvement</v>
      </c>
    </row>
    <row r="169" spans="1:4" x14ac:dyDescent="0.25">
      <c r="A169" s="64">
        <v>535.63</v>
      </c>
      <c r="B169" s="2">
        <v>152.66999999999999</v>
      </c>
      <c r="C169" s="65">
        <f>Table5[[#This Row],[Profit]]/Table5[[#This Row],[Total_Sales]]</f>
        <v>0.28502884453820732</v>
      </c>
      <c r="D169" s="22" t="str">
        <f>IF(AND(Table5[[#This Row],[Profit_Margin%]]&gt;20%,Table5[[#This Row],[Total_Sales]]&gt;2000),"Excellent",IF(AND(Table5[[#This Row],[Profit_Margin%]]&gt;=10%,Table5[[#This Row],[Profit_Margin%]]&lt;=20%),"Good","Needs Improvement"))</f>
        <v>Needs Improvement</v>
      </c>
    </row>
    <row r="170" spans="1:4" x14ac:dyDescent="0.25">
      <c r="A170" s="64">
        <v>1612.44</v>
      </c>
      <c r="B170" s="2">
        <v>283.83999999999997</v>
      </c>
      <c r="C170" s="65">
        <f>Table5[[#This Row],[Profit]]/Table5[[#This Row],[Total_Sales]]</f>
        <v>0.1760313562055022</v>
      </c>
      <c r="D170" s="22" t="str">
        <f>IF(AND(Table5[[#This Row],[Profit_Margin%]]&gt;20%,Table5[[#This Row],[Total_Sales]]&gt;2000),"Excellent",IF(AND(Table5[[#This Row],[Profit_Margin%]]&gt;=10%,Table5[[#This Row],[Profit_Margin%]]&lt;=20%),"Good","Needs Improvement"))</f>
        <v>Good</v>
      </c>
    </row>
    <row r="171" spans="1:4" x14ac:dyDescent="0.25">
      <c r="A171" s="64">
        <v>56.58</v>
      </c>
      <c r="B171" s="2">
        <v>7.47</v>
      </c>
      <c r="C171" s="65">
        <f>Table5[[#This Row],[Profit]]/Table5[[#This Row],[Total_Sales]]</f>
        <v>0.1320254506892895</v>
      </c>
      <c r="D171" s="22" t="str">
        <f>IF(AND(Table5[[#This Row],[Profit_Margin%]]&gt;20%,Table5[[#This Row],[Total_Sales]]&gt;2000),"Excellent",IF(AND(Table5[[#This Row],[Profit_Margin%]]&gt;=10%,Table5[[#This Row],[Profit_Margin%]]&lt;=20%),"Good","Needs Improvement"))</f>
        <v>Good</v>
      </c>
    </row>
    <row r="172" spans="1:4" x14ac:dyDescent="0.25">
      <c r="A172" s="64">
        <v>458.6</v>
      </c>
      <c r="B172" s="2">
        <v>164.2</v>
      </c>
      <c r="C172" s="65">
        <f>Table5[[#This Row],[Profit]]/Table5[[#This Row],[Total_Sales]]</f>
        <v>0.35804622764936761</v>
      </c>
      <c r="D172" s="22" t="str">
        <f>IF(AND(Table5[[#This Row],[Profit_Margin%]]&gt;20%,Table5[[#This Row],[Total_Sales]]&gt;2000),"Excellent",IF(AND(Table5[[#This Row],[Profit_Margin%]]&gt;=10%,Table5[[#This Row],[Profit_Margin%]]&lt;=20%),"Good","Needs Improvement"))</f>
        <v>Needs Improvement</v>
      </c>
    </row>
    <row r="173" spans="1:4" x14ac:dyDescent="0.25">
      <c r="A173" s="64">
        <v>24.64</v>
      </c>
      <c r="B173" s="2">
        <v>5.99</v>
      </c>
      <c r="C173" s="65">
        <f>Table5[[#This Row],[Profit]]/Table5[[#This Row],[Total_Sales]]</f>
        <v>0.24310064935064934</v>
      </c>
      <c r="D173" s="22" t="str">
        <f>IF(AND(Table5[[#This Row],[Profit_Margin%]]&gt;20%,Table5[[#This Row],[Total_Sales]]&gt;2000),"Excellent",IF(AND(Table5[[#This Row],[Profit_Margin%]]&gt;=10%,Table5[[#This Row],[Profit_Margin%]]&lt;=20%),"Good","Needs Improvement"))</f>
        <v>Needs Improvement</v>
      </c>
    </row>
    <row r="174" spans="1:4" x14ac:dyDescent="0.25">
      <c r="A174" s="64">
        <v>1117.2</v>
      </c>
      <c r="B174" s="2">
        <v>306.64</v>
      </c>
      <c r="C174" s="65">
        <f>Table5[[#This Row],[Profit]]/Table5[[#This Row],[Total_Sales]]</f>
        <v>0.27447189402076616</v>
      </c>
      <c r="D174" s="22" t="str">
        <f>IF(AND(Table5[[#This Row],[Profit_Margin%]]&gt;20%,Table5[[#This Row],[Total_Sales]]&gt;2000),"Excellent",IF(AND(Table5[[#This Row],[Profit_Margin%]]&gt;=10%,Table5[[#This Row],[Profit_Margin%]]&lt;=20%),"Good","Needs Improvement"))</f>
        <v>Needs Improvement</v>
      </c>
    </row>
    <row r="175" spans="1:4" x14ac:dyDescent="0.25">
      <c r="A175" s="64">
        <v>1424</v>
      </c>
      <c r="B175" s="2">
        <v>260.08</v>
      </c>
      <c r="C175" s="65">
        <f>Table5[[#This Row],[Profit]]/Table5[[#This Row],[Total_Sales]]</f>
        <v>0.18264044943820223</v>
      </c>
      <c r="D175" s="22" t="str">
        <f>IF(AND(Table5[[#This Row],[Profit_Margin%]]&gt;20%,Table5[[#This Row],[Total_Sales]]&gt;2000),"Excellent",IF(AND(Table5[[#This Row],[Profit_Margin%]]&gt;=10%,Table5[[#This Row],[Profit_Margin%]]&lt;=20%),"Good","Needs Improvement"))</f>
        <v>Good</v>
      </c>
    </row>
    <row r="176" spans="1:4" x14ac:dyDescent="0.25">
      <c r="A176" s="64">
        <v>2396.8200000000002</v>
      </c>
      <c r="B176" s="2">
        <v>827.97</v>
      </c>
      <c r="C176" s="65">
        <f>Table5[[#This Row],[Profit]]/Table5[[#This Row],[Total_Sales]]</f>
        <v>0.34544521490975544</v>
      </c>
      <c r="D176" s="22" t="str">
        <f>IF(AND(Table5[[#This Row],[Profit_Margin%]]&gt;20%,Table5[[#This Row],[Total_Sales]]&gt;2000),"Excellent",IF(AND(Table5[[#This Row],[Profit_Margin%]]&gt;=10%,Table5[[#This Row],[Profit_Margin%]]&lt;=20%),"Good","Needs Improvement"))</f>
        <v>Excellent</v>
      </c>
    </row>
    <row r="177" spans="1:4" x14ac:dyDescent="0.25">
      <c r="A177" s="64">
        <v>489.82</v>
      </c>
      <c r="B177" s="2">
        <v>166.92</v>
      </c>
      <c r="C177" s="65">
        <f>Table5[[#This Row],[Profit]]/Table5[[#This Row],[Total_Sales]]</f>
        <v>0.3407782450696174</v>
      </c>
      <c r="D177" s="22" t="str">
        <f>IF(AND(Table5[[#This Row],[Profit_Margin%]]&gt;20%,Table5[[#This Row],[Total_Sales]]&gt;2000),"Excellent",IF(AND(Table5[[#This Row],[Profit_Margin%]]&gt;=10%,Table5[[#This Row],[Profit_Margin%]]&lt;=20%),"Good","Needs Improvement"))</f>
        <v>Needs Improvement</v>
      </c>
    </row>
    <row r="178" spans="1:4" x14ac:dyDescent="0.25">
      <c r="A178" s="64">
        <v>1308.49</v>
      </c>
      <c r="B178" s="2">
        <v>499.15</v>
      </c>
      <c r="C178" s="65">
        <f>Table5[[#This Row],[Profit]]/Table5[[#This Row],[Total_Sales]]</f>
        <v>0.38147024432743082</v>
      </c>
      <c r="D178" s="22" t="str">
        <f>IF(AND(Table5[[#This Row],[Profit_Margin%]]&gt;20%,Table5[[#This Row],[Total_Sales]]&gt;2000),"Excellent",IF(AND(Table5[[#This Row],[Profit_Margin%]]&gt;=10%,Table5[[#This Row],[Profit_Margin%]]&lt;=20%),"Good","Needs Improvement"))</f>
        <v>Needs Improvement</v>
      </c>
    </row>
    <row r="179" spans="1:4" x14ac:dyDescent="0.25">
      <c r="A179" s="64">
        <v>318.07</v>
      </c>
      <c r="B179" s="2">
        <v>32.54</v>
      </c>
      <c r="C179" s="65">
        <f>Table5[[#This Row],[Profit]]/Table5[[#This Row],[Total_Sales]]</f>
        <v>0.10230452416134814</v>
      </c>
      <c r="D179" s="22" t="str">
        <f>IF(AND(Table5[[#This Row],[Profit_Margin%]]&gt;20%,Table5[[#This Row],[Total_Sales]]&gt;2000),"Excellent",IF(AND(Table5[[#This Row],[Profit_Margin%]]&gt;=10%,Table5[[#This Row],[Profit_Margin%]]&lt;=20%),"Good","Needs Improvement"))</f>
        <v>Good</v>
      </c>
    </row>
    <row r="180" spans="1:4" x14ac:dyDescent="0.25">
      <c r="A180" s="64">
        <v>1050.28</v>
      </c>
      <c r="B180" s="2">
        <v>334.77</v>
      </c>
      <c r="C180" s="65">
        <f>Table5[[#This Row],[Profit]]/Table5[[#This Row],[Total_Sales]]</f>
        <v>0.31874357314240009</v>
      </c>
      <c r="D180" s="22" t="str">
        <f>IF(AND(Table5[[#This Row],[Profit_Margin%]]&gt;20%,Table5[[#This Row],[Total_Sales]]&gt;2000),"Excellent",IF(AND(Table5[[#This Row],[Profit_Margin%]]&gt;=10%,Table5[[#This Row],[Profit_Margin%]]&lt;=20%),"Good","Needs Improvement"))</f>
        <v>Needs Improvement</v>
      </c>
    </row>
    <row r="181" spans="1:4" x14ac:dyDescent="0.25">
      <c r="A181" s="64">
        <v>514.91999999999996</v>
      </c>
      <c r="B181" s="2">
        <v>115.74</v>
      </c>
      <c r="C181" s="65">
        <f>Table5[[#This Row],[Profit]]/Table5[[#This Row],[Total_Sales]]</f>
        <v>0.22477278023770683</v>
      </c>
      <c r="D181" s="22" t="str">
        <f>IF(AND(Table5[[#This Row],[Profit_Margin%]]&gt;20%,Table5[[#This Row],[Total_Sales]]&gt;2000),"Excellent",IF(AND(Table5[[#This Row],[Profit_Margin%]]&gt;=10%,Table5[[#This Row],[Profit_Margin%]]&lt;=20%),"Good","Needs Improvement"))</f>
        <v>Needs Improvement</v>
      </c>
    </row>
    <row r="182" spans="1:4" x14ac:dyDescent="0.25">
      <c r="A182" s="64">
        <v>1060.29</v>
      </c>
      <c r="B182" s="2">
        <v>187.95</v>
      </c>
      <c r="C182" s="65">
        <f>Table5[[#This Row],[Profit]]/Table5[[#This Row],[Total_Sales]]</f>
        <v>0.17726282432164783</v>
      </c>
      <c r="D182" s="22" t="str">
        <f>IF(AND(Table5[[#This Row],[Profit_Margin%]]&gt;20%,Table5[[#This Row],[Total_Sales]]&gt;2000),"Excellent",IF(AND(Table5[[#This Row],[Profit_Margin%]]&gt;=10%,Table5[[#This Row],[Profit_Margin%]]&lt;=20%),"Good","Needs Improvement"))</f>
        <v>Good</v>
      </c>
    </row>
    <row r="183" spans="1:4" x14ac:dyDescent="0.25">
      <c r="A183" s="64">
        <v>1770.38</v>
      </c>
      <c r="B183" s="2">
        <v>206.98</v>
      </c>
      <c r="C183" s="65">
        <f>Table5[[#This Row],[Profit]]/Table5[[#This Row],[Total_Sales]]</f>
        <v>0.11691275319422947</v>
      </c>
      <c r="D183" s="22" t="str">
        <f>IF(AND(Table5[[#This Row],[Profit_Margin%]]&gt;20%,Table5[[#This Row],[Total_Sales]]&gt;2000),"Excellent",IF(AND(Table5[[#This Row],[Profit_Margin%]]&gt;=10%,Table5[[#This Row],[Profit_Margin%]]&lt;=20%),"Good","Needs Improvement"))</f>
        <v>Good</v>
      </c>
    </row>
    <row r="184" spans="1:4" x14ac:dyDescent="0.25">
      <c r="A184" s="64">
        <v>732.6</v>
      </c>
      <c r="B184" s="2">
        <v>206.17</v>
      </c>
      <c r="C184" s="65">
        <f>Table5[[#This Row],[Profit]]/Table5[[#This Row],[Total_Sales]]</f>
        <v>0.28142233142233142</v>
      </c>
      <c r="D184" s="22" t="str">
        <f>IF(AND(Table5[[#This Row],[Profit_Margin%]]&gt;20%,Table5[[#This Row],[Total_Sales]]&gt;2000),"Excellent",IF(AND(Table5[[#This Row],[Profit_Margin%]]&gt;=10%,Table5[[#This Row],[Profit_Margin%]]&lt;=20%),"Good","Needs Improvement"))</f>
        <v>Needs Improvement</v>
      </c>
    </row>
    <row r="185" spans="1:4" x14ac:dyDescent="0.25">
      <c r="A185" s="64">
        <v>72.239999999999995</v>
      </c>
      <c r="B185" s="2">
        <v>16.579999999999998</v>
      </c>
      <c r="C185" s="65">
        <f>Table5[[#This Row],[Profit]]/Table5[[#This Row],[Total_Sales]]</f>
        <v>0.22951273532668881</v>
      </c>
      <c r="D185" s="22" t="str">
        <f>IF(AND(Table5[[#This Row],[Profit_Margin%]]&gt;20%,Table5[[#This Row],[Total_Sales]]&gt;2000),"Excellent",IF(AND(Table5[[#This Row],[Profit_Margin%]]&gt;=10%,Table5[[#This Row],[Profit_Margin%]]&lt;=20%),"Good","Needs Improvement"))</f>
        <v>Needs Improvement</v>
      </c>
    </row>
    <row r="186" spans="1:4" x14ac:dyDescent="0.25">
      <c r="A186" s="64">
        <v>2223.6</v>
      </c>
      <c r="B186" s="2">
        <v>749.03</v>
      </c>
      <c r="C186" s="65">
        <f>Table5[[#This Row],[Profit]]/Table5[[#This Row],[Total_Sales]]</f>
        <v>0.3368546501169275</v>
      </c>
      <c r="D186" s="22" t="str">
        <f>IF(AND(Table5[[#This Row],[Profit_Margin%]]&gt;20%,Table5[[#This Row],[Total_Sales]]&gt;2000),"Excellent",IF(AND(Table5[[#This Row],[Profit_Margin%]]&gt;=10%,Table5[[#This Row],[Profit_Margin%]]&lt;=20%),"Good","Needs Improvement"))</f>
        <v>Excellent</v>
      </c>
    </row>
    <row r="187" spans="1:4" x14ac:dyDescent="0.25">
      <c r="A187" s="64">
        <v>157.9</v>
      </c>
      <c r="B187" s="2">
        <v>29.17</v>
      </c>
      <c r="C187" s="65">
        <f>Table5[[#This Row],[Profit]]/Table5[[#This Row],[Total_Sales]]</f>
        <v>0.18473717542748574</v>
      </c>
      <c r="D187" s="22" t="str">
        <f>IF(AND(Table5[[#This Row],[Profit_Margin%]]&gt;20%,Table5[[#This Row],[Total_Sales]]&gt;2000),"Excellent",IF(AND(Table5[[#This Row],[Profit_Margin%]]&gt;=10%,Table5[[#This Row],[Profit_Margin%]]&lt;=20%),"Good","Needs Improvement"))</f>
        <v>Good</v>
      </c>
    </row>
    <row r="188" spans="1:4" x14ac:dyDescent="0.25">
      <c r="A188" s="64">
        <v>1333.5</v>
      </c>
      <c r="B188" s="2">
        <v>353.35</v>
      </c>
      <c r="C188" s="65">
        <f>Table5[[#This Row],[Profit]]/Table5[[#This Row],[Total_Sales]]</f>
        <v>0.26497937757780277</v>
      </c>
      <c r="D188" s="22" t="str">
        <f>IF(AND(Table5[[#This Row],[Profit_Margin%]]&gt;20%,Table5[[#This Row],[Total_Sales]]&gt;2000),"Excellent",IF(AND(Table5[[#This Row],[Profit_Margin%]]&gt;=10%,Table5[[#This Row],[Profit_Margin%]]&lt;=20%),"Good","Needs Improvement"))</f>
        <v>Needs Improvement</v>
      </c>
    </row>
    <row r="189" spans="1:4" x14ac:dyDescent="0.25">
      <c r="A189" s="64">
        <v>351.56</v>
      </c>
      <c r="B189" s="2">
        <v>69.59</v>
      </c>
      <c r="C189" s="65">
        <f>Table5[[#This Row],[Profit]]/Table5[[#This Row],[Total_Sales]]</f>
        <v>0.19794629650699738</v>
      </c>
      <c r="D189" s="22" t="str">
        <f>IF(AND(Table5[[#This Row],[Profit_Margin%]]&gt;20%,Table5[[#This Row],[Total_Sales]]&gt;2000),"Excellent",IF(AND(Table5[[#This Row],[Profit_Margin%]]&gt;=10%,Table5[[#This Row],[Profit_Margin%]]&lt;=20%),"Good","Needs Improvement"))</f>
        <v>Good</v>
      </c>
    </row>
    <row r="190" spans="1:4" x14ac:dyDescent="0.25">
      <c r="A190" s="64">
        <v>1600.51</v>
      </c>
      <c r="B190" s="2">
        <v>482.45</v>
      </c>
      <c r="C190" s="65">
        <f>Table5[[#This Row],[Profit]]/Table5[[#This Row],[Total_Sales]]</f>
        <v>0.30143516754034649</v>
      </c>
      <c r="D190" s="22" t="str">
        <f>IF(AND(Table5[[#This Row],[Profit_Margin%]]&gt;20%,Table5[[#This Row],[Total_Sales]]&gt;2000),"Excellent",IF(AND(Table5[[#This Row],[Profit_Margin%]]&gt;=10%,Table5[[#This Row],[Profit_Margin%]]&lt;=20%),"Good","Needs Improvement"))</f>
        <v>Needs Improvement</v>
      </c>
    </row>
    <row r="191" spans="1:4" x14ac:dyDescent="0.25">
      <c r="A191" s="64">
        <v>2095.08</v>
      </c>
      <c r="B191" s="2">
        <v>824.95</v>
      </c>
      <c r="C191" s="65">
        <f>Table5[[#This Row],[Profit]]/Table5[[#This Row],[Total_Sales]]</f>
        <v>0.39375584703209426</v>
      </c>
      <c r="D191" s="22" t="str">
        <f>IF(AND(Table5[[#This Row],[Profit_Margin%]]&gt;20%,Table5[[#This Row],[Total_Sales]]&gt;2000),"Excellent",IF(AND(Table5[[#This Row],[Profit_Margin%]]&gt;=10%,Table5[[#This Row],[Profit_Margin%]]&lt;=20%),"Good","Needs Improvement"))</f>
        <v>Excellent</v>
      </c>
    </row>
    <row r="192" spans="1:4" x14ac:dyDescent="0.25">
      <c r="A192" s="64">
        <v>400.3</v>
      </c>
      <c r="B192" s="2">
        <v>149.5</v>
      </c>
      <c r="C192" s="65">
        <f>Table5[[#This Row],[Profit]]/Table5[[#This Row],[Total_Sales]]</f>
        <v>0.37346989757681737</v>
      </c>
      <c r="D192" s="22" t="str">
        <f>IF(AND(Table5[[#This Row],[Profit_Margin%]]&gt;20%,Table5[[#This Row],[Total_Sales]]&gt;2000),"Excellent",IF(AND(Table5[[#This Row],[Profit_Margin%]]&gt;=10%,Table5[[#This Row],[Profit_Margin%]]&lt;=20%),"Good","Needs Improvement"))</f>
        <v>Needs Improvement</v>
      </c>
    </row>
    <row r="193" spans="1:4" x14ac:dyDescent="0.25">
      <c r="A193" s="64">
        <v>719.9</v>
      </c>
      <c r="B193" s="2">
        <v>212.02</v>
      </c>
      <c r="C193" s="65">
        <f>Table5[[#This Row],[Profit]]/Table5[[#This Row],[Total_Sales]]</f>
        <v>0.29451312682316994</v>
      </c>
      <c r="D193" s="22" t="str">
        <f>IF(AND(Table5[[#This Row],[Profit_Margin%]]&gt;20%,Table5[[#This Row],[Total_Sales]]&gt;2000),"Excellent",IF(AND(Table5[[#This Row],[Profit_Margin%]]&gt;=10%,Table5[[#This Row],[Profit_Margin%]]&lt;=20%),"Good","Needs Improvement"))</f>
        <v>Needs Improvement</v>
      </c>
    </row>
    <row r="194" spans="1:4" x14ac:dyDescent="0.25">
      <c r="A194" s="64">
        <v>1864.43</v>
      </c>
      <c r="B194" s="2">
        <v>509.37</v>
      </c>
      <c r="C194" s="65">
        <f>Table5[[#This Row],[Profit]]/Table5[[#This Row],[Total_Sales]]</f>
        <v>0.27320414282113031</v>
      </c>
      <c r="D194" s="22" t="str">
        <f>IF(AND(Table5[[#This Row],[Profit_Margin%]]&gt;20%,Table5[[#This Row],[Total_Sales]]&gt;2000),"Excellent",IF(AND(Table5[[#This Row],[Profit_Margin%]]&gt;=10%,Table5[[#This Row],[Profit_Margin%]]&lt;=20%),"Good","Needs Improvement"))</f>
        <v>Needs Improvement</v>
      </c>
    </row>
    <row r="195" spans="1:4" x14ac:dyDescent="0.25">
      <c r="A195" s="64">
        <v>644.86</v>
      </c>
      <c r="B195" s="2">
        <v>120.36</v>
      </c>
      <c r="C195" s="65">
        <f>Table5[[#This Row],[Profit]]/Table5[[#This Row],[Total_Sales]]</f>
        <v>0.18664516329125702</v>
      </c>
      <c r="D195" s="22" t="str">
        <f>IF(AND(Table5[[#This Row],[Profit_Margin%]]&gt;20%,Table5[[#This Row],[Total_Sales]]&gt;2000),"Excellent",IF(AND(Table5[[#This Row],[Profit_Margin%]]&gt;=10%,Table5[[#This Row],[Profit_Margin%]]&lt;=20%),"Good","Needs Improvement"))</f>
        <v>Good</v>
      </c>
    </row>
    <row r="196" spans="1:4" x14ac:dyDescent="0.25">
      <c r="A196" s="64">
        <v>71.84</v>
      </c>
      <c r="B196" s="2">
        <v>29.5</v>
      </c>
      <c r="C196" s="65">
        <f>Table5[[#This Row],[Profit]]/Table5[[#This Row],[Total_Sales]]</f>
        <v>0.41063474387527837</v>
      </c>
      <c r="D196" s="22" t="str">
        <f>IF(AND(Table5[[#This Row],[Profit_Margin%]]&gt;20%,Table5[[#This Row],[Total_Sales]]&gt;2000),"Excellent",IF(AND(Table5[[#This Row],[Profit_Margin%]]&gt;=10%,Table5[[#This Row],[Profit_Margin%]]&lt;=20%),"Good","Needs Improvement"))</f>
        <v>Needs Improvement</v>
      </c>
    </row>
    <row r="197" spans="1:4" x14ac:dyDescent="0.25">
      <c r="A197" s="64">
        <v>1529.76</v>
      </c>
      <c r="B197" s="2">
        <v>479.91</v>
      </c>
      <c r="C197" s="65">
        <f>Table5[[#This Row],[Profit]]/Table5[[#This Row],[Total_Sales]]</f>
        <v>0.31371587700031378</v>
      </c>
      <c r="D197" s="22" t="str">
        <f>IF(AND(Table5[[#This Row],[Profit_Margin%]]&gt;20%,Table5[[#This Row],[Total_Sales]]&gt;2000),"Excellent",IF(AND(Table5[[#This Row],[Profit_Margin%]]&gt;=10%,Table5[[#This Row],[Profit_Margin%]]&lt;=20%),"Good","Needs Improvement"))</f>
        <v>Needs Improvement</v>
      </c>
    </row>
    <row r="198" spans="1:4" x14ac:dyDescent="0.25">
      <c r="A198" s="64">
        <v>3220</v>
      </c>
      <c r="B198" s="2">
        <v>1219.8900000000001</v>
      </c>
      <c r="C198" s="65">
        <f>Table5[[#This Row],[Profit]]/Table5[[#This Row],[Total_Sales]]</f>
        <v>0.37884782608695655</v>
      </c>
      <c r="D198" s="22" t="str">
        <f>IF(AND(Table5[[#This Row],[Profit_Margin%]]&gt;20%,Table5[[#This Row],[Total_Sales]]&gt;2000),"Excellent",IF(AND(Table5[[#This Row],[Profit_Margin%]]&gt;=10%,Table5[[#This Row],[Profit_Margin%]]&lt;=20%),"Good","Needs Improvement"))</f>
        <v>Excellent</v>
      </c>
    </row>
    <row r="199" spans="1:4" x14ac:dyDescent="0.25">
      <c r="A199" s="64">
        <v>2596.5</v>
      </c>
      <c r="B199" s="2">
        <v>918.98</v>
      </c>
      <c r="C199" s="65">
        <f>Table5[[#This Row],[Profit]]/Table5[[#This Row],[Total_Sales]]</f>
        <v>0.35393029077604471</v>
      </c>
      <c r="D199" s="22" t="str">
        <f>IF(AND(Table5[[#This Row],[Profit_Margin%]]&gt;20%,Table5[[#This Row],[Total_Sales]]&gt;2000),"Excellent",IF(AND(Table5[[#This Row],[Profit_Margin%]]&gt;=10%,Table5[[#This Row],[Profit_Margin%]]&lt;=20%),"Good","Needs Improvement"))</f>
        <v>Excellent</v>
      </c>
    </row>
    <row r="200" spans="1:4" x14ac:dyDescent="0.25">
      <c r="A200" s="64">
        <v>465.29</v>
      </c>
      <c r="B200" s="2">
        <v>154.75</v>
      </c>
      <c r="C200" s="65">
        <f>Table5[[#This Row],[Profit]]/Table5[[#This Row],[Total_Sales]]</f>
        <v>0.33258827827806314</v>
      </c>
      <c r="D200" s="22" t="str">
        <f>IF(AND(Table5[[#This Row],[Profit_Margin%]]&gt;20%,Table5[[#This Row],[Total_Sales]]&gt;2000),"Excellent",IF(AND(Table5[[#This Row],[Profit_Margin%]]&gt;=10%,Table5[[#This Row],[Profit_Margin%]]&lt;=20%),"Good","Needs Improvement"))</f>
        <v>Needs Improvement</v>
      </c>
    </row>
    <row r="201" spans="1:4" x14ac:dyDescent="0.25">
      <c r="A201" s="64">
        <v>229.6</v>
      </c>
      <c r="B201" s="2">
        <v>31.34</v>
      </c>
      <c r="C201" s="65">
        <f>Table5[[#This Row],[Profit]]/Table5[[#This Row],[Total_Sales]]</f>
        <v>0.13649825783972125</v>
      </c>
      <c r="D201" s="22" t="str">
        <f>IF(AND(Table5[[#This Row],[Profit_Margin%]]&gt;20%,Table5[[#This Row],[Total_Sales]]&gt;2000),"Excellent",IF(AND(Table5[[#This Row],[Profit_Margin%]]&gt;=10%,Table5[[#This Row],[Profit_Margin%]]&lt;=20%),"Good","Needs Improvement"))</f>
        <v>Good</v>
      </c>
    </row>
    <row r="202" spans="1:4" x14ac:dyDescent="0.25">
      <c r="A202" s="64">
        <v>2193.6</v>
      </c>
      <c r="B202" s="2">
        <v>704.34</v>
      </c>
      <c r="C202" s="65">
        <f>Table5[[#This Row],[Profit]]/Table5[[#This Row],[Total_Sales]]</f>
        <v>0.32108862144420136</v>
      </c>
      <c r="D202" s="22" t="str">
        <f>IF(AND(Table5[[#This Row],[Profit_Margin%]]&gt;20%,Table5[[#This Row],[Total_Sales]]&gt;2000),"Excellent",IF(AND(Table5[[#This Row],[Profit_Margin%]]&gt;=10%,Table5[[#This Row],[Profit_Margin%]]&lt;=20%),"Good","Needs Improvement"))</f>
        <v>Excellent</v>
      </c>
    </row>
    <row r="203" spans="1:4" x14ac:dyDescent="0.25">
      <c r="A203" s="64">
        <v>255.01</v>
      </c>
      <c r="B203" s="2">
        <v>73.709999999999994</v>
      </c>
      <c r="C203" s="65">
        <f>Table5[[#This Row],[Profit]]/Table5[[#This Row],[Total_Sales]]</f>
        <v>0.28904748833379079</v>
      </c>
      <c r="D203" s="22" t="str">
        <f>IF(AND(Table5[[#This Row],[Profit_Margin%]]&gt;20%,Table5[[#This Row],[Total_Sales]]&gt;2000),"Excellent",IF(AND(Table5[[#This Row],[Profit_Margin%]]&gt;=10%,Table5[[#This Row],[Profit_Margin%]]&lt;=20%),"Good","Needs Improvement"))</f>
        <v>Needs Improvement</v>
      </c>
    </row>
    <row r="204" spans="1:4" x14ac:dyDescent="0.25">
      <c r="A204" s="64">
        <v>759.72</v>
      </c>
      <c r="B204" s="2">
        <v>222.38</v>
      </c>
      <c r="C204" s="65">
        <f>Table5[[#This Row],[Profit]]/Table5[[#This Row],[Total_Sales]]</f>
        <v>0.29271310482809454</v>
      </c>
      <c r="D204" s="22" t="str">
        <f>IF(AND(Table5[[#This Row],[Profit_Margin%]]&gt;20%,Table5[[#This Row],[Total_Sales]]&gt;2000),"Excellent",IF(AND(Table5[[#This Row],[Profit_Margin%]]&gt;=10%,Table5[[#This Row],[Profit_Margin%]]&lt;=20%),"Good","Needs Improvement"))</f>
        <v>Needs Improvement</v>
      </c>
    </row>
    <row r="205" spans="1:4" x14ac:dyDescent="0.25">
      <c r="A205" s="64">
        <v>1359.05</v>
      </c>
      <c r="B205" s="2">
        <v>477.63</v>
      </c>
      <c r="C205" s="65">
        <f>Table5[[#This Row],[Profit]]/Table5[[#This Row],[Total_Sales]]</f>
        <v>0.35144402339869762</v>
      </c>
      <c r="D205" s="22" t="str">
        <f>IF(AND(Table5[[#This Row],[Profit_Margin%]]&gt;20%,Table5[[#This Row],[Total_Sales]]&gt;2000),"Excellent",IF(AND(Table5[[#This Row],[Profit_Margin%]]&gt;=10%,Table5[[#This Row],[Profit_Margin%]]&lt;=20%),"Good","Needs Improvement"))</f>
        <v>Needs Improvement</v>
      </c>
    </row>
    <row r="206" spans="1:4" x14ac:dyDescent="0.25">
      <c r="A206" s="64">
        <v>1277.6400000000001</v>
      </c>
      <c r="B206" s="2">
        <v>461.83</v>
      </c>
      <c r="C206" s="65">
        <f>Table5[[#This Row],[Profit]]/Table5[[#This Row],[Total_Sales]]</f>
        <v>0.36147114993268836</v>
      </c>
      <c r="D206" s="22" t="str">
        <f>IF(AND(Table5[[#This Row],[Profit_Margin%]]&gt;20%,Table5[[#This Row],[Total_Sales]]&gt;2000),"Excellent",IF(AND(Table5[[#This Row],[Profit_Margin%]]&gt;=10%,Table5[[#This Row],[Profit_Margin%]]&lt;=20%),"Good","Needs Improvement"))</f>
        <v>Needs Improvement</v>
      </c>
    </row>
    <row r="207" spans="1:4" x14ac:dyDescent="0.25">
      <c r="A207" s="64">
        <v>318.95999999999998</v>
      </c>
      <c r="B207" s="2">
        <v>47.01</v>
      </c>
      <c r="C207" s="65">
        <f>Table5[[#This Row],[Profit]]/Table5[[#This Row],[Total_Sales]]</f>
        <v>0.14738525206922498</v>
      </c>
      <c r="D207" s="22" t="str">
        <f>IF(AND(Table5[[#This Row],[Profit_Margin%]]&gt;20%,Table5[[#This Row],[Total_Sales]]&gt;2000),"Excellent",IF(AND(Table5[[#This Row],[Profit_Margin%]]&gt;=10%,Table5[[#This Row],[Profit_Margin%]]&lt;=20%),"Good","Needs Improvement"))</f>
        <v>Good</v>
      </c>
    </row>
    <row r="208" spans="1:4" x14ac:dyDescent="0.25">
      <c r="A208" s="64">
        <v>631</v>
      </c>
      <c r="B208" s="2">
        <v>204.07</v>
      </c>
      <c r="C208" s="65">
        <f>Table5[[#This Row],[Profit]]/Table5[[#This Row],[Total_Sales]]</f>
        <v>0.32340729001584784</v>
      </c>
      <c r="D208" s="22" t="str">
        <f>IF(AND(Table5[[#This Row],[Profit_Margin%]]&gt;20%,Table5[[#This Row],[Total_Sales]]&gt;2000),"Excellent",IF(AND(Table5[[#This Row],[Profit_Margin%]]&gt;=10%,Table5[[#This Row],[Profit_Margin%]]&lt;=20%),"Good","Needs Improvement"))</f>
        <v>Needs Improvement</v>
      </c>
    </row>
    <row r="209" spans="1:4" x14ac:dyDescent="0.25">
      <c r="A209" s="64">
        <v>165.3</v>
      </c>
      <c r="B209" s="2">
        <v>60.13</v>
      </c>
      <c r="C209" s="65">
        <f>Table5[[#This Row],[Profit]]/Table5[[#This Row],[Total_Sales]]</f>
        <v>0.36376285541439807</v>
      </c>
      <c r="D209" s="22" t="str">
        <f>IF(AND(Table5[[#This Row],[Profit_Margin%]]&gt;20%,Table5[[#This Row],[Total_Sales]]&gt;2000),"Excellent",IF(AND(Table5[[#This Row],[Profit_Margin%]]&gt;=10%,Table5[[#This Row],[Profit_Margin%]]&lt;=20%),"Good","Needs Improvement"))</f>
        <v>Needs Improvement</v>
      </c>
    </row>
    <row r="210" spans="1:4" x14ac:dyDescent="0.25">
      <c r="A210" s="64">
        <v>515.05999999999995</v>
      </c>
      <c r="B210" s="2">
        <v>101.76</v>
      </c>
      <c r="C210" s="65">
        <f>Table5[[#This Row],[Profit]]/Table5[[#This Row],[Total_Sales]]</f>
        <v>0.19756921523705978</v>
      </c>
      <c r="D210" s="22" t="str">
        <f>IF(AND(Table5[[#This Row],[Profit_Margin%]]&gt;20%,Table5[[#This Row],[Total_Sales]]&gt;2000),"Excellent",IF(AND(Table5[[#This Row],[Profit_Margin%]]&gt;=10%,Table5[[#This Row],[Profit_Margin%]]&lt;=20%),"Good","Needs Improvement"))</f>
        <v>Good</v>
      </c>
    </row>
    <row r="211" spans="1:4" x14ac:dyDescent="0.25">
      <c r="A211" s="64">
        <v>906.78</v>
      </c>
      <c r="B211" s="2">
        <v>196.18</v>
      </c>
      <c r="C211" s="65">
        <f>Table5[[#This Row],[Profit]]/Table5[[#This Row],[Total_Sales]]</f>
        <v>0.21634795650543684</v>
      </c>
      <c r="D211" s="22" t="str">
        <f>IF(AND(Table5[[#This Row],[Profit_Margin%]]&gt;20%,Table5[[#This Row],[Total_Sales]]&gt;2000),"Excellent",IF(AND(Table5[[#This Row],[Profit_Margin%]]&gt;=10%,Table5[[#This Row],[Profit_Margin%]]&lt;=20%),"Good","Needs Improvement"))</f>
        <v>Needs Improvement</v>
      </c>
    </row>
    <row r="212" spans="1:4" x14ac:dyDescent="0.25">
      <c r="A212" s="64">
        <v>479.91</v>
      </c>
      <c r="B212" s="2">
        <v>108.03</v>
      </c>
      <c r="C212" s="65">
        <f>Table5[[#This Row],[Profit]]/Table5[[#This Row],[Total_Sales]]</f>
        <v>0.22510470713258734</v>
      </c>
      <c r="D212" s="22" t="str">
        <f>IF(AND(Table5[[#This Row],[Profit_Margin%]]&gt;20%,Table5[[#This Row],[Total_Sales]]&gt;2000),"Excellent",IF(AND(Table5[[#This Row],[Profit_Margin%]]&gt;=10%,Table5[[#This Row],[Profit_Margin%]]&lt;=20%),"Good","Needs Improvement"))</f>
        <v>Needs Improvement</v>
      </c>
    </row>
    <row r="213" spans="1:4" x14ac:dyDescent="0.25">
      <c r="A213" s="64">
        <v>1060.92</v>
      </c>
      <c r="B213" s="2">
        <v>227.87</v>
      </c>
      <c r="C213" s="65">
        <f>Table5[[#This Row],[Profit]]/Table5[[#This Row],[Total_Sales]]</f>
        <v>0.21478528069976999</v>
      </c>
      <c r="D213" s="22" t="str">
        <f>IF(AND(Table5[[#This Row],[Profit_Margin%]]&gt;20%,Table5[[#This Row],[Total_Sales]]&gt;2000),"Excellent",IF(AND(Table5[[#This Row],[Profit_Margin%]]&gt;=10%,Table5[[#This Row],[Profit_Margin%]]&lt;=20%),"Good","Needs Improvement"))</f>
        <v>Needs Improvement</v>
      </c>
    </row>
    <row r="214" spans="1:4" x14ac:dyDescent="0.25">
      <c r="A214" s="64">
        <v>54.54</v>
      </c>
      <c r="B214" s="2">
        <v>17.09</v>
      </c>
      <c r="C214" s="65">
        <f>Table5[[#This Row],[Profit]]/Table5[[#This Row],[Total_Sales]]</f>
        <v>0.31334800146681335</v>
      </c>
      <c r="D214" s="22" t="str">
        <f>IF(AND(Table5[[#This Row],[Profit_Margin%]]&gt;20%,Table5[[#This Row],[Total_Sales]]&gt;2000),"Excellent",IF(AND(Table5[[#This Row],[Profit_Margin%]]&gt;=10%,Table5[[#This Row],[Profit_Margin%]]&lt;=20%),"Good","Needs Improvement"))</f>
        <v>Needs Improvement</v>
      </c>
    </row>
    <row r="215" spans="1:4" x14ac:dyDescent="0.25">
      <c r="A215" s="64">
        <v>2157.6</v>
      </c>
      <c r="B215" s="2">
        <v>665.19</v>
      </c>
      <c r="C215" s="65">
        <f>Table5[[#This Row],[Profit]]/Table5[[#This Row],[Total_Sales]]</f>
        <v>0.30830088987764187</v>
      </c>
      <c r="D215" s="22" t="str">
        <f>IF(AND(Table5[[#This Row],[Profit_Margin%]]&gt;20%,Table5[[#This Row],[Total_Sales]]&gt;2000),"Excellent",IF(AND(Table5[[#This Row],[Profit_Margin%]]&gt;=10%,Table5[[#This Row],[Profit_Margin%]]&lt;=20%),"Good","Needs Improvement"))</f>
        <v>Excellent</v>
      </c>
    </row>
    <row r="216" spans="1:4" x14ac:dyDescent="0.25">
      <c r="A216" s="64">
        <v>657.8</v>
      </c>
      <c r="B216" s="2">
        <v>184.44</v>
      </c>
      <c r="C216" s="65">
        <f>Table5[[#This Row],[Profit]]/Table5[[#This Row],[Total_Sales]]</f>
        <v>0.28038917604135</v>
      </c>
      <c r="D216" s="22" t="str">
        <f>IF(AND(Table5[[#This Row],[Profit_Margin%]]&gt;20%,Table5[[#This Row],[Total_Sales]]&gt;2000),"Excellent",IF(AND(Table5[[#This Row],[Profit_Margin%]]&gt;=10%,Table5[[#This Row],[Profit_Margin%]]&lt;=20%),"Good","Needs Improvement"))</f>
        <v>Needs Improvement</v>
      </c>
    </row>
    <row r="217" spans="1:4" x14ac:dyDescent="0.25">
      <c r="A217" s="64">
        <v>469.8</v>
      </c>
      <c r="B217" s="2">
        <v>171.28</v>
      </c>
      <c r="C217" s="65">
        <f>Table5[[#This Row],[Profit]]/Table5[[#This Row],[Total_Sales]]</f>
        <v>0.36458067262664962</v>
      </c>
      <c r="D217" s="22" t="str">
        <f>IF(AND(Table5[[#This Row],[Profit_Margin%]]&gt;20%,Table5[[#This Row],[Total_Sales]]&gt;2000),"Excellent",IF(AND(Table5[[#This Row],[Profit_Margin%]]&gt;=10%,Table5[[#This Row],[Profit_Margin%]]&lt;=20%),"Good","Needs Improvement"))</f>
        <v>Needs Improvement</v>
      </c>
    </row>
    <row r="218" spans="1:4" x14ac:dyDescent="0.25">
      <c r="A218" s="64">
        <v>786.45</v>
      </c>
      <c r="B218" s="2">
        <v>136.05000000000001</v>
      </c>
      <c r="C218" s="65">
        <f>Table5[[#This Row],[Profit]]/Table5[[#This Row],[Total_Sales]]</f>
        <v>0.17299256151058554</v>
      </c>
      <c r="D218" s="22" t="str">
        <f>IF(AND(Table5[[#This Row],[Profit_Margin%]]&gt;20%,Table5[[#This Row],[Total_Sales]]&gt;2000),"Excellent",IF(AND(Table5[[#This Row],[Profit_Margin%]]&gt;=10%,Table5[[#This Row],[Profit_Margin%]]&lt;=20%),"Good","Needs Improvement"))</f>
        <v>Good</v>
      </c>
    </row>
    <row r="219" spans="1:4" x14ac:dyDescent="0.25">
      <c r="A219" s="64">
        <v>713.5</v>
      </c>
      <c r="B219" s="2">
        <v>163.12</v>
      </c>
      <c r="C219" s="65">
        <f>Table5[[#This Row],[Profit]]/Table5[[#This Row],[Total_Sales]]</f>
        <v>0.22861948142957253</v>
      </c>
      <c r="D219" s="22" t="str">
        <f>IF(AND(Table5[[#This Row],[Profit_Margin%]]&gt;20%,Table5[[#This Row],[Total_Sales]]&gt;2000),"Excellent",IF(AND(Table5[[#This Row],[Profit_Margin%]]&gt;=10%,Table5[[#This Row],[Profit_Margin%]]&lt;=20%),"Good","Needs Improvement"))</f>
        <v>Needs Improvement</v>
      </c>
    </row>
    <row r="220" spans="1:4" x14ac:dyDescent="0.25">
      <c r="A220" s="64">
        <v>418.77</v>
      </c>
      <c r="B220" s="2">
        <v>114.75</v>
      </c>
      <c r="C220" s="65">
        <f>Table5[[#This Row],[Profit]]/Table5[[#This Row],[Total_Sales]]</f>
        <v>0.27401676337846553</v>
      </c>
      <c r="D220" s="22" t="str">
        <f>IF(AND(Table5[[#This Row],[Profit_Margin%]]&gt;20%,Table5[[#This Row],[Total_Sales]]&gt;2000),"Excellent",IF(AND(Table5[[#This Row],[Profit_Margin%]]&gt;=10%,Table5[[#This Row],[Profit_Margin%]]&lt;=20%),"Good","Needs Improvement"))</f>
        <v>Needs Improvement</v>
      </c>
    </row>
    <row r="221" spans="1:4" x14ac:dyDescent="0.25">
      <c r="A221" s="64">
        <v>347.76</v>
      </c>
      <c r="B221" s="2">
        <v>47.42</v>
      </c>
      <c r="C221" s="65">
        <f>Table5[[#This Row],[Profit]]/Table5[[#This Row],[Total_Sales]]</f>
        <v>0.13635840809753855</v>
      </c>
      <c r="D221" s="22" t="str">
        <f>IF(AND(Table5[[#This Row],[Profit_Margin%]]&gt;20%,Table5[[#This Row],[Total_Sales]]&gt;2000),"Excellent",IF(AND(Table5[[#This Row],[Profit_Margin%]]&gt;=10%,Table5[[#This Row],[Profit_Margin%]]&lt;=20%),"Good","Needs Improvement"))</f>
        <v>Good</v>
      </c>
    </row>
    <row r="222" spans="1:4" x14ac:dyDescent="0.25">
      <c r="A222" s="64">
        <v>2100.84</v>
      </c>
      <c r="B222" s="2">
        <v>835.19</v>
      </c>
      <c r="C222" s="65">
        <f>Table5[[#This Row],[Profit]]/Table5[[#This Row],[Total_Sales]]</f>
        <v>0.39755050360808059</v>
      </c>
      <c r="D222" s="22" t="str">
        <f>IF(AND(Table5[[#This Row],[Profit_Margin%]]&gt;20%,Table5[[#This Row],[Total_Sales]]&gt;2000),"Excellent",IF(AND(Table5[[#This Row],[Profit_Margin%]]&gt;=10%,Table5[[#This Row],[Profit_Margin%]]&lt;=20%),"Good","Needs Improvement"))</f>
        <v>Excellent</v>
      </c>
    </row>
    <row r="223" spans="1:4" x14ac:dyDescent="0.25">
      <c r="A223" s="64">
        <v>642.07000000000005</v>
      </c>
      <c r="B223" s="2">
        <v>239.75</v>
      </c>
      <c r="C223" s="65">
        <f>Table5[[#This Row],[Profit]]/Table5[[#This Row],[Total_Sales]]</f>
        <v>0.37340165402526199</v>
      </c>
      <c r="D223" s="22" t="str">
        <f>IF(AND(Table5[[#This Row],[Profit_Margin%]]&gt;20%,Table5[[#This Row],[Total_Sales]]&gt;2000),"Excellent",IF(AND(Table5[[#This Row],[Profit_Margin%]]&gt;=10%,Table5[[#This Row],[Profit_Margin%]]&lt;=20%),"Good","Needs Improvement"))</f>
        <v>Needs Improvement</v>
      </c>
    </row>
    <row r="224" spans="1:4" x14ac:dyDescent="0.25">
      <c r="A224" s="64">
        <v>342.9</v>
      </c>
      <c r="B224" s="2">
        <v>45.74</v>
      </c>
      <c r="C224" s="65">
        <f>Table5[[#This Row],[Profit]]/Table5[[#This Row],[Total_Sales]]</f>
        <v>0.13339165937591135</v>
      </c>
      <c r="D224" s="22" t="str">
        <f>IF(AND(Table5[[#This Row],[Profit_Margin%]]&gt;20%,Table5[[#This Row],[Total_Sales]]&gt;2000),"Excellent",IF(AND(Table5[[#This Row],[Profit_Margin%]]&gt;=10%,Table5[[#This Row],[Profit_Margin%]]&lt;=20%),"Good","Needs Improvement"))</f>
        <v>Good</v>
      </c>
    </row>
    <row r="225" spans="1:4" x14ac:dyDescent="0.25">
      <c r="A225" s="64">
        <v>1378.99</v>
      </c>
      <c r="B225" s="2">
        <v>361.07</v>
      </c>
      <c r="C225" s="65">
        <f>Table5[[#This Row],[Profit]]/Table5[[#This Row],[Total_Sales]]</f>
        <v>0.26183656154141799</v>
      </c>
      <c r="D225" s="22" t="str">
        <f>IF(AND(Table5[[#This Row],[Profit_Margin%]]&gt;20%,Table5[[#This Row],[Total_Sales]]&gt;2000),"Excellent",IF(AND(Table5[[#This Row],[Profit_Margin%]]&gt;=10%,Table5[[#This Row],[Profit_Margin%]]&lt;=20%),"Good","Needs Improvement"))</f>
        <v>Needs Improvement</v>
      </c>
    </row>
    <row r="226" spans="1:4" x14ac:dyDescent="0.25">
      <c r="A226" s="64">
        <v>2648.45</v>
      </c>
      <c r="B226" s="2">
        <v>866.65</v>
      </c>
      <c r="C226" s="65">
        <f>Table5[[#This Row],[Profit]]/Table5[[#This Row],[Total_Sales]]</f>
        <v>0.32722913402178633</v>
      </c>
      <c r="D226" s="22" t="str">
        <f>IF(AND(Table5[[#This Row],[Profit_Margin%]]&gt;20%,Table5[[#This Row],[Total_Sales]]&gt;2000),"Excellent",IF(AND(Table5[[#This Row],[Profit_Margin%]]&gt;=10%,Table5[[#This Row],[Profit_Margin%]]&lt;=20%),"Good","Needs Improvement"))</f>
        <v>Excellent</v>
      </c>
    </row>
    <row r="227" spans="1:4" x14ac:dyDescent="0.25">
      <c r="A227" s="64">
        <v>661.98</v>
      </c>
      <c r="B227" s="2">
        <v>191.21</v>
      </c>
      <c r="C227" s="65">
        <f>Table5[[#This Row],[Profit]]/Table5[[#This Row],[Total_Sales]]</f>
        <v>0.28884558445874498</v>
      </c>
      <c r="D227" s="22" t="str">
        <f>IF(AND(Table5[[#This Row],[Profit_Margin%]]&gt;20%,Table5[[#This Row],[Total_Sales]]&gt;2000),"Excellent",IF(AND(Table5[[#This Row],[Profit_Margin%]]&gt;=10%,Table5[[#This Row],[Profit_Margin%]]&lt;=20%),"Good","Needs Improvement"))</f>
        <v>Needs Improvement</v>
      </c>
    </row>
    <row r="228" spans="1:4" x14ac:dyDescent="0.25">
      <c r="A228" s="64">
        <v>1748.32</v>
      </c>
      <c r="B228" s="2">
        <v>251.85</v>
      </c>
      <c r="C228" s="65">
        <f>Table5[[#This Row],[Profit]]/Table5[[#This Row],[Total_Sales]]</f>
        <v>0.14405257618742565</v>
      </c>
      <c r="D228" s="22" t="str">
        <f>IF(AND(Table5[[#This Row],[Profit_Margin%]]&gt;20%,Table5[[#This Row],[Total_Sales]]&gt;2000),"Excellent",IF(AND(Table5[[#This Row],[Profit_Margin%]]&gt;=10%,Table5[[#This Row],[Profit_Margin%]]&lt;=20%),"Good","Needs Improvement"))</f>
        <v>Good</v>
      </c>
    </row>
    <row r="229" spans="1:4" x14ac:dyDescent="0.25">
      <c r="A229" s="64">
        <v>710.47</v>
      </c>
      <c r="B229" s="2">
        <v>116.73</v>
      </c>
      <c r="C229" s="65">
        <f>Table5[[#This Row],[Profit]]/Table5[[#This Row],[Total_Sales]]</f>
        <v>0.16429968893830843</v>
      </c>
      <c r="D229" s="22" t="str">
        <f>IF(AND(Table5[[#This Row],[Profit_Margin%]]&gt;20%,Table5[[#This Row],[Total_Sales]]&gt;2000),"Excellent",IF(AND(Table5[[#This Row],[Profit_Margin%]]&gt;=10%,Table5[[#This Row],[Profit_Margin%]]&lt;=20%),"Good","Needs Improvement"))</f>
        <v>Good</v>
      </c>
    </row>
    <row r="230" spans="1:4" x14ac:dyDescent="0.25">
      <c r="A230" s="64">
        <v>834.4</v>
      </c>
      <c r="B230" s="2">
        <v>325.29000000000002</v>
      </c>
      <c r="C230" s="65">
        <f>Table5[[#This Row],[Profit]]/Table5[[#This Row],[Total_Sales]]</f>
        <v>0.38984899328859063</v>
      </c>
      <c r="D230" s="22" t="str">
        <f>IF(AND(Table5[[#This Row],[Profit_Margin%]]&gt;20%,Table5[[#This Row],[Total_Sales]]&gt;2000),"Excellent",IF(AND(Table5[[#This Row],[Profit_Margin%]]&gt;=10%,Table5[[#This Row],[Profit_Margin%]]&lt;=20%),"Good","Needs Improvement"))</f>
        <v>Needs Improvement</v>
      </c>
    </row>
    <row r="231" spans="1:4" x14ac:dyDescent="0.25">
      <c r="A231" s="64">
        <v>85.08</v>
      </c>
      <c r="B231" s="2">
        <v>13.12</v>
      </c>
      <c r="C231" s="65">
        <f>Table5[[#This Row],[Profit]]/Table5[[#This Row],[Total_Sales]]</f>
        <v>0.15420780441936999</v>
      </c>
      <c r="D231" s="22" t="str">
        <f>IF(AND(Table5[[#This Row],[Profit_Margin%]]&gt;20%,Table5[[#This Row],[Total_Sales]]&gt;2000),"Excellent",IF(AND(Table5[[#This Row],[Profit_Margin%]]&gt;=10%,Table5[[#This Row],[Profit_Margin%]]&lt;=20%),"Good","Needs Improvement"))</f>
        <v>Good</v>
      </c>
    </row>
    <row r="232" spans="1:4" x14ac:dyDescent="0.25">
      <c r="A232" s="64">
        <v>619.64</v>
      </c>
      <c r="B232" s="2">
        <v>245.44</v>
      </c>
      <c r="C232" s="65">
        <f>Table5[[#This Row],[Profit]]/Table5[[#This Row],[Total_Sales]]</f>
        <v>0.39610096184881544</v>
      </c>
      <c r="D232" s="22" t="str">
        <f>IF(AND(Table5[[#This Row],[Profit_Margin%]]&gt;20%,Table5[[#This Row],[Total_Sales]]&gt;2000),"Excellent",IF(AND(Table5[[#This Row],[Profit_Margin%]]&gt;=10%,Table5[[#This Row],[Profit_Margin%]]&lt;=20%),"Good","Needs Improvement"))</f>
        <v>Needs Improvement</v>
      </c>
    </row>
    <row r="233" spans="1:4" x14ac:dyDescent="0.25">
      <c r="A233" s="64">
        <v>773.36</v>
      </c>
      <c r="B233" s="2">
        <v>239.48</v>
      </c>
      <c r="C233" s="65">
        <f>Table5[[#This Row],[Profit]]/Table5[[#This Row],[Total_Sales]]</f>
        <v>0.30966173580221368</v>
      </c>
      <c r="D233" s="22" t="str">
        <f>IF(AND(Table5[[#This Row],[Profit_Margin%]]&gt;20%,Table5[[#This Row],[Total_Sales]]&gt;2000),"Excellent",IF(AND(Table5[[#This Row],[Profit_Margin%]]&gt;=10%,Table5[[#This Row],[Profit_Margin%]]&lt;=20%),"Good","Needs Improvement"))</f>
        <v>Needs Improvement</v>
      </c>
    </row>
    <row r="234" spans="1:4" x14ac:dyDescent="0.25">
      <c r="A234" s="64">
        <v>1369.2</v>
      </c>
      <c r="B234" s="2">
        <v>291.17</v>
      </c>
      <c r="C234" s="65">
        <f>Table5[[#This Row],[Profit]]/Table5[[#This Row],[Total_Sales]]</f>
        <v>0.21265702600058428</v>
      </c>
      <c r="D234" s="22" t="str">
        <f>IF(AND(Table5[[#This Row],[Profit_Margin%]]&gt;20%,Table5[[#This Row],[Total_Sales]]&gt;2000),"Excellent",IF(AND(Table5[[#This Row],[Profit_Margin%]]&gt;=10%,Table5[[#This Row],[Profit_Margin%]]&lt;=20%),"Good","Needs Improvement"))</f>
        <v>Needs Improvement</v>
      </c>
    </row>
    <row r="235" spans="1:4" x14ac:dyDescent="0.25">
      <c r="A235" s="64">
        <v>469.8</v>
      </c>
      <c r="B235" s="2">
        <v>78.3</v>
      </c>
      <c r="C235" s="65">
        <f>Table5[[#This Row],[Profit]]/Table5[[#This Row],[Total_Sales]]</f>
        <v>0.16666666666666666</v>
      </c>
      <c r="D235" s="22" t="str">
        <f>IF(AND(Table5[[#This Row],[Profit_Margin%]]&gt;20%,Table5[[#This Row],[Total_Sales]]&gt;2000),"Excellent",IF(AND(Table5[[#This Row],[Profit_Margin%]]&gt;=10%,Table5[[#This Row],[Profit_Margin%]]&lt;=20%),"Good","Needs Improvement"))</f>
        <v>Good</v>
      </c>
    </row>
    <row r="236" spans="1:4" x14ac:dyDescent="0.25">
      <c r="A236" s="64">
        <v>1349.74</v>
      </c>
      <c r="B236" s="2">
        <v>474.88</v>
      </c>
      <c r="C236" s="65">
        <f>Table5[[#This Row],[Profit]]/Table5[[#This Row],[Total_Sales]]</f>
        <v>0.35183072295405038</v>
      </c>
      <c r="D236" s="22" t="str">
        <f>IF(AND(Table5[[#This Row],[Profit_Margin%]]&gt;20%,Table5[[#This Row],[Total_Sales]]&gt;2000),"Excellent",IF(AND(Table5[[#This Row],[Profit_Margin%]]&gt;=10%,Table5[[#This Row],[Profit_Margin%]]&lt;=20%),"Good","Needs Improvement"))</f>
        <v>Needs Improvement</v>
      </c>
    </row>
    <row r="237" spans="1:4" x14ac:dyDescent="0.25">
      <c r="A237" s="64">
        <v>577.53</v>
      </c>
      <c r="B237" s="2">
        <v>60.38</v>
      </c>
      <c r="C237" s="65">
        <f>Table5[[#This Row],[Profit]]/Table5[[#This Row],[Total_Sales]]</f>
        <v>0.1045486814537773</v>
      </c>
      <c r="D237" s="22" t="str">
        <f>IF(AND(Table5[[#This Row],[Profit_Margin%]]&gt;20%,Table5[[#This Row],[Total_Sales]]&gt;2000),"Excellent",IF(AND(Table5[[#This Row],[Profit_Margin%]]&gt;=10%,Table5[[#This Row],[Profit_Margin%]]&lt;=20%),"Good","Needs Improvement"))</f>
        <v>Good</v>
      </c>
    </row>
    <row r="238" spans="1:4" x14ac:dyDescent="0.25">
      <c r="A238" s="64">
        <v>1036.6400000000001</v>
      </c>
      <c r="B238" s="2">
        <v>237.87</v>
      </c>
      <c r="C238" s="65">
        <f>Table5[[#This Row],[Profit]]/Table5[[#This Row],[Total_Sales]]</f>
        <v>0.22946249421206974</v>
      </c>
      <c r="D238" s="22" t="str">
        <f>IF(AND(Table5[[#This Row],[Profit_Margin%]]&gt;20%,Table5[[#This Row],[Total_Sales]]&gt;2000),"Excellent",IF(AND(Table5[[#This Row],[Profit_Margin%]]&gt;=10%,Table5[[#This Row],[Profit_Margin%]]&lt;=20%),"Good","Needs Improvement"))</f>
        <v>Needs Improvement</v>
      </c>
    </row>
    <row r="239" spans="1:4" x14ac:dyDescent="0.25">
      <c r="A239" s="64">
        <v>1548.5</v>
      </c>
      <c r="B239" s="2">
        <v>566.41</v>
      </c>
      <c r="C239" s="65">
        <f>Table5[[#This Row],[Profit]]/Table5[[#This Row],[Total_Sales]]</f>
        <v>0.36577978689053919</v>
      </c>
      <c r="D239" s="22" t="str">
        <f>IF(AND(Table5[[#This Row],[Profit_Margin%]]&gt;20%,Table5[[#This Row],[Total_Sales]]&gt;2000),"Excellent",IF(AND(Table5[[#This Row],[Profit_Margin%]]&gt;=10%,Table5[[#This Row],[Profit_Margin%]]&lt;=20%),"Good","Needs Improvement"))</f>
        <v>Needs Improvement</v>
      </c>
    </row>
    <row r="240" spans="1:4" x14ac:dyDescent="0.25">
      <c r="A240" s="64">
        <v>1035.47</v>
      </c>
      <c r="B240" s="2">
        <v>301.38</v>
      </c>
      <c r="C240" s="65">
        <f>Table5[[#This Row],[Profit]]/Table5[[#This Row],[Total_Sales]]</f>
        <v>0.29105623533274744</v>
      </c>
      <c r="D240" s="22" t="str">
        <f>IF(AND(Table5[[#This Row],[Profit_Margin%]]&gt;20%,Table5[[#This Row],[Total_Sales]]&gt;2000),"Excellent",IF(AND(Table5[[#This Row],[Profit_Margin%]]&gt;=10%,Table5[[#This Row],[Profit_Margin%]]&lt;=20%),"Good","Needs Improvement"))</f>
        <v>Needs Improvement</v>
      </c>
    </row>
    <row r="241" spans="1:4" x14ac:dyDescent="0.25">
      <c r="A241" s="64">
        <v>778.75</v>
      </c>
      <c r="B241" s="2">
        <v>231.3</v>
      </c>
      <c r="C241" s="65">
        <f>Table5[[#This Row],[Profit]]/Table5[[#This Row],[Total_Sales]]</f>
        <v>0.29701444622792939</v>
      </c>
      <c r="D241" s="22" t="str">
        <f>IF(AND(Table5[[#This Row],[Profit_Margin%]]&gt;20%,Table5[[#This Row],[Total_Sales]]&gt;2000),"Excellent",IF(AND(Table5[[#This Row],[Profit_Margin%]]&gt;=10%,Table5[[#This Row],[Profit_Margin%]]&lt;=20%),"Good","Needs Improvement"))</f>
        <v>Needs Improvement</v>
      </c>
    </row>
    <row r="242" spans="1:4" x14ac:dyDescent="0.25">
      <c r="A242" s="64">
        <v>933.6</v>
      </c>
      <c r="B242" s="2">
        <v>342.72</v>
      </c>
      <c r="C242" s="65">
        <f>Table5[[#This Row],[Profit]]/Table5[[#This Row],[Total_Sales]]</f>
        <v>0.36709511568123393</v>
      </c>
      <c r="D242" s="22" t="str">
        <f>IF(AND(Table5[[#This Row],[Profit_Margin%]]&gt;20%,Table5[[#This Row],[Total_Sales]]&gt;2000),"Excellent",IF(AND(Table5[[#This Row],[Profit_Margin%]]&gt;=10%,Table5[[#This Row],[Profit_Margin%]]&lt;=20%),"Good","Needs Improvement"))</f>
        <v>Needs Improvement</v>
      </c>
    </row>
    <row r="243" spans="1:4" x14ac:dyDescent="0.25">
      <c r="A243" s="64">
        <v>333.88</v>
      </c>
      <c r="B243" s="2">
        <v>48.15</v>
      </c>
      <c r="C243" s="65">
        <f>Table5[[#This Row],[Profit]]/Table5[[#This Row],[Total_Sales]]</f>
        <v>0.14421348987660237</v>
      </c>
      <c r="D243" s="22" t="str">
        <f>IF(AND(Table5[[#This Row],[Profit_Margin%]]&gt;20%,Table5[[#This Row],[Total_Sales]]&gt;2000),"Excellent",IF(AND(Table5[[#This Row],[Profit_Margin%]]&gt;=10%,Table5[[#This Row],[Profit_Margin%]]&lt;=20%),"Good","Needs Improvement"))</f>
        <v>Good</v>
      </c>
    </row>
    <row r="244" spans="1:4" x14ac:dyDescent="0.25">
      <c r="A244" s="64">
        <v>2121.9499999999998</v>
      </c>
      <c r="B244" s="2">
        <v>790.56</v>
      </c>
      <c r="C244" s="65">
        <f>Table5[[#This Row],[Profit]]/Table5[[#This Row],[Total_Sales]]</f>
        <v>0.37256297273734068</v>
      </c>
      <c r="D244" s="22" t="str">
        <f>IF(AND(Table5[[#This Row],[Profit_Margin%]]&gt;20%,Table5[[#This Row],[Total_Sales]]&gt;2000),"Excellent",IF(AND(Table5[[#This Row],[Profit_Margin%]]&gt;=10%,Table5[[#This Row],[Profit_Margin%]]&lt;=20%),"Good","Needs Improvement"))</f>
        <v>Excellent</v>
      </c>
    </row>
    <row r="245" spans="1:4" x14ac:dyDescent="0.25">
      <c r="A245" s="64">
        <v>1917</v>
      </c>
      <c r="B245" s="2">
        <v>237.73</v>
      </c>
      <c r="C245" s="65">
        <f>Table5[[#This Row],[Profit]]/Table5[[#This Row],[Total_Sales]]</f>
        <v>0.12401147626499738</v>
      </c>
      <c r="D245" s="22" t="str">
        <f>IF(AND(Table5[[#This Row],[Profit_Margin%]]&gt;20%,Table5[[#This Row],[Total_Sales]]&gt;2000),"Excellent",IF(AND(Table5[[#This Row],[Profit_Margin%]]&gt;=10%,Table5[[#This Row],[Profit_Margin%]]&lt;=20%),"Good","Needs Improvement"))</f>
        <v>Good</v>
      </c>
    </row>
    <row r="246" spans="1:4" x14ac:dyDescent="0.25">
      <c r="A246" s="64">
        <v>795.5</v>
      </c>
      <c r="B246" s="2">
        <v>258.17</v>
      </c>
      <c r="C246" s="65">
        <f>Table5[[#This Row],[Profit]]/Table5[[#This Row],[Total_Sales]]</f>
        <v>0.32453802639849155</v>
      </c>
      <c r="D246" s="22" t="str">
        <f>IF(AND(Table5[[#This Row],[Profit_Margin%]]&gt;20%,Table5[[#This Row],[Total_Sales]]&gt;2000),"Excellent",IF(AND(Table5[[#This Row],[Profit_Margin%]]&gt;=10%,Table5[[#This Row],[Profit_Margin%]]&lt;=20%),"Good","Needs Improvement"))</f>
        <v>Needs Improvement</v>
      </c>
    </row>
    <row r="247" spans="1:4" x14ac:dyDescent="0.25">
      <c r="A247" s="64">
        <v>616.59</v>
      </c>
      <c r="B247" s="2">
        <v>168.83</v>
      </c>
      <c r="C247" s="65">
        <f>Table5[[#This Row],[Profit]]/Table5[[#This Row],[Total_Sales]]</f>
        <v>0.27381241992247685</v>
      </c>
      <c r="D247" s="22" t="str">
        <f>IF(AND(Table5[[#This Row],[Profit_Margin%]]&gt;20%,Table5[[#This Row],[Total_Sales]]&gt;2000),"Excellent",IF(AND(Table5[[#This Row],[Profit_Margin%]]&gt;=10%,Table5[[#This Row],[Profit_Margin%]]&lt;=20%),"Good","Needs Improvement"))</f>
        <v>Needs Improvement</v>
      </c>
    </row>
    <row r="248" spans="1:4" x14ac:dyDescent="0.25">
      <c r="A248" s="64">
        <v>108.04</v>
      </c>
      <c r="B248" s="2">
        <v>31.31</v>
      </c>
      <c r="C248" s="65">
        <f>Table5[[#This Row],[Profit]]/Table5[[#This Row],[Total_Sales]]</f>
        <v>0.28980007404664937</v>
      </c>
      <c r="D248" s="22" t="str">
        <f>IF(AND(Table5[[#This Row],[Profit_Margin%]]&gt;20%,Table5[[#This Row],[Total_Sales]]&gt;2000),"Excellent",IF(AND(Table5[[#This Row],[Profit_Margin%]]&gt;=10%,Table5[[#This Row],[Profit_Margin%]]&lt;=20%),"Good","Needs Improvement"))</f>
        <v>Needs Improvement</v>
      </c>
    </row>
    <row r="249" spans="1:4" x14ac:dyDescent="0.25">
      <c r="A249" s="64">
        <v>1267.2</v>
      </c>
      <c r="B249" s="2">
        <v>461.88</v>
      </c>
      <c r="C249" s="65">
        <f>Table5[[#This Row],[Profit]]/Table5[[#This Row],[Total_Sales]]</f>
        <v>0.36448863636363632</v>
      </c>
      <c r="D249" s="22" t="str">
        <f>IF(AND(Table5[[#This Row],[Profit_Margin%]]&gt;20%,Table5[[#This Row],[Total_Sales]]&gt;2000),"Excellent",IF(AND(Table5[[#This Row],[Profit_Margin%]]&gt;=10%,Table5[[#This Row],[Profit_Margin%]]&lt;=20%),"Good","Needs Improvement"))</f>
        <v>Needs Improvement</v>
      </c>
    </row>
    <row r="250" spans="1:4" x14ac:dyDescent="0.25">
      <c r="A250" s="64">
        <v>1040.1600000000001</v>
      </c>
      <c r="B250" s="2">
        <v>398.98</v>
      </c>
      <c r="C250" s="65">
        <f>Table5[[#This Row],[Profit]]/Table5[[#This Row],[Total_Sales]]</f>
        <v>0.38357560375326871</v>
      </c>
      <c r="D250" s="22" t="str">
        <f>IF(AND(Table5[[#This Row],[Profit_Margin%]]&gt;20%,Table5[[#This Row],[Total_Sales]]&gt;2000),"Excellent",IF(AND(Table5[[#This Row],[Profit_Margin%]]&gt;=10%,Table5[[#This Row],[Profit_Margin%]]&lt;=20%),"Good","Needs Improvement"))</f>
        <v>Needs Improvement</v>
      </c>
    </row>
    <row r="251" spans="1:4" x14ac:dyDescent="0.25">
      <c r="A251" s="64">
        <v>2656.6</v>
      </c>
      <c r="B251" s="2">
        <v>1116.3</v>
      </c>
      <c r="C251" s="65">
        <f>Table5[[#This Row],[Profit]]/Table5[[#This Row],[Total_Sales]]</f>
        <v>0.42019875028231574</v>
      </c>
      <c r="D251" s="22" t="str">
        <f>IF(AND(Table5[[#This Row],[Profit_Margin%]]&gt;20%,Table5[[#This Row],[Total_Sales]]&gt;2000),"Excellent",IF(AND(Table5[[#This Row],[Profit_Margin%]]&gt;=10%,Table5[[#This Row],[Profit_Margin%]]&lt;=20%),"Good","Needs Improvement"))</f>
        <v>Excellent</v>
      </c>
    </row>
    <row r="252" spans="1:4" x14ac:dyDescent="0.25">
      <c r="A252" s="64">
        <v>698.64</v>
      </c>
      <c r="B252" s="2">
        <v>164.65</v>
      </c>
      <c r="C252" s="65">
        <f>Table5[[#This Row],[Profit]]/Table5[[#This Row],[Total_Sales]]</f>
        <v>0.23567216305965877</v>
      </c>
      <c r="D252" s="22" t="str">
        <f>IF(AND(Table5[[#This Row],[Profit_Margin%]]&gt;20%,Table5[[#This Row],[Total_Sales]]&gt;2000),"Excellent",IF(AND(Table5[[#This Row],[Profit_Margin%]]&gt;=10%,Table5[[#This Row],[Profit_Margin%]]&lt;=20%),"Good","Needs Improvement"))</f>
        <v>Needs Improvement</v>
      </c>
    </row>
    <row r="253" spans="1:4" x14ac:dyDescent="0.25">
      <c r="A253" s="64">
        <v>167.46</v>
      </c>
      <c r="B253" s="2">
        <v>22.45</v>
      </c>
      <c r="C253" s="65">
        <f>Table5[[#This Row],[Profit]]/Table5[[#This Row],[Total_Sales]]</f>
        <v>0.1340618655201242</v>
      </c>
      <c r="D253" s="22" t="str">
        <f>IF(AND(Table5[[#This Row],[Profit_Margin%]]&gt;20%,Table5[[#This Row],[Total_Sales]]&gt;2000),"Excellent",IF(AND(Table5[[#This Row],[Profit_Margin%]]&gt;=10%,Table5[[#This Row],[Profit_Margin%]]&lt;=20%),"Good","Needs Improvement"))</f>
        <v>Good</v>
      </c>
    </row>
    <row r="254" spans="1:4" x14ac:dyDescent="0.25">
      <c r="A254" s="64">
        <v>764.12</v>
      </c>
      <c r="B254" s="2">
        <v>108.34</v>
      </c>
      <c r="C254" s="65">
        <f>Table5[[#This Row],[Profit]]/Table5[[#This Row],[Total_Sales]]</f>
        <v>0.1417840129822541</v>
      </c>
      <c r="D254" s="22" t="str">
        <f>IF(AND(Table5[[#This Row],[Profit_Margin%]]&gt;20%,Table5[[#This Row],[Total_Sales]]&gt;2000),"Excellent",IF(AND(Table5[[#This Row],[Profit_Margin%]]&gt;=10%,Table5[[#This Row],[Profit_Margin%]]&lt;=20%),"Good","Needs Improvement"))</f>
        <v>Good</v>
      </c>
    </row>
    <row r="255" spans="1:4" x14ac:dyDescent="0.25">
      <c r="A255" s="64">
        <v>1686.36</v>
      </c>
      <c r="B255" s="2">
        <v>558.55999999999995</v>
      </c>
      <c r="C255" s="65">
        <f>Table5[[#This Row],[Profit]]/Table5[[#This Row],[Total_Sales]]</f>
        <v>0.33122227756825351</v>
      </c>
      <c r="D255" s="22" t="str">
        <f>IF(AND(Table5[[#This Row],[Profit_Margin%]]&gt;20%,Table5[[#This Row],[Total_Sales]]&gt;2000),"Excellent",IF(AND(Table5[[#This Row],[Profit_Margin%]]&gt;=10%,Table5[[#This Row],[Profit_Margin%]]&lt;=20%),"Good","Needs Improvement"))</f>
        <v>Needs Improvement</v>
      </c>
    </row>
    <row r="256" spans="1:4" x14ac:dyDescent="0.25">
      <c r="A256" s="64">
        <v>521.92999999999995</v>
      </c>
      <c r="B256" s="2">
        <v>196.14</v>
      </c>
      <c r="C256" s="65">
        <f>Table5[[#This Row],[Profit]]/Table5[[#This Row],[Total_Sales]]</f>
        <v>0.37579752074032918</v>
      </c>
      <c r="D256" s="22" t="str">
        <f>IF(AND(Table5[[#This Row],[Profit_Margin%]]&gt;20%,Table5[[#This Row],[Total_Sales]]&gt;2000),"Excellent",IF(AND(Table5[[#This Row],[Profit_Margin%]]&gt;=10%,Table5[[#This Row],[Profit_Margin%]]&lt;=20%),"Good","Needs Improvement"))</f>
        <v>Needs Improvement</v>
      </c>
    </row>
    <row r="257" spans="1:4" x14ac:dyDescent="0.25">
      <c r="A257" s="64">
        <v>380.38</v>
      </c>
      <c r="B257" s="2">
        <v>110.91</v>
      </c>
      <c r="C257" s="65">
        <f>Table5[[#This Row],[Profit]]/Table5[[#This Row],[Total_Sales]]</f>
        <v>0.29157684420842317</v>
      </c>
      <c r="D257" s="22" t="str">
        <f>IF(AND(Table5[[#This Row],[Profit_Margin%]]&gt;20%,Table5[[#This Row],[Total_Sales]]&gt;2000),"Excellent",IF(AND(Table5[[#This Row],[Profit_Margin%]]&gt;=10%,Table5[[#This Row],[Profit_Margin%]]&lt;=20%),"Good","Needs Improvement"))</f>
        <v>Needs Improvement</v>
      </c>
    </row>
    <row r="258" spans="1:4" x14ac:dyDescent="0.25">
      <c r="A258" s="64">
        <v>104.68</v>
      </c>
      <c r="B258" s="2">
        <v>26.35</v>
      </c>
      <c r="C258" s="65">
        <f>Table5[[#This Row],[Profit]]/Table5[[#This Row],[Total_Sales]]</f>
        <v>0.25171952617500953</v>
      </c>
      <c r="D258" s="22" t="str">
        <f>IF(AND(Table5[[#This Row],[Profit_Margin%]]&gt;20%,Table5[[#This Row],[Total_Sales]]&gt;2000),"Excellent",IF(AND(Table5[[#This Row],[Profit_Margin%]]&gt;=10%,Table5[[#This Row],[Profit_Margin%]]&lt;=20%),"Good","Needs Improvement"))</f>
        <v>Needs Improvement</v>
      </c>
    </row>
    <row r="259" spans="1:4" x14ac:dyDescent="0.25">
      <c r="A259" s="64">
        <v>1604.76</v>
      </c>
      <c r="B259" s="2">
        <v>576.25</v>
      </c>
      <c r="C259" s="65">
        <f>Table5[[#This Row],[Profit]]/Table5[[#This Row],[Total_Sales]]</f>
        <v>0.35908796330915527</v>
      </c>
      <c r="D259" s="22" t="str">
        <f>IF(AND(Table5[[#This Row],[Profit_Margin%]]&gt;20%,Table5[[#This Row],[Total_Sales]]&gt;2000),"Excellent",IF(AND(Table5[[#This Row],[Profit_Margin%]]&gt;=10%,Table5[[#This Row],[Profit_Margin%]]&lt;=20%),"Good","Needs Improvement"))</f>
        <v>Needs Improvement</v>
      </c>
    </row>
    <row r="260" spans="1:4" x14ac:dyDescent="0.25">
      <c r="A260" s="64">
        <v>622.35</v>
      </c>
      <c r="B260" s="2">
        <v>115.91</v>
      </c>
      <c r="C260" s="65">
        <f>Table5[[#This Row],[Profit]]/Table5[[#This Row],[Total_Sales]]</f>
        <v>0.18624568169036715</v>
      </c>
      <c r="D260" s="22" t="str">
        <f>IF(AND(Table5[[#This Row],[Profit_Margin%]]&gt;20%,Table5[[#This Row],[Total_Sales]]&gt;2000),"Excellent",IF(AND(Table5[[#This Row],[Profit_Margin%]]&gt;=10%,Table5[[#This Row],[Profit_Margin%]]&lt;=20%),"Good","Needs Improvement"))</f>
        <v>Good</v>
      </c>
    </row>
    <row r="261" spans="1:4" x14ac:dyDescent="0.25">
      <c r="A261" s="64">
        <v>722.76</v>
      </c>
      <c r="B261" s="2">
        <v>223.63</v>
      </c>
      <c r="C261" s="65">
        <f>Table5[[#This Row],[Profit]]/Table5[[#This Row],[Total_Sales]]</f>
        <v>0.30941114616193482</v>
      </c>
      <c r="D261" s="22" t="str">
        <f>IF(AND(Table5[[#This Row],[Profit_Margin%]]&gt;20%,Table5[[#This Row],[Total_Sales]]&gt;2000),"Excellent",IF(AND(Table5[[#This Row],[Profit_Margin%]]&gt;=10%,Table5[[#This Row],[Profit_Margin%]]&lt;=20%),"Good","Needs Improvement"))</f>
        <v>Needs Improvement</v>
      </c>
    </row>
    <row r="262" spans="1:4" x14ac:dyDescent="0.25">
      <c r="A262" s="64">
        <v>709.4</v>
      </c>
      <c r="B262" s="2">
        <v>290.76</v>
      </c>
      <c r="C262" s="65">
        <f>Table5[[#This Row],[Profit]]/Table5[[#This Row],[Total_Sales]]</f>
        <v>0.40986749365661124</v>
      </c>
      <c r="D262" s="22" t="str">
        <f>IF(AND(Table5[[#This Row],[Profit_Margin%]]&gt;20%,Table5[[#This Row],[Total_Sales]]&gt;2000),"Excellent",IF(AND(Table5[[#This Row],[Profit_Margin%]]&gt;=10%,Table5[[#This Row],[Profit_Margin%]]&lt;=20%),"Good","Needs Improvement"))</f>
        <v>Needs Improvement</v>
      </c>
    </row>
    <row r="263" spans="1:4" x14ac:dyDescent="0.25">
      <c r="A263" s="64">
        <v>650.76</v>
      </c>
      <c r="B263" s="2">
        <v>187.33</v>
      </c>
      <c r="C263" s="65">
        <f>Table5[[#This Row],[Profit]]/Table5[[#This Row],[Total_Sales]]</f>
        <v>0.28786342123056119</v>
      </c>
      <c r="D263" s="22" t="str">
        <f>IF(AND(Table5[[#This Row],[Profit_Margin%]]&gt;20%,Table5[[#This Row],[Total_Sales]]&gt;2000),"Excellent",IF(AND(Table5[[#This Row],[Profit_Margin%]]&gt;=10%,Table5[[#This Row],[Profit_Margin%]]&lt;=20%),"Good","Needs Improvement"))</f>
        <v>Needs Improvement</v>
      </c>
    </row>
    <row r="264" spans="1:4" x14ac:dyDescent="0.25">
      <c r="A264" s="64">
        <v>388</v>
      </c>
      <c r="B264" s="2">
        <v>51.61</v>
      </c>
      <c r="C264" s="65">
        <f>Table5[[#This Row],[Profit]]/Table5[[#This Row],[Total_Sales]]</f>
        <v>0.13301546391752578</v>
      </c>
      <c r="D264" s="22" t="str">
        <f>IF(AND(Table5[[#This Row],[Profit_Margin%]]&gt;20%,Table5[[#This Row],[Total_Sales]]&gt;2000),"Excellent",IF(AND(Table5[[#This Row],[Profit_Margin%]]&gt;=10%,Table5[[#This Row],[Profit_Margin%]]&lt;=20%),"Good","Needs Improvement"))</f>
        <v>Good</v>
      </c>
    </row>
    <row r="265" spans="1:4" x14ac:dyDescent="0.25">
      <c r="A265" s="64">
        <v>101.52</v>
      </c>
      <c r="B265" s="2">
        <v>24.2</v>
      </c>
      <c r="C265" s="65">
        <f>Table5[[#This Row],[Profit]]/Table5[[#This Row],[Total_Sales]]</f>
        <v>0.23837667454688732</v>
      </c>
      <c r="D265" s="22" t="str">
        <f>IF(AND(Table5[[#This Row],[Profit_Margin%]]&gt;20%,Table5[[#This Row],[Total_Sales]]&gt;2000),"Excellent",IF(AND(Table5[[#This Row],[Profit_Margin%]]&gt;=10%,Table5[[#This Row],[Profit_Margin%]]&lt;=20%),"Good","Needs Improvement"))</f>
        <v>Needs Improvement</v>
      </c>
    </row>
    <row r="266" spans="1:4" x14ac:dyDescent="0.25">
      <c r="A266" s="64">
        <v>422.4</v>
      </c>
      <c r="B266" s="2">
        <v>90.32</v>
      </c>
      <c r="C266" s="65">
        <f>Table5[[#This Row],[Profit]]/Table5[[#This Row],[Total_Sales]]</f>
        <v>0.21382575757575756</v>
      </c>
      <c r="D266" s="22" t="str">
        <f>IF(AND(Table5[[#This Row],[Profit_Margin%]]&gt;20%,Table5[[#This Row],[Total_Sales]]&gt;2000),"Excellent",IF(AND(Table5[[#This Row],[Profit_Margin%]]&gt;=10%,Table5[[#This Row],[Profit_Margin%]]&lt;=20%),"Good","Needs Improvement"))</f>
        <v>Needs Improvement</v>
      </c>
    </row>
    <row r="267" spans="1:4" x14ac:dyDescent="0.25">
      <c r="A267" s="64">
        <v>58.15</v>
      </c>
      <c r="B267" s="2">
        <v>18.95</v>
      </c>
      <c r="C267" s="65">
        <f>Table5[[#This Row],[Profit]]/Table5[[#This Row],[Total_Sales]]</f>
        <v>0.32588134135855545</v>
      </c>
      <c r="D267" s="22" t="str">
        <f>IF(AND(Table5[[#This Row],[Profit_Margin%]]&gt;20%,Table5[[#This Row],[Total_Sales]]&gt;2000),"Excellent",IF(AND(Table5[[#This Row],[Profit_Margin%]]&gt;=10%,Table5[[#This Row],[Profit_Margin%]]&lt;=20%),"Good","Needs Improvement"))</f>
        <v>Needs Improvement</v>
      </c>
    </row>
    <row r="268" spans="1:4" x14ac:dyDescent="0.25">
      <c r="A268" s="64">
        <v>1470.72</v>
      </c>
      <c r="B268" s="2">
        <v>363.95</v>
      </c>
      <c r="C268" s="65">
        <f>Table5[[#This Row],[Profit]]/Table5[[#This Row],[Total_Sales]]</f>
        <v>0.24746382724107918</v>
      </c>
      <c r="D268" s="22" t="str">
        <f>IF(AND(Table5[[#This Row],[Profit_Margin%]]&gt;20%,Table5[[#This Row],[Total_Sales]]&gt;2000),"Excellent",IF(AND(Table5[[#This Row],[Profit_Margin%]]&gt;=10%,Table5[[#This Row],[Profit_Margin%]]&lt;=20%),"Good","Needs Improvement"))</f>
        <v>Needs Improvement</v>
      </c>
    </row>
    <row r="269" spans="1:4" x14ac:dyDescent="0.25">
      <c r="A269" s="64">
        <v>622.34</v>
      </c>
      <c r="B269" s="2">
        <v>117.69</v>
      </c>
      <c r="C269" s="65">
        <f>Table5[[#This Row],[Profit]]/Table5[[#This Row],[Total_Sales]]</f>
        <v>0.18910884725391264</v>
      </c>
      <c r="D269" s="22" t="str">
        <f>IF(AND(Table5[[#This Row],[Profit_Margin%]]&gt;20%,Table5[[#This Row],[Total_Sales]]&gt;2000),"Excellent",IF(AND(Table5[[#This Row],[Profit_Margin%]]&gt;=10%,Table5[[#This Row],[Profit_Margin%]]&lt;=20%),"Good","Needs Improvement"))</f>
        <v>Good</v>
      </c>
    </row>
    <row r="270" spans="1:4" x14ac:dyDescent="0.25">
      <c r="A270" s="64">
        <v>983.16</v>
      </c>
      <c r="B270" s="2">
        <v>384.55</v>
      </c>
      <c r="C270" s="65">
        <f>Table5[[#This Row],[Profit]]/Table5[[#This Row],[Total_Sales]]</f>
        <v>0.39113674274787424</v>
      </c>
      <c r="D270" s="22" t="str">
        <f>IF(AND(Table5[[#This Row],[Profit_Margin%]]&gt;20%,Table5[[#This Row],[Total_Sales]]&gt;2000),"Excellent",IF(AND(Table5[[#This Row],[Profit_Margin%]]&gt;=10%,Table5[[#This Row],[Profit_Margin%]]&lt;=20%),"Good","Needs Improvement"))</f>
        <v>Needs Improvement</v>
      </c>
    </row>
    <row r="271" spans="1:4" x14ac:dyDescent="0.25">
      <c r="A271" s="64">
        <v>684.9</v>
      </c>
      <c r="B271" s="2">
        <v>270.08999999999997</v>
      </c>
      <c r="C271" s="65">
        <f>Table5[[#This Row],[Profit]]/Table5[[#This Row],[Total_Sales]]</f>
        <v>0.3943495400788436</v>
      </c>
      <c r="D271" s="22" t="str">
        <f>IF(AND(Table5[[#This Row],[Profit_Margin%]]&gt;20%,Table5[[#This Row],[Total_Sales]]&gt;2000),"Excellent",IF(AND(Table5[[#This Row],[Profit_Margin%]]&gt;=10%,Table5[[#This Row],[Profit_Margin%]]&lt;=20%),"Good","Needs Improvement"))</f>
        <v>Needs Improvement</v>
      </c>
    </row>
    <row r="272" spans="1:4" x14ac:dyDescent="0.25">
      <c r="A272" s="64">
        <v>1833.78</v>
      </c>
      <c r="B272" s="2">
        <v>535.77</v>
      </c>
      <c r="C272" s="65">
        <f>Table5[[#This Row],[Profit]]/Table5[[#This Row],[Total_Sales]]</f>
        <v>0.29216699931289469</v>
      </c>
      <c r="D272" s="22" t="str">
        <f>IF(AND(Table5[[#This Row],[Profit_Margin%]]&gt;20%,Table5[[#This Row],[Total_Sales]]&gt;2000),"Excellent",IF(AND(Table5[[#This Row],[Profit_Margin%]]&gt;=10%,Table5[[#This Row],[Profit_Margin%]]&lt;=20%),"Good","Needs Improvement"))</f>
        <v>Needs Improvement</v>
      </c>
    </row>
    <row r="273" spans="1:4" x14ac:dyDescent="0.25">
      <c r="A273" s="64">
        <v>953.04</v>
      </c>
      <c r="B273" s="2">
        <v>265.74</v>
      </c>
      <c r="C273" s="65">
        <f>Table5[[#This Row],[Profit]]/Table5[[#This Row],[Total_Sales]]</f>
        <v>0.27883404683958701</v>
      </c>
      <c r="D273" s="22" t="str">
        <f>IF(AND(Table5[[#This Row],[Profit_Margin%]]&gt;20%,Table5[[#This Row],[Total_Sales]]&gt;2000),"Excellent",IF(AND(Table5[[#This Row],[Profit_Margin%]]&gt;=10%,Table5[[#This Row],[Profit_Margin%]]&lt;=20%),"Good","Needs Improvement"))</f>
        <v>Needs Improvement</v>
      </c>
    </row>
    <row r="274" spans="1:4" x14ac:dyDescent="0.25">
      <c r="A274" s="64">
        <v>190.14</v>
      </c>
      <c r="B274" s="2">
        <v>42.62</v>
      </c>
      <c r="C274" s="65">
        <f>Table5[[#This Row],[Profit]]/Table5[[#This Row],[Total_Sales]]</f>
        <v>0.22415062585463344</v>
      </c>
      <c r="D274" s="22" t="str">
        <f>IF(AND(Table5[[#This Row],[Profit_Margin%]]&gt;20%,Table5[[#This Row],[Total_Sales]]&gt;2000),"Excellent",IF(AND(Table5[[#This Row],[Profit_Margin%]]&gt;=10%,Table5[[#This Row],[Profit_Margin%]]&lt;=20%),"Good","Needs Improvement"))</f>
        <v>Needs Improvement</v>
      </c>
    </row>
    <row r="275" spans="1:4" x14ac:dyDescent="0.25">
      <c r="A275" s="64">
        <v>1012.32</v>
      </c>
      <c r="B275" s="2">
        <v>320.08</v>
      </c>
      <c r="C275" s="65">
        <f>Table5[[#This Row],[Profit]]/Table5[[#This Row],[Total_Sales]]</f>
        <v>0.31618460565828982</v>
      </c>
      <c r="D275" s="22" t="str">
        <f>IF(AND(Table5[[#This Row],[Profit_Margin%]]&gt;20%,Table5[[#This Row],[Total_Sales]]&gt;2000),"Excellent",IF(AND(Table5[[#This Row],[Profit_Margin%]]&gt;=10%,Table5[[#This Row],[Profit_Margin%]]&lt;=20%),"Good","Needs Improvement"))</f>
        <v>Needs Improvement</v>
      </c>
    </row>
    <row r="276" spans="1:4" x14ac:dyDescent="0.25">
      <c r="A276" s="64">
        <v>2233.91</v>
      </c>
      <c r="B276" s="2">
        <v>460</v>
      </c>
      <c r="C276" s="65">
        <f>Table5[[#This Row],[Profit]]/Table5[[#This Row],[Total_Sales]]</f>
        <v>0.20591697964555422</v>
      </c>
      <c r="D276" s="22" t="str">
        <f>IF(AND(Table5[[#This Row],[Profit_Margin%]]&gt;20%,Table5[[#This Row],[Total_Sales]]&gt;2000),"Excellent",IF(AND(Table5[[#This Row],[Profit_Margin%]]&gt;=10%,Table5[[#This Row],[Profit_Margin%]]&lt;=20%),"Good","Needs Improvement"))</f>
        <v>Excellent</v>
      </c>
    </row>
    <row r="277" spans="1:4" x14ac:dyDescent="0.25">
      <c r="A277" s="64">
        <v>288.24</v>
      </c>
      <c r="B277" s="2">
        <v>38.44</v>
      </c>
      <c r="C277" s="65">
        <f>Table5[[#This Row],[Profit]]/Table5[[#This Row],[Total_Sales]]</f>
        <v>0.133361087982237</v>
      </c>
      <c r="D277" s="22" t="str">
        <f>IF(AND(Table5[[#This Row],[Profit_Margin%]]&gt;20%,Table5[[#This Row],[Total_Sales]]&gt;2000),"Excellent",IF(AND(Table5[[#This Row],[Profit_Margin%]]&gt;=10%,Table5[[#This Row],[Profit_Margin%]]&lt;=20%),"Good","Needs Improvement"))</f>
        <v>Good</v>
      </c>
    </row>
    <row r="278" spans="1:4" x14ac:dyDescent="0.25">
      <c r="A278" s="64">
        <v>500.48</v>
      </c>
      <c r="B278" s="2">
        <v>67.790000000000006</v>
      </c>
      <c r="C278" s="65">
        <f>Table5[[#This Row],[Profit]]/Table5[[#This Row],[Total_Sales]]</f>
        <v>0.13544996803069054</v>
      </c>
      <c r="D278" s="22" t="str">
        <f>IF(AND(Table5[[#This Row],[Profit_Margin%]]&gt;20%,Table5[[#This Row],[Total_Sales]]&gt;2000),"Excellent",IF(AND(Table5[[#This Row],[Profit_Margin%]]&gt;=10%,Table5[[#This Row],[Profit_Margin%]]&lt;=20%),"Good","Needs Improvement"))</f>
        <v>Good</v>
      </c>
    </row>
    <row r="279" spans="1:4" x14ac:dyDescent="0.25">
      <c r="A279" s="64">
        <v>935.88</v>
      </c>
      <c r="B279" s="2">
        <v>186.51</v>
      </c>
      <c r="C279" s="65">
        <f>Table5[[#This Row],[Profit]]/Table5[[#This Row],[Total_Sales]]</f>
        <v>0.1992883703038851</v>
      </c>
      <c r="D279" s="22" t="str">
        <f>IF(AND(Table5[[#This Row],[Profit_Margin%]]&gt;20%,Table5[[#This Row],[Total_Sales]]&gt;2000),"Excellent",IF(AND(Table5[[#This Row],[Profit_Margin%]]&gt;=10%,Table5[[#This Row],[Profit_Margin%]]&lt;=20%),"Good","Needs Improvement"))</f>
        <v>Good</v>
      </c>
    </row>
    <row r="280" spans="1:4" x14ac:dyDescent="0.25">
      <c r="A280" s="64">
        <v>1611.35</v>
      </c>
      <c r="B280" s="2">
        <v>618.57000000000005</v>
      </c>
      <c r="C280" s="65">
        <f>Table5[[#This Row],[Profit]]/Table5[[#This Row],[Total_Sales]]</f>
        <v>0.38388307940546751</v>
      </c>
      <c r="D280" s="22" t="str">
        <f>IF(AND(Table5[[#This Row],[Profit_Margin%]]&gt;20%,Table5[[#This Row],[Total_Sales]]&gt;2000),"Excellent",IF(AND(Table5[[#This Row],[Profit_Margin%]]&gt;=10%,Table5[[#This Row],[Profit_Margin%]]&lt;=20%),"Good","Needs Improvement"))</f>
        <v>Needs Improvement</v>
      </c>
    </row>
    <row r="281" spans="1:4" x14ac:dyDescent="0.25">
      <c r="A281" s="64">
        <v>850.92</v>
      </c>
      <c r="B281" s="2">
        <v>177.49</v>
      </c>
      <c r="C281" s="65">
        <f>Table5[[#This Row],[Profit]]/Table5[[#This Row],[Total_Sales]]</f>
        <v>0.20858600103417479</v>
      </c>
      <c r="D281" s="22" t="str">
        <f>IF(AND(Table5[[#This Row],[Profit_Margin%]]&gt;20%,Table5[[#This Row],[Total_Sales]]&gt;2000),"Excellent",IF(AND(Table5[[#This Row],[Profit_Margin%]]&gt;=10%,Table5[[#This Row],[Profit_Margin%]]&lt;=20%),"Good","Needs Improvement"))</f>
        <v>Needs Improvement</v>
      </c>
    </row>
    <row r="282" spans="1:4" x14ac:dyDescent="0.25">
      <c r="A282" s="64">
        <v>1035.44</v>
      </c>
      <c r="B282" s="2">
        <v>226.37</v>
      </c>
      <c r="C282" s="65">
        <f>Table5[[#This Row],[Profit]]/Table5[[#This Row],[Total_Sales]]</f>
        <v>0.21862203507687553</v>
      </c>
      <c r="D282" s="22" t="str">
        <f>IF(AND(Table5[[#This Row],[Profit_Margin%]]&gt;20%,Table5[[#This Row],[Total_Sales]]&gt;2000),"Excellent",IF(AND(Table5[[#This Row],[Profit_Margin%]]&gt;=10%,Table5[[#This Row],[Profit_Margin%]]&lt;=20%),"Good","Needs Improvement"))</f>
        <v>Needs Improvement</v>
      </c>
    </row>
    <row r="283" spans="1:4" x14ac:dyDescent="0.25">
      <c r="A283" s="64">
        <v>966.14</v>
      </c>
      <c r="B283" s="2">
        <v>373.47</v>
      </c>
      <c r="C283" s="65">
        <f>Table5[[#This Row],[Profit]]/Table5[[#This Row],[Total_Sales]]</f>
        <v>0.38655888380565967</v>
      </c>
      <c r="D283" s="22" t="str">
        <f>IF(AND(Table5[[#This Row],[Profit_Margin%]]&gt;20%,Table5[[#This Row],[Total_Sales]]&gt;2000),"Excellent",IF(AND(Table5[[#This Row],[Profit_Margin%]]&gt;=10%,Table5[[#This Row],[Profit_Margin%]]&lt;=20%),"Good","Needs Improvement"))</f>
        <v>Needs Improvement</v>
      </c>
    </row>
    <row r="284" spans="1:4" x14ac:dyDescent="0.25">
      <c r="A284" s="64">
        <v>820.41</v>
      </c>
      <c r="B284" s="2">
        <v>177.26</v>
      </c>
      <c r="C284" s="65">
        <f>Table5[[#This Row],[Profit]]/Table5[[#This Row],[Total_Sales]]</f>
        <v>0.21606270035713851</v>
      </c>
      <c r="D284" s="22" t="str">
        <f>IF(AND(Table5[[#This Row],[Profit_Margin%]]&gt;20%,Table5[[#This Row],[Total_Sales]]&gt;2000),"Excellent",IF(AND(Table5[[#This Row],[Profit_Margin%]]&gt;=10%,Table5[[#This Row],[Profit_Margin%]]&lt;=20%),"Good","Needs Improvement"))</f>
        <v>Needs Improvement</v>
      </c>
    </row>
    <row r="285" spans="1:4" x14ac:dyDescent="0.25">
      <c r="A285" s="64">
        <v>768.79</v>
      </c>
      <c r="B285" s="2">
        <v>303.63</v>
      </c>
      <c r="C285" s="65">
        <f>Table5[[#This Row],[Profit]]/Table5[[#This Row],[Total_Sales]]</f>
        <v>0.3949453036589966</v>
      </c>
      <c r="D285" s="22" t="str">
        <f>IF(AND(Table5[[#This Row],[Profit_Margin%]]&gt;20%,Table5[[#This Row],[Total_Sales]]&gt;2000),"Excellent",IF(AND(Table5[[#This Row],[Profit_Margin%]]&gt;=10%,Table5[[#This Row],[Profit_Margin%]]&lt;=20%),"Good","Needs Improvement"))</f>
        <v>Needs Improvement</v>
      </c>
    </row>
    <row r="286" spans="1:4" x14ac:dyDescent="0.25">
      <c r="A286" s="64">
        <v>638.77</v>
      </c>
      <c r="B286" s="2">
        <v>209.88</v>
      </c>
      <c r="C286" s="65">
        <f>Table5[[#This Row],[Profit]]/Table5[[#This Row],[Total_Sales]]</f>
        <v>0.32856896848630962</v>
      </c>
      <c r="D286" s="22" t="str">
        <f>IF(AND(Table5[[#This Row],[Profit_Margin%]]&gt;20%,Table5[[#This Row],[Total_Sales]]&gt;2000),"Excellent",IF(AND(Table5[[#This Row],[Profit_Margin%]]&gt;=10%,Table5[[#This Row],[Profit_Margin%]]&lt;=20%),"Good","Needs Improvement"))</f>
        <v>Needs Improvement</v>
      </c>
    </row>
    <row r="287" spans="1:4" x14ac:dyDescent="0.25">
      <c r="A287" s="64">
        <v>146.28</v>
      </c>
      <c r="B287" s="2">
        <v>39.83</v>
      </c>
      <c r="C287" s="65">
        <f>Table5[[#This Row],[Profit]]/Table5[[#This Row],[Total_Sales]]</f>
        <v>0.2722860267979218</v>
      </c>
      <c r="D287" s="22" t="str">
        <f>IF(AND(Table5[[#This Row],[Profit_Margin%]]&gt;20%,Table5[[#This Row],[Total_Sales]]&gt;2000),"Excellent",IF(AND(Table5[[#This Row],[Profit_Margin%]]&gt;=10%,Table5[[#This Row],[Profit_Margin%]]&lt;=20%),"Good","Needs Improvement"))</f>
        <v>Needs Improvement</v>
      </c>
    </row>
    <row r="288" spans="1:4" x14ac:dyDescent="0.25">
      <c r="A288" s="64">
        <v>1492.54</v>
      </c>
      <c r="B288" s="2">
        <v>460.72</v>
      </c>
      <c r="C288" s="65">
        <f>Table5[[#This Row],[Profit]]/Table5[[#This Row],[Total_Sales]]</f>
        <v>0.30868184437268015</v>
      </c>
      <c r="D288" s="22" t="str">
        <f>IF(AND(Table5[[#This Row],[Profit_Margin%]]&gt;20%,Table5[[#This Row],[Total_Sales]]&gt;2000),"Excellent",IF(AND(Table5[[#This Row],[Profit_Margin%]]&gt;=10%,Table5[[#This Row],[Profit_Margin%]]&lt;=20%),"Good","Needs Improvement"))</f>
        <v>Needs Improvement</v>
      </c>
    </row>
    <row r="289" spans="1:4" x14ac:dyDescent="0.25">
      <c r="A289" s="64">
        <v>880.25</v>
      </c>
      <c r="B289" s="2">
        <v>140.44999999999999</v>
      </c>
      <c r="C289" s="65">
        <f>Table5[[#This Row],[Profit]]/Table5[[#This Row],[Total_Sales]]</f>
        <v>0.1595569440499858</v>
      </c>
      <c r="D289" s="22" t="str">
        <f>IF(AND(Table5[[#This Row],[Profit_Margin%]]&gt;20%,Table5[[#This Row],[Total_Sales]]&gt;2000),"Excellent",IF(AND(Table5[[#This Row],[Profit_Margin%]]&gt;=10%,Table5[[#This Row],[Profit_Margin%]]&lt;=20%),"Good","Needs Improvement"))</f>
        <v>Good</v>
      </c>
    </row>
    <row r="290" spans="1:4" x14ac:dyDescent="0.25">
      <c r="A290" s="64">
        <v>1658.34</v>
      </c>
      <c r="B290" s="2">
        <v>556.59</v>
      </c>
      <c r="C290" s="65">
        <f>Table5[[#This Row],[Profit]]/Table5[[#This Row],[Total_Sales]]</f>
        <v>0.33563081153442603</v>
      </c>
      <c r="D290" s="22" t="str">
        <f>IF(AND(Table5[[#This Row],[Profit_Margin%]]&gt;20%,Table5[[#This Row],[Total_Sales]]&gt;2000),"Excellent",IF(AND(Table5[[#This Row],[Profit_Margin%]]&gt;=10%,Table5[[#This Row],[Profit_Margin%]]&lt;=20%),"Good","Needs Improvement"))</f>
        <v>Needs Improvement</v>
      </c>
    </row>
    <row r="291" spans="1:4" x14ac:dyDescent="0.25">
      <c r="A291" s="64">
        <v>206.25</v>
      </c>
      <c r="B291" s="2">
        <v>24.08</v>
      </c>
      <c r="C291" s="65">
        <f>Table5[[#This Row],[Profit]]/Table5[[#This Row],[Total_Sales]]</f>
        <v>0.11675151515151515</v>
      </c>
      <c r="D291" s="22" t="str">
        <f>IF(AND(Table5[[#This Row],[Profit_Margin%]]&gt;20%,Table5[[#This Row],[Total_Sales]]&gt;2000),"Excellent",IF(AND(Table5[[#This Row],[Profit_Margin%]]&gt;=10%,Table5[[#This Row],[Profit_Margin%]]&lt;=20%),"Good","Needs Improvement"))</f>
        <v>Good</v>
      </c>
    </row>
    <row r="292" spans="1:4" x14ac:dyDescent="0.25">
      <c r="A292" s="64">
        <v>1171.42</v>
      </c>
      <c r="B292" s="2">
        <v>372.47</v>
      </c>
      <c r="C292" s="65">
        <f>Table5[[#This Row],[Profit]]/Table5[[#This Row],[Total_Sales]]</f>
        <v>0.31796452169162215</v>
      </c>
      <c r="D292" s="22" t="str">
        <f>IF(AND(Table5[[#This Row],[Profit_Margin%]]&gt;20%,Table5[[#This Row],[Total_Sales]]&gt;2000),"Excellent",IF(AND(Table5[[#This Row],[Profit_Margin%]]&gt;=10%,Table5[[#This Row],[Profit_Margin%]]&lt;=20%),"Good","Needs Improvement"))</f>
        <v>Needs Improvement</v>
      </c>
    </row>
    <row r="293" spans="1:4" x14ac:dyDescent="0.25">
      <c r="A293" s="64">
        <v>556.58000000000004</v>
      </c>
      <c r="B293" s="2">
        <v>201.9</v>
      </c>
      <c r="C293" s="65">
        <f>Table5[[#This Row],[Profit]]/Table5[[#This Row],[Total_Sales]]</f>
        <v>0.36275108699558012</v>
      </c>
      <c r="D293" s="22" t="str">
        <f>IF(AND(Table5[[#This Row],[Profit_Margin%]]&gt;20%,Table5[[#This Row],[Total_Sales]]&gt;2000),"Excellent",IF(AND(Table5[[#This Row],[Profit_Margin%]]&gt;=10%,Table5[[#This Row],[Profit_Margin%]]&lt;=20%),"Good","Needs Improvement"))</f>
        <v>Needs Improvement</v>
      </c>
    </row>
    <row r="294" spans="1:4" x14ac:dyDescent="0.25">
      <c r="A294" s="64">
        <v>326.48</v>
      </c>
      <c r="B294" s="2">
        <v>105.29</v>
      </c>
      <c r="C294" s="65">
        <f>Table5[[#This Row],[Profit]]/Table5[[#This Row],[Total_Sales]]</f>
        <v>0.32250061259495222</v>
      </c>
      <c r="D294" s="22" t="str">
        <f>IF(AND(Table5[[#This Row],[Profit_Margin%]]&gt;20%,Table5[[#This Row],[Total_Sales]]&gt;2000),"Excellent",IF(AND(Table5[[#This Row],[Profit_Margin%]]&gt;=10%,Table5[[#This Row],[Profit_Margin%]]&lt;=20%),"Good","Needs Improvement"))</f>
        <v>Needs Improvement</v>
      </c>
    </row>
    <row r="295" spans="1:4" x14ac:dyDescent="0.25">
      <c r="A295" s="64">
        <v>396.32</v>
      </c>
      <c r="B295" s="2">
        <v>92.72</v>
      </c>
      <c r="C295" s="65">
        <f>Table5[[#This Row],[Profit]]/Table5[[#This Row],[Total_Sales]]</f>
        <v>0.23395236172789666</v>
      </c>
      <c r="D295" s="22" t="str">
        <f>IF(AND(Table5[[#This Row],[Profit_Margin%]]&gt;20%,Table5[[#This Row],[Total_Sales]]&gt;2000),"Excellent",IF(AND(Table5[[#This Row],[Profit_Margin%]]&gt;=10%,Table5[[#This Row],[Profit_Margin%]]&lt;=20%),"Good","Needs Improvement"))</f>
        <v>Needs Improvement</v>
      </c>
    </row>
    <row r="296" spans="1:4" x14ac:dyDescent="0.25">
      <c r="A296" s="64">
        <v>2203.5</v>
      </c>
      <c r="B296" s="2">
        <v>501.92</v>
      </c>
      <c r="C296" s="65">
        <f>Table5[[#This Row],[Profit]]/Table5[[#This Row],[Total_Sales]]</f>
        <v>0.2277830723848423</v>
      </c>
      <c r="D296" s="22" t="str">
        <f>IF(AND(Table5[[#This Row],[Profit_Margin%]]&gt;20%,Table5[[#This Row],[Total_Sales]]&gt;2000),"Excellent",IF(AND(Table5[[#This Row],[Profit_Margin%]]&gt;=10%,Table5[[#This Row],[Profit_Margin%]]&lt;=20%),"Good","Needs Improvement"))</f>
        <v>Excellent</v>
      </c>
    </row>
    <row r="297" spans="1:4" x14ac:dyDescent="0.25">
      <c r="A297" s="64">
        <v>24.01</v>
      </c>
      <c r="B297" s="2">
        <v>6.93</v>
      </c>
      <c r="C297" s="65">
        <f>Table5[[#This Row],[Profit]]/Table5[[#This Row],[Total_Sales]]</f>
        <v>0.28862973760932942</v>
      </c>
      <c r="D297" s="22" t="str">
        <f>IF(AND(Table5[[#This Row],[Profit_Margin%]]&gt;20%,Table5[[#This Row],[Total_Sales]]&gt;2000),"Excellent",IF(AND(Table5[[#This Row],[Profit_Margin%]]&gt;=10%,Table5[[#This Row],[Profit_Margin%]]&lt;=20%),"Good","Needs Improvement"))</f>
        <v>Needs Improvement</v>
      </c>
    </row>
    <row r="298" spans="1:4" x14ac:dyDescent="0.25">
      <c r="A298" s="64">
        <v>1619.55</v>
      </c>
      <c r="B298" s="2">
        <v>444.6</v>
      </c>
      <c r="C298" s="65">
        <f>Table5[[#This Row],[Profit]]/Table5[[#This Row],[Total_Sales]]</f>
        <v>0.27452070019449848</v>
      </c>
      <c r="D298" s="22" t="str">
        <f>IF(AND(Table5[[#This Row],[Profit_Margin%]]&gt;20%,Table5[[#This Row],[Total_Sales]]&gt;2000),"Excellent",IF(AND(Table5[[#This Row],[Profit_Margin%]]&gt;=10%,Table5[[#This Row],[Profit_Margin%]]&lt;=20%),"Good","Needs Improvement"))</f>
        <v>Needs Improvement</v>
      </c>
    </row>
    <row r="299" spans="1:4" x14ac:dyDescent="0.25">
      <c r="A299" s="64">
        <v>127.25</v>
      </c>
      <c r="B299" s="2">
        <v>20.03</v>
      </c>
      <c r="C299" s="65">
        <f>Table5[[#This Row],[Profit]]/Table5[[#This Row],[Total_Sales]]</f>
        <v>0.15740667976424363</v>
      </c>
      <c r="D299" s="22" t="str">
        <f>IF(AND(Table5[[#This Row],[Profit_Margin%]]&gt;20%,Table5[[#This Row],[Total_Sales]]&gt;2000),"Excellent",IF(AND(Table5[[#This Row],[Profit_Margin%]]&gt;=10%,Table5[[#This Row],[Profit_Margin%]]&lt;=20%),"Good","Needs Improvement"))</f>
        <v>Good</v>
      </c>
    </row>
    <row r="300" spans="1:4" x14ac:dyDescent="0.25">
      <c r="A300" s="64">
        <v>468.72</v>
      </c>
      <c r="B300" s="2">
        <v>82.6</v>
      </c>
      <c r="C300" s="65">
        <f>Table5[[#This Row],[Profit]]/Table5[[#This Row],[Total_Sales]]</f>
        <v>0.17622461170848266</v>
      </c>
      <c r="D300" s="22" t="str">
        <f>IF(AND(Table5[[#This Row],[Profit_Margin%]]&gt;20%,Table5[[#This Row],[Total_Sales]]&gt;2000),"Excellent",IF(AND(Table5[[#This Row],[Profit_Margin%]]&gt;=10%,Table5[[#This Row],[Profit_Margin%]]&lt;=20%),"Good","Needs Improvement"))</f>
        <v>Good</v>
      </c>
    </row>
    <row r="301" spans="1:4" x14ac:dyDescent="0.25">
      <c r="A301" s="64">
        <v>625.24</v>
      </c>
      <c r="B301" s="2">
        <v>224</v>
      </c>
      <c r="C301" s="65">
        <f>Table5[[#This Row],[Profit]]/Table5[[#This Row],[Total_Sales]]</f>
        <v>0.35826242722794449</v>
      </c>
      <c r="D301" s="22" t="str">
        <f>IF(AND(Table5[[#This Row],[Profit_Margin%]]&gt;20%,Table5[[#This Row],[Total_Sales]]&gt;2000),"Excellent",IF(AND(Table5[[#This Row],[Profit_Margin%]]&gt;=10%,Table5[[#This Row],[Profit_Margin%]]&lt;=20%),"Good","Needs Improvement"))</f>
        <v>Needs Improvement</v>
      </c>
    </row>
    <row r="302" spans="1:4" x14ac:dyDescent="0.25">
      <c r="A302" s="64">
        <v>1926.19</v>
      </c>
      <c r="B302" s="2">
        <v>288.49</v>
      </c>
      <c r="C302" s="65">
        <f>Table5[[#This Row],[Profit]]/Table5[[#This Row],[Total_Sales]]</f>
        <v>0.14977234852221225</v>
      </c>
      <c r="D302" s="22" t="str">
        <f>IF(AND(Table5[[#This Row],[Profit_Margin%]]&gt;20%,Table5[[#This Row],[Total_Sales]]&gt;2000),"Excellent",IF(AND(Table5[[#This Row],[Profit_Margin%]]&gt;=10%,Table5[[#This Row],[Profit_Margin%]]&lt;=20%),"Good","Needs Improvement"))</f>
        <v>Good</v>
      </c>
    </row>
    <row r="303" spans="1:4" x14ac:dyDescent="0.25">
      <c r="A303" s="64">
        <v>137.69999999999999</v>
      </c>
      <c r="B303" s="2">
        <v>39.07</v>
      </c>
      <c r="C303" s="65">
        <f>Table5[[#This Row],[Profit]]/Table5[[#This Row],[Total_Sales]]</f>
        <v>0.28373275236020334</v>
      </c>
      <c r="D303" s="22" t="str">
        <f>IF(AND(Table5[[#This Row],[Profit_Margin%]]&gt;20%,Table5[[#This Row],[Total_Sales]]&gt;2000),"Excellent",IF(AND(Table5[[#This Row],[Profit_Margin%]]&gt;=10%,Table5[[#This Row],[Profit_Margin%]]&lt;=20%),"Good","Needs Improvement"))</f>
        <v>Needs Improvement</v>
      </c>
    </row>
    <row r="304" spans="1:4" x14ac:dyDescent="0.25">
      <c r="A304" s="64">
        <v>970.2</v>
      </c>
      <c r="B304" s="2">
        <v>208.46</v>
      </c>
      <c r="C304" s="65">
        <f>Table5[[#This Row],[Profit]]/Table5[[#This Row],[Total_Sales]]</f>
        <v>0.21486291486291487</v>
      </c>
      <c r="D304" s="22" t="str">
        <f>IF(AND(Table5[[#This Row],[Profit_Margin%]]&gt;20%,Table5[[#This Row],[Total_Sales]]&gt;2000),"Excellent",IF(AND(Table5[[#This Row],[Profit_Margin%]]&gt;=10%,Table5[[#This Row],[Profit_Margin%]]&lt;=20%),"Good","Needs Improvement"))</f>
        <v>Needs Improvement</v>
      </c>
    </row>
    <row r="305" spans="1:4" x14ac:dyDescent="0.25">
      <c r="A305" s="64">
        <v>2201.5</v>
      </c>
      <c r="B305" s="2">
        <v>773.45</v>
      </c>
      <c r="C305" s="65">
        <f>Table5[[#This Row],[Profit]]/Table5[[#This Row],[Total_Sales]]</f>
        <v>0.35132863956393368</v>
      </c>
      <c r="D305" s="22" t="str">
        <f>IF(AND(Table5[[#This Row],[Profit_Margin%]]&gt;20%,Table5[[#This Row],[Total_Sales]]&gt;2000),"Excellent",IF(AND(Table5[[#This Row],[Profit_Margin%]]&gt;=10%,Table5[[#This Row],[Profit_Margin%]]&lt;=20%),"Good","Needs Improvement"))</f>
        <v>Excellent</v>
      </c>
    </row>
    <row r="306" spans="1:4" x14ac:dyDescent="0.25">
      <c r="A306" s="64">
        <v>1274.98</v>
      </c>
      <c r="B306" s="2">
        <v>233.14</v>
      </c>
      <c r="C306" s="65">
        <f>Table5[[#This Row],[Profit]]/Table5[[#This Row],[Total_Sales]]</f>
        <v>0.18285777031796577</v>
      </c>
      <c r="D306" s="22" t="str">
        <f>IF(AND(Table5[[#This Row],[Profit_Margin%]]&gt;20%,Table5[[#This Row],[Total_Sales]]&gt;2000),"Excellent",IF(AND(Table5[[#This Row],[Profit_Margin%]]&gt;=10%,Table5[[#This Row],[Profit_Margin%]]&lt;=20%),"Good","Needs Improvement"))</f>
        <v>Good</v>
      </c>
    </row>
    <row r="307" spans="1:4" x14ac:dyDescent="0.25">
      <c r="A307" s="64">
        <v>32.979999999999997</v>
      </c>
      <c r="B307" s="2">
        <v>6.09</v>
      </c>
      <c r="C307" s="65">
        <f>Table5[[#This Row],[Profit]]/Table5[[#This Row],[Total_Sales]]</f>
        <v>0.18465736810187994</v>
      </c>
      <c r="D307" s="22" t="str">
        <f>IF(AND(Table5[[#This Row],[Profit_Margin%]]&gt;20%,Table5[[#This Row],[Total_Sales]]&gt;2000),"Excellent",IF(AND(Table5[[#This Row],[Profit_Margin%]]&gt;=10%,Table5[[#This Row],[Profit_Margin%]]&lt;=20%),"Good","Needs Improvement"))</f>
        <v>Good</v>
      </c>
    </row>
    <row r="308" spans="1:4" x14ac:dyDescent="0.25">
      <c r="A308" s="64">
        <v>361.62</v>
      </c>
      <c r="B308" s="2">
        <v>123.74</v>
      </c>
      <c r="C308" s="65">
        <f>Table5[[#This Row],[Profit]]/Table5[[#This Row],[Total_Sales]]</f>
        <v>0.34218240141585088</v>
      </c>
      <c r="D308" s="22" t="str">
        <f>IF(AND(Table5[[#This Row],[Profit_Margin%]]&gt;20%,Table5[[#This Row],[Total_Sales]]&gt;2000),"Excellent",IF(AND(Table5[[#This Row],[Profit_Margin%]]&gt;=10%,Table5[[#This Row],[Profit_Margin%]]&lt;=20%),"Good","Needs Improvement"))</f>
        <v>Needs Improvement</v>
      </c>
    </row>
    <row r="309" spans="1:4" x14ac:dyDescent="0.25">
      <c r="A309" s="64">
        <v>1934.01</v>
      </c>
      <c r="B309" s="2">
        <v>506.22</v>
      </c>
      <c r="C309" s="65">
        <f>Table5[[#This Row],[Profit]]/Table5[[#This Row],[Total_Sales]]</f>
        <v>0.26174631982254487</v>
      </c>
      <c r="D309" s="22" t="str">
        <f>IF(AND(Table5[[#This Row],[Profit_Margin%]]&gt;20%,Table5[[#This Row],[Total_Sales]]&gt;2000),"Excellent",IF(AND(Table5[[#This Row],[Profit_Margin%]]&gt;=10%,Table5[[#This Row],[Profit_Margin%]]&lt;=20%),"Good","Needs Improvement"))</f>
        <v>Needs Improvement</v>
      </c>
    </row>
    <row r="310" spans="1:4" x14ac:dyDescent="0.25">
      <c r="A310" s="64">
        <v>251.94</v>
      </c>
      <c r="B310" s="2">
        <v>49.18</v>
      </c>
      <c r="C310" s="65">
        <f>Table5[[#This Row],[Profit]]/Table5[[#This Row],[Total_Sales]]</f>
        <v>0.19520520758910853</v>
      </c>
      <c r="D310" s="22" t="str">
        <f>IF(AND(Table5[[#This Row],[Profit_Margin%]]&gt;20%,Table5[[#This Row],[Total_Sales]]&gt;2000),"Excellent",IF(AND(Table5[[#This Row],[Profit_Margin%]]&gt;=10%,Table5[[#This Row],[Profit_Margin%]]&lt;=20%),"Good","Needs Improvement"))</f>
        <v>Good</v>
      </c>
    </row>
    <row r="311" spans="1:4" x14ac:dyDescent="0.25">
      <c r="A311" s="64">
        <v>568.79999999999995</v>
      </c>
      <c r="B311" s="2">
        <v>125.49</v>
      </c>
      <c r="C311" s="65">
        <f>Table5[[#This Row],[Profit]]/Table5[[#This Row],[Total_Sales]]</f>
        <v>0.22062236286919831</v>
      </c>
      <c r="D311" s="22" t="str">
        <f>IF(AND(Table5[[#This Row],[Profit_Margin%]]&gt;20%,Table5[[#This Row],[Total_Sales]]&gt;2000),"Excellent",IF(AND(Table5[[#This Row],[Profit_Margin%]]&gt;=10%,Table5[[#This Row],[Profit_Margin%]]&lt;=20%),"Good","Needs Improvement"))</f>
        <v>Needs Improvement</v>
      </c>
    </row>
    <row r="312" spans="1:4" x14ac:dyDescent="0.25">
      <c r="A312" s="64">
        <v>1714</v>
      </c>
      <c r="B312" s="2">
        <v>654.16</v>
      </c>
      <c r="C312" s="65">
        <f>Table5[[#This Row],[Profit]]/Table5[[#This Row],[Total_Sales]]</f>
        <v>0.38165694282380397</v>
      </c>
      <c r="D312" s="22" t="str">
        <f>IF(AND(Table5[[#This Row],[Profit_Margin%]]&gt;20%,Table5[[#This Row],[Total_Sales]]&gt;2000),"Excellent",IF(AND(Table5[[#This Row],[Profit_Margin%]]&gt;=10%,Table5[[#This Row],[Profit_Margin%]]&lt;=20%),"Good","Needs Improvement"))</f>
        <v>Needs Improvement</v>
      </c>
    </row>
    <row r="313" spans="1:4" x14ac:dyDescent="0.25">
      <c r="A313" s="64">
        <v>1469.5</v>
      </c>
      <c r="B313" s="2">
        <v>467.99</v>
      </c>
      <c r="C313" s="65">
        <f>Table5[[#This Row],[Profit]]/Table5[[#This Row],[Total_Sales]]</f>
        <v>0.31846886696155158</v>
      </c>
      <c r="D313" s="22" t="str">
        <f>IF(AND(Table5[[#This Row],[Profit_Margin%]]&gt;20%,Table5[[#This Row],[Total_Sales]]&gt;2000),"Excellent",IF(AND(Table5[[#This Row],[Profit_Margin%]]&gt;=10%,Table5[[#This Row],[Profit_Margin%]]&lt;=20%),"Good","Needs Improvement"))</f>
        <v>Needs Improvement</v>
      </c>
    </row>
    <row r="314" spans="1:4" x14ac:dyDescent="0.25">
      <c r="A314" s="64">
        <v>1395.64</v>
      </c>
      <c r="B314" s="2">
        <v>463.44</v>
      </c>
      <c r="C314" s="65">
        <f>Table5[[#This Row],[Profit]]/Table5[[#This Row],[Total_Sales]]</f>
        <v>0.33206270958126732</v>
      </c>
      <c r="D314" s="22" t="str">
        <f>IF(AND(Table5[[#This Row],[Profit_Margin%]]&gt;20%,Table5[[#This Row],[Total_Sales]]&gt;2000),"Excellent",IF(AND(Table5[[#This Row],[Profit_Margin%]]&gt;=10%,Table5[[#This Row],[Profit_Margin%]]&lt;=20%),"Good","Needs Improvement"))</f>
        <v>Needs Improvement</v>
      </c>
    </row>
    <row r="315" spans="1:4" x14ac:dyDescent="0.25">
      <c r="A315" s="64">
        <v>940.5</v>
      </c>
      <c r="B315" s="2">
        <v>262.75</v>
      </c>
      <c r="C315" s="65">
        <f>Table5[[#This Row],[Profit]]/Table5[[#This Row],[Total_Sales]]</f>
        <v>0.27937267410951622</v>
      </c>
      <c r="D315" s="22" t="str">
        <f>IF(AND(Table5[[#This Row],[Profit_Margin%]]&gt;20%,Table5[[#This Row],[Total_Sales]]&gt;2000),"Excellent",IF(AND(Table5[[#This Row],[Profit_Margin%]]&gt;=10%,Table5[[#This Row],[Profit_Margin%]]&lt;=20%),"Good","Needs Improvement"))</f>
        <v>Needs Improvement</v>
      </c>
    </row>
    <row r="316" spans="1:4" x14ac:dyDescent="0.25">
      <c r="A316" s="64">
        <v>59.28</v>
      </c>
      <c r="B316" s="2">
        <v>9.69</v>
      </c>
      <c r="C316" s="65">
        <f>Table5[[#This Row],[Profit]]/Table5[[#This Row],[Total_Sales]]</f>
        <v>0.16346153846153846</v>
      </c>
      <c r="D316" s="22" t="str">
        <f>IF(AND(Table5[[#This Row],[Profit_Margin%]]&gt;20%,Table5[[#This Row],[Total_Sales]]&gt;2000),"Excellent",IF(AND(Table5[[#This Row],[Profit_Margin%]]&gt;=10%,Table5[[#This Row],[Profit_Margin%]]&lt;=20%),"Good","Needs Improvement"))</f>
        <v>Good</v>
      </c>
    </row>
    <row r="317" spans="1:4" x14ac:dyDescent="0.25">
      <c r="A317" s="64">
        <v>1339.2</v>
      </c>
      <c r="B317" s="2">
        <v>192.89</v>
      </c>
      <c r="C317" s="65">
        <f>Table5[[#This Row],[Profit]]/Table5[[#This Row],[Total_Sales]]</f>
        <v>0.1440337514934289</v>
      </c>
      <c r="D317" s="22" t="str">
        <f>IF(AND(Table5[[#This Row],[Profit_Margin%]]&gt;20%,Table5[[#This Row],[Total_Sales]]&gt;2000),"Excellent",IF(AND(Table5[[#This Row],[Profit_Margin%]]&gt;=10%,Table5[[#This Row],[Profit_Margin%]]&lt;=20%),"Good","Needs Improvement"))</f>
        <v>Good</v>
      </c>
    </row>
    <row r="318" spans="1:4" x14ac:dyDescent="0.25">
      <c r="A318" s="64">
        <v>1078.56</v>
      </c>
      <c r="B318" s="2">
        <v>314.05</v>
      </c>
      <c r="C318" s="65">
        <f>Table5[[#This Row],[Profit]]/Table5[[#This Row],[Total_Sales]]</f>
        <v>0.29117527073134553</v>
      </c>
      <c r="D318" s="22" t="str">
        <f>IF(AND(Table5[[#This Row],[Profit_Margin%]]&gt;20%,Table5[[#This Row],[Total_Sales]]&gt;2000),"Excellent",IF(AND(Table5[[#This Row],[Profit_Margin%]]&gt;=10%,Table5[[#This Row],[Profit_Margin%]]&lt;=20%),"Good","Needs Improvement"))</f>
        <v>Needs Improvement</v>
      </c>
    </row>
    <row r="319" spans="1:4" x14ac:dyDescent="0.25">
      <c r="A319" s="64">
        <v>341.88</v>
      </c>
      <c r="B319" s="2">
        <v>77.2</v>
      </c>
      <c r="C319" s="65">
        <f>Table5[[#This Row],[Profit]]/Table5[[#This Row],[Total_Sales]]</f>
        <v>0.22581022581022583</v>
      </c>
      <c r="D319" s="22" t="str">
        <f>IF(AND(Table5[[#This Row],[Profit_Margin%]]&gt;20%,Table5[[#This Row],[Total_Sales]]&gt;2000),"Excellent",IF(AND(Table5[[#This Row],[Profit_Margin%]]&gt;=10%,Table5[[#This Row],[Profit_Margin%]]&lt;=20%),"Good","Needs Improvement"))</f>
        <v>Needs Improvement</v>
      </c>
    </row>
    <row r="320" spans="1:4" x14ac:dyDescent="0.25">
      <c r="A320" s="64">
        <v>1089.9000000000001</v>
      </c>
      <c r="B320" s="2">
        <v>222.4</v>
      </c>
      <c r="C320" s="65">
        <f>Table5[[#This Row],[Profit]]/Table5[[#This Row],[Total_Sales]]</f>
        <v>0.2040554179282503</v>
      </c>
      <c r="D320" s="22" t="str">
        <f>IF(AND(Table5[[#This Row],[Profit_Margin%]]&gt;20%,Table5[[#This Row],[Total_Sales]]&gt;2000),"Excellent",IF(AND(Table5[[#This Row],[Profit_Margin%]]&gt;=10%,Table5[[#This Row],[Profit_Margin%]]&lt;=20%),"Good","Needs Improvement"))</f>
        <v>Needs Improvement</v>
      </c>
    </row>
    <row r="321" spans="1:4" x14ac:dyDescent="0.25">
      <c r="A321" s="64">
        <v>904.8</v>
      </c>
      <c r="B321" s="2">
        <v>84.67</v>
      </c>
      <c r="C321" s="65">
        <f>Table5[[#This Row],[Profit]]/Table5[[#This Row],[Total_Sales]]</f>
        <v>9.3578691423519017E-2</v>
      </c>
      <c r="D321" s="22" t="str">
        <f>IF(AND(Table5[[#This Row],[Profit_Margin%]]&gt;20%,Table5[[#This Row],[Total_Sales]]&gt;2000),"Excellent",IF(AND(Table5[[#This Row],[Profit_Margin%]]&gt;=10%,Table5[[#This Row],[Profit_Margin%]]&lt;=20%),"Good","Needs Improvement"))</f>
        <v>Needs Improvement</v>
      </c>
    </row>
    <row r="322" spans="1:4" x14ac:dyDescent="0.25">
      <c r="A322" s="64">
        <v>1201.2</v>
      </c>
      <c r="B322" s="2">
        <v>329.23</v>
      </c>
      <c r="C322" s="65">
        <f>Table5[[#This Row],[Profit]]/Table5[[#This Row],[Total_Sales]]</f>
        <v>0.27408424908424911</v>
      </c>
      <c r="D322" s="22" t="str">
        <f>IF(AND(Table5[[#This Row],[Profit_Margin%]]&gt;20%,Table5[[#This Row],[Total_Sales]]&gt;2000),"Excellent",IF(AND(Table5[[#This Row],[Profit_Margin%]]&gt;=10%,Table5[[#This Row],[Profit_Margin%]]&lt;=20%),"Good","Needs Improvement"))</f>
        <v>Needs Improvement</v>
      </c>
    </row>
    <row r="323" spans="1:4" x14ac:dyDescent="0.25">
      <c r="A323" s="64">
        <v>406.8</v>
      </c>
      <c r="B323" s="2">
        <v>82.52</v>
      </c>
      <c r="C323" s="65">
        <f>Table5[[#This Row],[Profit]]/Table5[[#This Row],[Total_Sales]]</f>
        <v>0.20285152409046212</v>
      </c>
      <c r="D323" s="22" t="str">
        <f>IF(AND(Table5[[#This Row],[Profit_Margin%]]&gt;20%,Table5[[#This Row],[Total_Sales]]&gt;2000),"Excellent",IF(AND(Table5[[#This Row],[Profit_Margin%]]&gt;=10%,Table5[[#This Row],[Profit_Margin%]]&lt;=20%),"Good","Needs Improvement"))</f>
        <v>Needs Improvement</v>
      </c>
    </row>
    <row r="324" spans="1:4" x14ac:dyDescent="0.25">
      <c r="A324" s="64">
        <v>642.25</v>
      </c>
      <c r="B324" s="2">
        <v>166.65</v>
      </c>
      <c r="C324" s="65">
        <f>Table5[[#This Row],[Profit]]/Table5[[#This Row],[Total_Sales]]</f>
        <v>0.2594783962631374</v>
      </c>
      <c r="D324" s="22" t="str">
        <f>IF(AND(Table5[[#This Row],[Profit_Margin%]]&gt;20%,Table5[[#This Row],[Total_Sales]]&gt;2000),"Excellent",IF(AND(Table5[[#This Row],[Profit_Margin%]]&gt;=10%,Table5[[#This Row],[Profit_Margin%]]&lt;=20%),"Good","Needs Improvement"))</f>
        <v>Needs Improvement</v>
      </c>
    </row>
    <row r="325" spans="1:4" x14ac:dyDescent="0.25">
      <c r="A325" s="64">
        <v>1104.3900000000001</v>
      </c>
      <c r="B325" s="2">
        <v>312.33</v>
      </c>
      <c r="C325" s="65">
        <f>Table5[[#This Row],[Profit]]/Table5[[#This Row],[Total_Sales]]</f>
        <v>0.28280770380028791</v>
      </c>
      <c r="D325" s="22" t="str">
        <f>IF(AND(Table5[[#This Row],[Profit_Margin%]]&gt;20%,Table5[[#This Row],[Total_Sales]]&gt;2000),"Excellent",IF(AND(Table5[[#This Row],[Profit_Margin%]]&gt;=10%,Table5[[#This Row],[Profit_Margin%]]&lt;=20%),"Good","Needs Improvement"))</f>
        <v>Needs Improvement</v>
      </c>
    </row>
    <row r="326" spans="1:4" x14ac:dyDescent="0.25">
      <c r="A326" s="64">
        <v>442</v>
      </c>
      <c r="B326" s="2">
        <v>143.55000000000001</v>
      </c>
      <c r="C326" s="65">
        <f>Table5[[#This Row],[Profit]]/Table5[[#This Row],[Total_Sales]]</f>
        <v>0.32477375565610861</v>
      </c>
      <c r="D326" s="22" t="str">
        <f>IF(AND(Table5[[#This Row],[Profit_Margin%]]&gt;20%,Table5[[#This Row],[Total_Sales]]&gt;2000),"Excellent",IF(AND(Table5[[#This Row],[Profit_Margin%]]&gt;=10%,Table5[[#This Row],[Profit_Margin%]]&lt;=20%),"Good","Needs Improvement"))</f>
        <v>Needs Improvement</v>
      </c>
    </row>
    <row r="327" spans="1:4" x14ac:dyDescent="0.25">
      <c r="A327" s="64">
        <v>669.9</v>
      </c>
      <c r="B327" s="2">
        <v>258.62</v>
      </c>
      <c r="C327" s="65">
        <f>Table5[[#This Row],[Profit]]/Table5[[#This Row],[Total_Sales]]</f>
        <v>0.38605762054037918</v>
      </c>
      <c r="D327" s="22" t="str">
        <f>IF(AND(Table5[[#This Row],[Profit_Margin%]]&gt;20%,Table5[[#This Row],[Total_Sales]]&gt;2000),"Excellent",IF(AND(Table5[[#This Row],[Profit_Margin%]]&gt;=10%,Table5[[#This Row],[Profit_Margin%]]&lt;=20%),"Good","Needs Improvement"))</f>
        <v>Needs Improvement</v>
      </c>
    </row>
    <row r="328" spans="1:4" x14ac:dyDescent="0.25">
      <c r="A328" s="64">
        <v>580.32000000000005</v>
      </c>
      <c r="B328" s="2">
        <v>203.74</v>
      </c>
      <c r="C328" s="65">
        <f>Table5[[#This Row],[Profit]]/Table5[[#This Row],[Total_Sales]]</f>
        <v>0.3510821615660325</v>
      </c>
      <c r="D328" s="22" t="str">
        <f>IF(AND(Table5[[#This Row],[Profit_Margin%]]&gt;20%,Table5[[#This Row],[Total_Sales]]&gt;2000),"Excellent",IF(AND(Table5[[#This Row],[Profit_Margin%]]&gt;=10%,Table5[[#This Row],[Profit_Margin%]]&lt;=20%),"Good","Needs Improvement"))</f>
        <v>Needs Improvement</v>
      </c>
    </row>
    <row r="329" spans="1:4" x14ac:dyDescent="0.25">
      <c r="A329" s="64">
        <v>1926.94</v>
      </c>
      <c r="B329" s="2">
        <v>541.54999999999995</v>
      </c>
      <c r="C329" s="65">
        <f>Table5[[#This Row],[Profit]]/Table5[[#This Row],[Total_Sales]]</f>
        <v>0.28104144394739844</v>
      </c>
      <c r="D329" s="22" t="str">
        <f>IF(AND(Table5[[#This Row],[Profit_Margin%]]&gt;20%,Table5[[#This Row],[Total_Sales]]&gt;2000),"Excellent",IF(AND(Table5[[#This Row],[Profit_Margin%]]&gt;=10%,Table5[[#This Row],[Profit_Margin%]]&lt;=20%),"Good","Needs Improvement"))</f>
        <v>Needs Improvement</v>
      </c>
    </row>
    <row r="330" spans="1:4" x14ac:dyDescent="0.25">
      <c r="A330" s="64">
        <v>913.32</v>
      </c>
      <c r="B330" s="2">
        <v>314.75</v>
      </c>
      <c r="C330" s="65">
        <f>Table5[[#This Row],[Profit]]/Table5[[#This Row],[Total_Sales]]</f>
        <v>0.34462181929663205</v>
      </c>
      <c r="D330" s="22" t="str">
        <f>IF(AND(Table5[[#This Row],[Profit_Margin%]]&gt;20%,Table5[[#This Row],[Total_Sales]]&gt;2000),"Excellent",IF(AND(Table5[[#This Row],[Profit_Margin%]]&gt;=10%,Table5[[#This Row],[Profit_Margin%]]&lt;=20%),"Good","Needs Improvement"))</f>
        <v>Needs Improvement</v>
      </c>
    </row>
    <row r="331" spans="1:4" x14ac:dyDescent="0.25">
      <c r="A331" s="64">
        <v>943.6</v>
      </c>
      <c r="B331" s="2">
        <v>293.43</v>
      </c>
      <c r="C331" s="65">
        <f>Table5[[#This Row],[Profit]]/Table5[[#This Row],[Total_Sales]]</f>
        <v>0.31096863077575243</v>
      </c>
      <c r="D331" s="22" t="str">
        <f>IF(AND(Table5[[#This Row],[Profit_Margin%]]&gt;20%,Table5[[#This Row],[Total_Sales]]&gt;2000),"Excellent",IF(AND(Table5[[#This Row],[Profit_Margin%]]&gt;=10%,Table5[[#This Row],[Profit_Margin%]]&lt;=20%),"Good","Needs Improvement"))</f>
        <v>Needs Improvement</v>
      </c>
    </row>
    <row r="332" spans="1:4" x14ac:dyDescent="0.25">
      <c r="A332" s="64">
        <v>1752.34</v>
      </c>
      <c r="B332" s="2">
        <v>225.25</v>
      </c>
      <c r="C332" s="65">
        <f>Table5[[#This Row],[Profit]]/Table5[[#This Row],[Total_Sales]]</f>
        <v>0.12854240615405688</v>
      </c>
      <c r="D332" s="22" t="str">
        <f>IF(AND(Table5[[#This Row],[Profit_Margin%]]&gt;20%,Table5[[#This Row],[Total_Sales]]&gt;2000),"Excellent",IF(AND(Table5[[#This Row],[Profit_Margin%]]&gt;=10%,Table5[[#This Row],[Profit_Margin%]]&lt;=20%),"Good","Needs Improvement"))</f>
        <v>Good</v>
      </c>
    </row>
    <row r="333" spans="1:4" x14ac:dyDescent="0.25">
      <c r="A333" s="64">
        <v>724.32</v>
      </c>
      <c r="B333" s="2">
        <v>199.35</v>
      </c>
      <c r="C333" s="65">
        <f>Table5[[#This Row],[Profit]]/Table5[[#This Row],[Total_Sales]]</f>
        <v>0.27522365805168986</v>
      </c>
      <c r="D333" s="22" t="str">
        <f>IF(AND(Table5[[#This Row],[Profit_Margin%]]&gt;20%,Table5[[#This Row],[Total_Sales]]&gt;2000),"Excellent",IF(AND(Table5[[#This Row],[Profit_Margin%]]&gt;=10%,Table5[[#This Row],[Profit_Margin%]]&lt;=20%),"Good","Needs Improvement"))</f>
        <v>Needs Improvement</v>
      </c>
    </row>
    <row r="334" spans="1:4" x14ac:dyDescent="0.25">
      <c r="A334" s="64">
        <v>880.88</v>
      </c>
      <c r="B334" s="2">
        <v>138.61000000000001</v>
      </c>
      <c r="C334" s="65">
        <f>Table5[[#This Row],[Profit]]/Table5[[#This Row],[Total_Sales]]</f>
        <v>0.15735400962673693</v>
      </c>
      <c r="D334" s="22" t="str">
        <f>IF(AND(Table5[[#This Row],[Profit_Margin%]]&gt;20%,Table5[[#This Row],[Total_Sales]]&gt;2000),"Excellent",IF(AND(Table5[[#This Row],[Profit_Margin%]]&gt;=10%,Table5[[#This Row],[Profit_Margin%]]&lt;=20%),"Good","Needs Improvement"))</f>
        <v>Good</v>
      </c>
    </row>
    <row r="335" spans="1:4" x14ac:dyDescent="0.25">
      <c r="A335" s="64">
        <v>329.4</v>
      </c>
      <c r="B335" s="2">
        <v>76.180000000000007</v>
      </c>
      <c r="C335" s="65">
        <f>Table5[[#This Row],[Profit]]/Table5[[#This Row],[Total_Sales]]</f>
        <v>0.23126897389192475</v>
      </c>
      <c r="D335" s="22" t="str">
        <f>IF(AND(Table5[[#This Row],[Profit_Margin%]]&gt;20%,Table5[[#This Row],[Total_Sales]]&gt;2000),"Excellent",IF(AND(Table5[[#This Row],[Profit_Margin%]]&gt;=10%,Table5[[#This Row],[Profit_Margin%]]&lt;=20%),"Good","Needs Improvement"))</f>
        <v>Needs Improvement</v>
      </c>
    </row>
    <row r="336" spans="1:4" x14ac:dyDescent="0.25">
      <c r="A336" s="64">
        <v>794.82</v>
      </c>
      <c r="B336" s="2">
        <v>255.37</v>
      </c>
      <c r="C336" s="65">
        <f>Table5[[#This Row],[Profit]]/Table5[[#This Row],[Total_Sales]]</f>
        <v>0.32129287134193907</v>
      </c>
      <c r="D336" s="22" t="str">
        <f>IF(AND(Table5[[#This Row],[Profit_Margin%]]&gt;20%,Table5[[#This Row],[Total_Sales]]&gt;2000),"Excellent",IF(AND(Table5[[#This Row],[Profit_Margin%]]&gt;=10%,Table5[[#This Row],[Profit_Margin%]]&lt;=20%),"Good","Needs Improvement"))</f>
        <v>Needs Improvement</v>
      </c>
    </row>
    <row r="337" spans="1:4" x14ac:dyDescent="0.25">
      <c r="A337" s="64">
        <v>1480.74</v>
      </c>
      <c r="B337" s="2">
        <v>219.61</v>
      </c>
      <c r="C337" s="65">
        <f>Table5[[#This Row],[Profit]]/Table5[[#This Row],[Total_Sales]]</f>
        <v>0.14831097964531248</v>
      </c>
      <c r="D337" s="22" t="str">
        <f>IF(AND(Table5[[#This Row],[Profit_Margin%]]&gt;20%,Table5[[#This Row],[Total_Sales]]&gt;2000),"Excellent",IF(AND(Table5[[#This Row],[Profit_Margin%]]&gt;=10%,Table5[[#This Row],[Profit_Margin%]]&lt;=20%),"Good","Needs Improvement"))</f>
        <v>Good</v>
      </c>
    </row>
    <row r="338" spans="1:4" x14ac:dyDescent="0.25">
      <c r="A338" s="64">
        <v>635.79999999999995</v>
      </c>
      <c r="B338" s="2">
        <v>237.37</v>
      </c>
      <c r="C338" s="65">
        <f>Table5[[#This Row],[Profit]]/Table5[[#This Row],[Total_Sales]]</f>
        <v>0.37334067316766284</v>
      </c>
      <c r="D338" s="22" t="str">
        <f>IF(AND(Table5[[#This Row],[Profit_Margin%]]&gt;20%,Table5[[#This Row],[Total_Sales]]&gt;2000),"Excellent",IF(AND(Table5[[#This Row],[Profit_Margin%]]&gt;=10%,Table5[[#This Row],[Profit_Margin%]]&lt;=20%),"Good","Needs Improvement"))</f>
        <v>Needs Improvement</v>
      </c>
    </row>
    <row r="339" spans="1:4" x14ac:dyDescent="0.25">
      <c r="A339" s="64">
        <v>231.52</v>
      </c>
      <c r="B339" s="2">
        <v>80.52</v>
      </c>
      <c r="C339" s="65">
        <f>Table5[[#This Row],[Profit]]/Table5[[#This Row],[Total_Sales]]</f>
        <v>0.34778852798894261</v>
      </c>
      <c r="D339" s="22" t="str">
        <f>IF(AND(Table5[[#This Row],[Profit_Margin%]]&gt;20%,Table5[[#This Row],[Total_Sales]]&gt;2000),"Excellent",IF(AND(Table5[[#This Row],[Profit_Margin%]]&gt;=10%,Table5[[#This Row],[Profit_Margin%]]&lt;=20%),"Good","Needs Improvement"))</f>
        <v>Needs Improvement</v>
      </c>
    </row>
    <row r="340" spans="1:4" x14ac:dyDescent="0.25">
      <c r="A340" s="64">
        <v>1226.4000000000001</v>
      </c>
      <c r="B340" s="2">
        <v>421.16</v>
      </c>
      <c r="C340" s="65">
        <f>Table5[[#This Row],[Profit]]/Table5[[#This Row],[Total_Sales]]</f>
        <v>0.34341161121983038</v>
      </c>
      <c r="D340" s="22" t="str">
        <f>IF(AND(Table5[[#This Row],[Profit_Margin%]]&gt;20%,Table5[[#This Row],[Total_Sales]]&gt;2000),"Excellent",IF(AND(Table5[[#This Row],[Profit_Margin%]]&gt;=10%,Table5[[#This Row],[Profit_Margin%]]&lt;=20%),"Good","Needs Improvement"))</f>
        <v>Needs Improvement</v>
      </c>
    </row>
    <row r="341" spans="1:4" x14ac:dyDescent="0.25">
      <c r="A341" s="64">
        <v>2379.96</v>
      </c>
      <c r="B341" s="2">
        <v>865.57</v>
      </c>
      <c r="C341" s="65">
        <f>Table5[[#This Row],[Profit]]/Table5[[#This Row],[Total_Sales]]</f>
        <v>0.36369098640313285</v>
      </c>
      <c r="D341" s="22" t="str">
        <f>IF(AND(Table5[[#This Row],[Profit_Margin%]]&gt;20%,Table5[[#This Row],[Total_Sales]]&gt;2000),"Excellent",IF(AND(Table5[[#This Row],[Profit_Margin%]]&gt;=10%,Table5[[#This Row],[Profit_Margin%]]&lt;=20%),"Good","Needs Improvement"))</f>
        <v>Excellent</v>
      </c>
    </row>
    <row r="342" spans="1:4" x14ac:dyDescent="0.25">
      <c r="A342" s="64">
        <v>2204.48</v>
      </c>
      <c r="B342" s="2">
        <v>772.43</v>
      </c>
      <c r="C342" s="65">
        <f>Table5[[#This Row],[Profit]]/Table5[[#This Row],[Total_Sales]]</f>
        <v>0.35039102191900129</v>
      </c>
      <c r="D342" s="22" t="str">
        <f>IF(AND(Table5[[#This Row],[Profit_Margin%]]&gt;20%,Table5[[#This Row],[Total_Sales]]&gt;2000),"Excellent",IF(AND(Table5[[#This Row],[Profit_Margin%]]&gt;=10%,Table5[[#This Row],[Profit_Margin%]]&lt;=20%),"Good","Needs Improvement"))</f>
        <v>Excellent</v>
      </c>
    </row>
    <row r="343" spans="1:4" x14ac:dyDescent="0.25">
      <c r="A343" s="64">
        <v>1907.4</v>
      </c>
      <c r="B343" s="2">
        <v>268.35000000000002</v>
      </c>
      <c r="C343" s="65">
        <f>Table5[[#This Row],[Profit]]/Table5[[#This Row],[Total_Sales]]</f>
        <v>0.1406888958792073</v>
      </c>
      <c r="D343" s="22" t="str">
        <f>IF(AND(Table5[[#This Row],[Profit_Margin%]]&gt;20%,Table5[[#This Row],[Total_Sales]]&gt;2000),"Excellent",IF(AND(Table5[[#This Row],[Profit_Margin%]]&gt;=10%,Table5[[#This Row],[Profit_Margin%]]&lt;=20%),"Good","Needs Improvement"))</f>
        <v>Good</v>
      </c>
    </row>
    <row r="344" spans="1:4" x14ac:dyDescent="0.25">
      <c r="A344" s="64">
        <v>816</v>
      </c>
      <c r="B344" s="2">
        <v>101.85</v>
      </c>
      <c r="C344" s="65">
        <f>Table5[[#This Row],[Profit]]/Table5[[#This Row],[Total_Sales]]</f>
        <v>0.12481617647058822</v>
      </c>
      <c r="D344" s="22" t="str">
        <f>IF(AND(Table5[[#This Row],[Profit_Margin%]]&gt;20%,Table5[[#This Row],[Total_Sales]]&gt;2000),"Excellent",IF(AND(Table5[[#This Row],[Profit_Margin%]]&gt;=10%,Table5[[#This Row],[Profit_Margin%]]&lt;=20%),"Good","Needs Improvement"))</f>
        <v>Good</v>
      </c>
    </row>
    <row r="345" spans="1:4" x14ac:dyDescent="0.25">
      <c r="A345" s="64">
        <v>1240.25</v>
      </c>
      <c r="B345" s="2">
        <v>409.39</v>
      </c>
      <c r="C345" s="65">
        <f>Table5[[#This Row],[Profit]]/Table5[[#This Row],[Total_Sales]]</f>
        <v>0.33008667607337228</v>
      </c>
      <c r="D345" s="22" t="str">
        <f>IF(AND(Table5[[#This Row],[Profit_Margin%]]&gt;20%,Table5[[#This Row],[Total_Sales]]&gt;2000),"Excellent",IF(AND(Table5[[#This Row],[Profit_Margin%]]&gt;=10%,Table5[[#This Row],[Profit_Margin%]]&lt;=20%),"Good","Needs Improvement"))</f>
        <v>Needs Improvement</v>
      </c>
    </row>
    <row r="346" spans="1:4" x14ac:dyDescent="0.25">
      <c r="A346" s="64">
        <v>355.65</v>
      </c>
      <c r="B346" s="2">
        <v>115.93</v>
      </c>
      <c r="C346" s="65">
        <f>Table5[[#This Row],[Profit]]/Table5[[#This Row],[Total_Sales]]</f>
        <v>0.32596654013777593</v>
      </c>
      <c r="D346" s="22" t="str">
        <f>IF(AND(Table5[[#This Row],[Profit_Margin%]]&gt;20%,Table5[[#This Row],[Total_Sales]]&gt;2000),"Excellent",IF(AND(Table5[[#This Row],[Profit_Margin%]]&gt;=10%,Table5[[#This Row],[Profit_Margin%]]&lt;=20%),"Good","Needs Improvement"))</f>
        <v>Needs Improvement</v>
      </c>
    </row>
    <row r="347" spans="1:4" x14ac:dyDescent="0.25">
      <c r="A347" s="64">
        <v>1605.12</v>
      </c>
      <c r="B347" s="2">
        <v>450.41</v>
      </c>
      <c r="C347" s="65">
        <f>Table5[[#This Row],[Profit]]/Table5[[#This Row],[Total_Sales]]</f>
        <v>0.28060830342902715</v>
      </c>
      <c r="D347" s="22" t="str">
        <f>IF(AND(Table5[[#This Row],[Profit_Margin%]]&gt;20%,Table5[[#This Row],[Total_Sales]]&gt;2000),"Excellent",IF(AND(Table5[[#This Row],[Profit_Margin%]]&gt;=10%,Table5[[#This Row],[Profit_Margin%]]&lt;=20%),"Good","Needs Improvement"))</f>
        <v>Needs Improvement</v>
      </c>
    </row>
    <row r="348" spans="1:4" x14ac:dyDescent="0.25">
      <c r="A348" s="64">
        <v>356.58</v>
      </c>
      <c r="B348" s="2">
        <v>100.39</v>
      </c>
      <c r="C348" s="65">
        <f>Table5[[#This Row],[Profit]]/Table5[[#This Row],[Total_Sales]]</f>
        <v>0.28153570026361546</v>
      </c>
      <c r="D348" s="22" t="str">
        <f>IF(AND(Table5[[#This Row],[Profit_Margin%]]&gt;20%,Table5[[#This Row],[Total_Sales]]&gt;2000),"Excellent",IF(AND(Table5[[#This Row],[Profit_Margin%]]&gt;=10%,Table5[[#This Row],[Profit_Margin%]]&lt;=20%),"Good","Needs Improvement"))</f>
        <v>Needs Improvement</v>
      </c>
    </row>
    <row r="349" spans="1:4" x14ac:dyDescent="0.25">
      <c r="A349" s="64">
        <v>31.4</v>
      </c>
      <c r="B349" s="2">
        <v>10.26</v>
      </c>
      <c r="C349" s="65">
        <f>Table5[[#This Row],[Profit]]/Table5[[#This Row],[Total_Sales]]</f>
        <v>0.32675159235668788</v>
      </c>
      <c r="D349" s="22" t="str">
        <f>IF(AND(Table5[[#This Row],[Profit_Margin%]]&gt;20%,Table5[[#This Row],[Total_Sales]]&gt;2000),"Excellent",IF(AND(Table5[[#This Row],[Profit_Margin%]]&gt;=10%,Table5[[#This Row],[Profit_Margin%]]&lt;=20%),"Good","Needs Improvement"))</f>
        <v>Needs Improvement</v>
      </c>
    </row>
    <row r="350" spans="1:4" x14ac:dyDescent="0.25">
      <c r="A350" s="64">
        <v>520.52</v>
      </c>
      <c r="B350" s="2">
        <v>149.44</v>
      </c>
      <c r="C350" s="65">
        <f>Table5[[#This Row],[Profit]]/Table5[[#This Row],[Total_Sales]]</f>
        <v>0.28709751786674864</v>
      </c>
      <c r="D350" s="22" t="str">
        <f>IF(AND(Table5[[#This Row],[Profit_Margin%]]&gt;20%,Table5[[#This Row],[Total_Sales]]&gt;2000),"Excellent",IF(AND(Table5[[#This Row],[Profit_Margin%]]&gt;=10%,Table5[[#This Row],[Profit_Margin%]]&lt;=20%),"Good","Needs Improvement"))</f>
        <v>Needs Improvement</v>
      </c>
    </row>
    <row r="351" spans="1:4" x14ac:dyDescent="0.25">
      <c r="A351" s="64">
        <v>1033</v>
      </c>
      <c r="B351" s="2">
        <v>223.87</v>
      </c>
      <c r="C351" s="65">
        <f>Table5[[#This Row],[Profit]]/Table5[[#This Row],[Total_Sales]]</f>
        <v>0.21671829622458857</v>
      </c>
      <c r="D351" s="22" t="str">
        <f>IF(AND(Table5[[#This Row],[Profit_Margin%]]&gt;20%,Table5[[#This Row],[Total_Sales]]&gt;2000),"Excellent",IF(AND(Table5[[#This Row],[Profit_Margin%]]&gt;=10%,Table5[[#This Row],[Profit_Margin%]]&lt;=20%),"Good","Needs Improvement"))</f>
        <v>Needs Improvement</v>
      </c>
    </row>
    <row r="352" spans="1:4" x14ac:dyDescent="0.25">
      <c r="A352" s="64">
        <v>186.48</v>
      </c>
      <c r="B352" s="2">
        <v>33.19</v>
      </c>
      <c r="C352" s="65">
        <f>Table5[[#This Row],[Profit]]/Table5[[#This Row],[Total_Sales]]</f>
        <v>0.17798155298155299</v>
      </c>
      <c r="D352" s="22" t="str">
        <f>IF(AND(Table5[[#This Row],[Profit_Margin%]]&gt;20%,Table5[[#This Row],[Total_Sales]]&gt;2000),"Excellent",IF(AND(Table5[[#This Row],[Profit_Margin%]]&gt;=10%,Table5[[#This Row],[Profit_Margin%]]&lt;=20%),"Good","Needs Improvement"))</f>
        <v>Good</v>
      </c>
    </row>
    <row r="353" spans="1:4" x14ac:dyDescent="0.25">
      <c r="A353" s="64">
        <v>806.97</v>
      </c>
      <c r="B353" s="2">
        <v>213.84</v>
      </c>
      <c r="C353" s="65">
        <f>Table5[[#This Row],[Profit]]/Table5[[#This Row],[Total_Sales]]</f>
        <v>0.26499126361574782</v>
      </c>
      <c r="D353" s="22" t="str">
        <f>IF(AND(Table5[[#This Row],[Profit_Margin%]]&gt;20%,Table5[[#This Row],[Total_Sales]]&gt;2000),"Excellent",IF(AND(Table5[[#This Row],[Profit_Margin%]]&gt;=10%,Table5[[#This Row],[Profit_Margin%]]&lt;=20%),"Good","Needs Improvement"))</f>
        <v>Needs Improvement</v>
      </c>
    </row>
    <row r="354" spans="1:4" x14ac:dyDescent="0.25">
      <c r="A354" s="64">
        <v>1280.6400000000001</v>
      </c>
      <c r="B354" s="2">
        <v>481.28</v>
      </c>
      <c r="C354" s="65">
        <f>Table5[[#This Row],[Profit]]/Table5[[#This Row],[Total_Sales]]</f>
        <v>0.37581209395302345</v>
      </c>
      <c r="D354" s="22" t="str">
        <f>IF(AND(Table5[[#This Row],[Profit_Margin%]]&gt;20%,Table5[[#This Row],[Total_Sales]]&gt;2000),"Excellent",IF(AND(Table5[[#This Row],[Profit_Margin%]]&gt;=10%,Table5[[#This Row],[Profit_Margin%]]&lt;=20%),"Good","Needs Improvement"))</f>
        <v>Needs Improvement</v>
      </c>
    </row>
    <row r="355" spans="1:4" x14ac:dyDescent="0.25">
      <c r="A355" s="64">
        <v>1027.68</v>
      </c>
      <c r="B355" s="2">
        <v>357.73</v>
      </c>
      <c r="C355" s="65">
        <f>Table5[[#This Row],[Profit]]/Table5[[#This Row],[Total_Sales]]</f>
        <v>0.34809473766152887</v>
      </c>
      <c r="D355" s="22" t="str">
        <f>IF(AND(Table5[[#This Row],[Profit_Margin%]]&gt;20%,Table5[[#This Row],[Total_Sales]]&gt;2000),"Excellent",IF(AND(Table5[[#This Row],[Profit_Margin%]]&gt;=10%,Table5[[#This Row],[Profit_Margin%]]&lt;=20%),"Good","Needs Improvement"))</f>
        <v>Needs Improvement</v>
      </c>
    </row>
    <row r="356" spans="1:4" x14ac:dyDescent="0.25">
      <c r="A356" s="64">
        <v>894.4</v>
      </c>
      <c r="B356" s="2">
        <v>268.98</v>
      </c>
      <c r="C356" s="65">
        <f>Table5[[#This Row],[Profit]]/Table5[[#This Row],[Total_Sales]]</f>
        <v>0.3007379248658319</v>
      </c>
      <c r="D356" s="22" t="str">
        <f>IF(AND(Table5[[#This Row],[Profit_Margin%]]&gt;20%,Table5[[#This Row],[Total_Sales]]&gt;2000),"Excellent",IF(AND(Table5[[#This Row],[Profit_Margin%]]&gt;=10%,Table5[[#This Row],[Profit_Margin%]]&lt;=20%),"Good","Needs Improvement"))</f>
        <v>Needs Improvement</v>
      </c>
    </row>
    <row r="357" spans="1:4" x14ac:dyDescent="0.25">
      <c r="A357" s="64">
        <v>2109.83</v>
      </c>
      <c r="B357" s="2">
        <v>418.92</v>
      </c>
      <c r="C357" s="65">
        <f>Table5[[#This Row],[Profit]]/Table5[[#This Row],[Total_Sales]]</f>
        <v>0.19855628178573631</v>
      </c>
      <c r="D357" s="22" t="str">
        <f>IF(AND(Table5[[#This Row],[Profit_Margin%]]&gt;20%,Table5[[#This Row],[Total_Sales]]&gt;2000),"Excellent",IF(AND(Table5[[#This Row],[Profit_Margin%]]&gt;=10%,Table5[[#This Row],[Profit_Margin%]]&lt;=20%),"Good","Needs Improvement"))</f>
        <v>Good</v>
      </c>
    </row>
    <row r="358" spans="1:4" x14ac:dyDescent="0.25">
      <c r="A358" s="64">
        <v>18.739999999999998</v>
      </c>
      <c r="B358" s="2">
        <v>2.74</v>
      </c>
      <c r="C358" s="65">
        <f>Table5[[#This Row],[Profit]]/Table5[[#This Row],[Total_Sales]]</f>
        <v>0.14621131270010676</v>
      </c>
      <c r="D358" s="22" t="str">
        <f>IF(AND(Table5[[#This Row],[Profit_Margin%]]&gt;20%,Table5[[#This Row],[Total_Sales]]&gt;2000),"Excellent",IF(AND(Table5[[#This Row],[Profit_Margin%]]&gt;=10%,Table5[[#This Row],[Profit_Margin%]]&lt;=20%),"Good","Needs Improvement"))</f>
        <v>Good</v>
      </c>
    </row>
    <row r="359" spans="1:4" x14ac:dyDescent="0.25">
      <c r="A359" s="64">
        <v>979.29</v>
      </c>
      <c r="B359" s="2">
        <v>317.20999999999998</v>
      </c>
      <c r="C359" s="65">
        <f>Table5[[#This Row],[Profit]]/Table5[[#This Row],[Total_Sales]]</f>
        <v>0.32391834900795474</v>
      </c>
      <c r="D359" s="22" t="str">
        <f>IF(AND(Table5[[#This Row],[Profit_Margin%]]&gt;20%,Table5[[#This Row],[Total_Sales]]&gt;2000),"Excellent",IF(AND(Table5[[#This Row],[Profit_Margin%]]&gt;=10%,Table5[[#This Row],[Profit_Margin%]]&lt;=20%),"Good","Needs Improvement"))</f>
        <v>Needs Improvement</v>
      </c>
    </row>
    <row r="360" spans="1:4" x14ac:dyDescent="0.25">
      <c r="A360" s="64">
        <v>244.66</v>
      </c>
      <c r="B360" s="2">
        <v>72.42</v>
      </c>
      <c r="C360" s="65">
        <f>Table5[[#This Row],[Profit]]/Table5[[#This Row],[Total_Sales]]</f>
        <v>0.29600261587509197</v>
      </c>
      <c r="D360" s="22" t="str">
        <f>IF(AND(Table5[[#This Row],[Profit_Margin%]]&gt;20%,Table5[[#This Row],[Total_Sales]]&gt;2000),"Excellent",IF(AND(Table5[[#This Row],[Profit_Margin%]]&gt;=10%,Table5[[#This Row],[Profit_Margin%]]&lt;=20%),"Good","Needs Improvement"))</f>
        <v>Needs Improvement</v>
      </c>
    </row>
    <row r="361" spans="1:4" x14ac:dyDescent="0.25">
      <c r="A361" s="64">
        <v>1770.79</v>
      </c>
      <c r="B361" s="2">
        <v>539.51</v>
      </c>
      <c r="C361" s="65">
        <f>Table5[[#This Row],[Profit]]/Table5[[#This Row],[Total_Sales]]</f>
        <v>0.30467192608948551</v>
      </c>
      <c r="D361" s="22" t="str">
        <f>IF(AND(Table5[[#This Row],[Profit_Margin%]]&gt;20%,Table5[[#This Row],[Total_Sales]]&gt;2000),"Excellent",IF(AND(Table5[[#This Row],[Profit_Margin%]]&gt;=10%,Table5[[#This Row],[Profit_Margin%]]&lt;=20%),"Good","Needs Improvement"))</f>
        <v>Needs Improvement</v>
      </c>
    </row>
    <row r="362" spans="1:4" x14ac:dyDescent="0.25">
      <c r="A362" s="64">
        <v>1692.4</v>
      </c>
      <c r="B362" s="2">
        <v>453.81</v>
      </c>
      <c r="C362" s="65">
        <f>Table5[[#This Row],[Profit]]/Table5[[#This Row],[Total_Sales]]</f>
        <v>0.26814582840935947</v>
      </c>
      <c r="D362" s="22" t="str">
        <f>IF(AND(Table5[[#This Row],[Profit_Margin%]]&gt;20%,Table5[[#This Row],[Total_Sales]]&gt;2000),"Excellent",IF(AND(Table5[[#This Row],[Profit_Margin%]]&gt;=10%,Table5[[#This Row],[Profit_Margin%]]&lt;=20%),"Good","Needs Improvement"))</f>
        <v>Needs Improvement</v>
      </c>
    </row>
    <row r="363" spans="1:4" x14ac:dyDescent="0.25">
      <c r="A363" s="64">
        <v>57.15</v>
      </c>
      <c r="B363" s="2">
        <v>21.04</v>
      </c>
      <c r="C363" s="65">
        <f>Table5[[#This Row],[Profit]]/Table5[[#This Row],[Total_Sales]]</f>
        <v>0.36815398075240596</v>
      </c>
      <c r="D363" s="22" t="str">
        <f>IF(AND(Table5[[#This Row],[Profit_Margin%]]&gt;20%,Table5[[#This Row],[Total_Sales]]&gt;2000),"Excellent",IF(AND(Table5[[#This Row],[Profit_Margin%]]&gt;=10%,Table5[[#This Row],[Profit_Margin%]]&lt;=20%),"Good","Needs Improvement"))</f>
        <v>Needs Improvement</v>
      </c>
    </row>
    <row r="364" spans="1:4" x14ac:dyDescent="0.25">
      <c r="A364" s="64">
        <v>450.45</v>
      </c>
      <c r="B364" s="2">
        <v>120.46</v>
      </c>
      <c r="C364" s="65">
        <f>Table5[[#This Row],[Profit]]/Table5[[#This Row],[Total_Sales]]</f>
        <v>0.26742146742146744</v>
      </c>
      <c r="D364" s="22" t="str">
        <f>IF(AND(Table5[[#This Row],[Profit_Margin%]]&gt;20%,Table5[[#This Row],[Total_Sales]]&gt;2000),"Excellent",IF(AND(Table5[[#This Row],[Profit_Margin%]]&gt;=10%,Table5[[#This Row],[Profit_Margin%]]&lt;=20%),"Good","Needs Improvement"))</f>
        <v>Needs Improvement</v>
      </c>
    </row>
    <row r="365" spans="1:4" x14ac:dyDescent="0.25">
      <c r="A365" s="64">
        <v>1483.68</v>
      </c>
      <c r="B365" s="2">
        <v>438.18</v>
      </c>
      <c r="C365" s="65">
        <f>Table5[[#This Row],[Profit]]/Table5[[#This Row],[Total_Sales]]</f>
        <v>0.29533322549336782</v>
      </c>
      <c r="D365" s="22" t="str">
        <f>IF(AND(Table5[[#This Row],[Profit_Margin%]]&gt;20%,Table5[[#This Row],[Total_Sales]]&gt;2000),"Excellent",IF(AND(Table5[[#This Row],[Profit_Margin%]]&gt;=10%,Table5[[#This Row],[Profit_Margin%]]&lt;=20%),"Good","Needs Improvement"))</f>
        <v>Needs Improvement</v>
      </c>
    </row>
    <row r="366" spans="1:4" x14ac:dyDescent="0.25">
      <c r="A366" s="64">
        <v>257.52</v>
      </c>
      <c r="B366" s="2">
        <v>65.67</v>
      </c>
      <c r="C366" s="65">
        <f>Table5[[#This Row],[Profit]]/Table5[[#This Row],[Total_Sales]]</f>
        <v>0.25500931966449208</v>
      </c>
      <c r="D366" s="22" t="str">
        <f>IF(AND(Table5[[#This Row],[Profit_Margin%]]&gt;20%,Table5[[#This Row],[Total_Sales]]&gt;2000),"Excellent",IF(AND(Table5[[#This Row],[Profit_Margin%]]&gt;=10%,Table5[[#This Row],[Profit_Margin%]]&lt;=20%),"Good","Needs Improvement"))</f>
        <v>Needs Improvement</v>
      </c>
    </row>
    <row r="367" spans="1:4" x14ac:dyDescent="0.25">
      <c r="A367" s="64">
        <v>1336.5</v>
      </c>
      <c r="B367" s="2">
        <v>418.16</v>
      </c>
      <c r="C367" s="65">
        <f>Table5[[#This Row],[Profit]]/Table5[[#This Row],[Total_Sales]]</f>
        <v>0.3128769173213618</v>
      </c>
      <c r="D367" s="22" t="str">
        <f>IF(AND(Table5[[#This Row],[Profit_Margin%]]&gt;20%,Table5[[#This Row],[Total_Sales]]&gt;2000),"Excellent",IF(AND(Table5[[#This Row],[Profit_Margin%]]&gt;=10%,Table5[[#This Row],[Profit_Margin%]]&lt;=20%),"Good","Needs Improvement"))</f>
        <v>Needs Improvement</v>
      </c>
    </row>
    <row r="368" spans="1:4" x14ac:dyDescent="0.25">
      <c r="A368" s="64">
        <v>2510.2800000000002</v>
      </c>
      <c r="B368" s="2">
        <v>939.91</v>
      </c>
      <c r="C368" s="65">
        <f>Table5[[#This Row],[Profit]]/Table5[[#This Row],[Total_Sales]]</f>
        <v>0.37442436700288412</v>
      </c>
      <c r="D368" s="22" t="str">
        <f>IF(AND(Table5[[#This Row],[Profit_Margin%]]&gt;20%,Table5[[#This Row],[Total_Sales]]&gt;2000),"Excellent",IF(AND(Table5[[#This Row],[Profit_Margin%]]&gt;=10%,Table5[[#This Row],[Profit_Margin%]]&lt;=20%),"Good","Needs Improvement"))</f>
        <v>Excellent</v>
      </c>
    </row>
    <row r="369" spans="1:4" x14ac:dyDescent="0.25">
      <c r="A369" s="64">
        <v>1679.04</v>
      </c>
      <c r="B369" s="2">
        <v>462.56</v>
      </c>
      <c r="C369" s="65">
        <f>Table5[[#This Row],[Profit]]/Table5[[#This Row],[Total_Sales]]</f>
        <v>0.27549075662283212</v>
      </c>
      <c r="D369" s="22" t="str">
        <f>IF(AND(Table5[[#This Row],[Profit_Margin%]]&gt;20%,Table5[[#This Row],[Total_Sales]]&gt;2000),"Excellent",IF(AND(Table5[[#This Row],[Profit_Margin%]]&gt;=10%,Table5[[#This Row],[Profit_Margin%]]&lt;=20%),"Good","Needs Improvement"))</f>
        <v>Needs Improvement</v>
      </c>
    </row>
    <row r="370" spans="1:4" x14ac:dyDescent="0.25">
      <c r="A370" s="64">
        <v>1689.52</v>
      </c>
      <c r="B370" s="2">
        <v>264.45999999999998</v>
      </c>
      <c r="C370" s="65">
        <f>Table5[[#This Row],[Profit]]/Table5[[#This Row],[Total_Sales]]</f>
        <v>0.15652966523036127</v>
      </c>
      <c r="D370" s="22" t="str">
        <f>IF(AND(Table5[[#This Row],[Profit_Margin%]]&gt;20%,Table5[[#This Row],[Total_Sales]]&gt;2000),"Excellent",IF(AND(Table5[[#This Row],[Profit_Margin%]]&gt;=10%,Table5[[#This Row],[Profit_Margin%]]&lt;=20%),"Good","Needs Improvement"))</f>
        <v>Good</v>
      </c>
    </row>
    <row r="371" spans="1:4" x14ac:dyDescent="0.25">
      <c r="A371" s="64">
        <v>788.33</v>
      </c>
      <c r="B371" s="2">
        <v>110.52</v>
      </c>
      <c r="C371" s="65">
        <f>Table5[[#This Row],[Profit]]/Table5[[#This Row],[Total_Sales]]</f>
        <v>0.14019509596235077</v>
      </c>
      <c r="D371" s="22" t="str">
        <f>IF(AND(Table5[[#This Row],[Profit_Margin%]]&gt;20%,Table5[[#This Row],[Total_Sales]]&gt;2000),"Excellent",IF(AND(Table5[[#This Row],[Profit_Margin%]]&gt;=10%,Table5[[#This Row],[Profit_Margin%]]&lt;=20%),"Good","Needs Improvement"))</f>
        <v>Good</v>
      </c>
    </row>
    <row r="372" spans="1:4" x14ac:dyDescent="0.25">
      <c r="A372" s="64">
        <v>918.72</v>
      </c>
      <c r="B372" s="2">
        <v>316.5</v>
      </c>
      <c r="C372" s="65">
        <f>Table5[[#This Row],[Profit]]/Table5[[#This Row],[Total_Sales]]</f>
        <v>0.34450104493207939</v>
      </c>
      <c r="D372" s="22" t="str">
        <f>IF(AND(Table5[[#This Row],[Profit_Margin%]]&gt;20%,Table5[[#This Row],[Total_Sales]]&gt;2000),"Excellent",IF(AND(Table5[[#This Row],[Profit_Margin%]]&gt;=10%,Table5[[#This Row],[Profit_Margin%]]&lt;=20%),"Good","Needs Improvement"))</f>
        <v>Needs Improvement</v>
      </c>
    </row>
    <row r="373" spans="1:4" x14ac:dyDescent="0.25">
      <c r="A373" s="64">
        <v>1423.38</v>
      </c>
      <c r="B373" s="2">
        <v>161.97999999999999</v>
      </c>
      <c r="C373" s="65">
        <f>Table5[[#This Row],[Profit]]/Table5[[#This Row],[Total_Sales]]</f>
        <v>0.11379954755581782</v>
      </c>
      <c r="D373" s="22" t="str">
        <f>IF(AND(Table5[[#This Row],[Profit_Margin%]]&gt;20%,Table5[[#This Row],[Total_Sales]]&gt;2000),"Excellent",IF(AND(Table5[[#This Row],[Profit_Margin%]]&gt;=10%,Table5[[#This Row],[Profit_Margin%]]&lt;=20%),"Good","Needs Improvement"))</f>
        <v>Good</v>
      </c>
    </row>
    <row r="374" spans="1:4" x14ac:dyDescent="0.25">
      <c r="A374" s="64">
        <v>282.75</v>
      </c>
      <c r="B374" s="2">
        <v>36.25</v>
      </c>
      <c r="C374" s="65">
        <f>Table5[[#This Row],[Profit]]/Table5[[#This Row],[Total_Sales]]</f>
        <v>0.12820512820512819</v>
      </c>
      <c r="D374" s="22" t="str">
        <f>IF(AND(Table5[[#This Row],[Profit_Margin%]]&gt;20%,Table5[[#This Row],[Total_Sales]]&gt;2000),"Excellent",IF(AND(Table5[[#This Row],[Profit_Margin%]]&gt;=10%,Table5[[#This Row],[Profit_Margin%]]&lt;=20%),"Good","Needs Improvement"))</f>
        <v>Good</v>
      </c>
    </row>
    <row r="375" spans="1:4" x14ac:dyDescent="0.25">
      <c r="A375" s="64">
        <v>939.5</v>
      </c>
      <c r="B375" s="2">
        <v>328.56</v>
      </c>
      <c r="C375" s="65">
        <f>Table5[[#This Row],[Profit]]/Table5[[#This Row],[Total_Sales]]</f>
        <v>0.34971793507184673</v>
      </c>
      <c r="D375" s="22" t="str">
        <f>IF(AND(Table5[[#This Row],[Profit_Margin%]]&gt;20%,Table5[[#This Row],[Total_Sales]]&gt;2000),"Excellent",IF(AND(Table5[[#This Row],[Profit_Margin%]]&gt;=10%,Table5[[#This Row],[Profit_Margin%]]&lt;=20%),"Good","Needs Improvement"))</f>
        <v>Needs Improvement</v>
      </c>
    </row>
    <row r="376" spans="1:4" x14ac:dyDescent="0.25">
      <c r="A376" s="64">
        <v>404</v>
      </c>
      <c r="B376" s="2">
        <v>65.25</v>
      </c>
      <c r="C376" s="65">
        <f>Table5[[#This Row],[Profit]]/Table5[[#This Row],[Total_Sales]]</f>
        <v>0.16150990099009901</v>
      </c>
      <c r="D376" s="22" t="str">
        <f>IF(AND(Table5[[#This Row],[Profit_Margin%]]&gt;20%,Table5[[#This Row],[Total_Sales]]&gt;2000),"Excellent",IF(AND(Table5[[#This Row],[Profit_Margin%]]&gt;=10%,Table5[[#This Row],[Profit_Margin%]]&lt;=20%),"Good","Needs Improvement"))</f>
        <v>Good</v>
      </c>
    </row>
    <row r="377" spans="1:4" x14ac:dyDescent="0.25">
      <c r="A377" s="64">
        <v>956.45</v>
      </c>
      <c r="B377" s="2">
        <v>351.25</v>
      </c>
      <c r="C377" s="65">
        <f>Table5[[#This Row],[Profit]]/Table5[[#This Row],[Total_Sales]]</f>
        <v>0.3672434523498353</v>
      </c>
      <c r="D377" s="22" t="str">
        <f>IF(AND(Table5[[#This Row],[Profit_Margin%]]&gt;20%,Table5[[#This Row],[Total_Sales]]&gt;2000),"Excellent",IF(AND(Table5[[#This Row],[Profit_Margin%]]&gt;=10%,Table5[[#This Row],[Profit_Margin%]]&lt;=20%),"Good","Needs Improvement"))</f>
        <v>Needs Improvement</v>
      </c>
    </row>
    <row r="378" spans="1:4" x14ac:dyDescent="0.25">
      <c r="A378" s="64">
        <v>25.72</v>
      </c>
      <c r="B378" s="2">
        <v>3.68</v>
      </c>
      <c r="C378" s="65">
        <f>Table5[[#This Row],[Profit]]/Table5[[#This Row],[Total_Sales]]</f>
        <v>0.14307931570762053</v>
      </c>
      <c r="D378" s="22" t="str">
        <f>IF(AND(Table5[[#This Row],[Profit_Margin%]]&gt;20%,Table5[[#This Row],[Total_Sales]]&gt;2000),"Excellent",IF(AND(Table5[[#This Row],[Profit_Margin%]]&gt;=10%,Table5[[#This Row],[Profit_Margin%]]&lt;=20%),"Good","Needs Improvement"))</f>
        <v>Good</v>
      </c>
    </row>
    <row r="379" spans="1:4" x14ac:dyDescent="0.25">
      <c r="A379" s="64">
        <v>2258.4</v>
      </c>
      <c r="B379" s="2">
        <v>734.96</v>
      </c>
      <c r="C379" s="65">
        <f>Table5[[#This Row],[Profit]]/Table5[[#This Row],[Total_Sales]]</f>
        <v>0.32543393552957844</v>
      </c>
      <c r="D379" s="22" t="str">
        <f>IF(AND(Table5[[#This Row],[Profit_Margin%]]&gt;20%,Table5[[#This Row],[Total_Sales]]&gt;2000),"Excellent",IF(AND(Table5[[#This Row],[Profit_Margin%]]&gt;=10%,Table5[[#This Row],[Profit_Margin%]]&lt;=20%),"Good","Needs Improvement"))</f>
        <v>Excellent</v>
      </c>
    </row>
    <row r="380" spans="1:4" x14ac:dyDescent="0.25">
      <c r="A380" s="64">
        <v>1437.12</v>
      </c>
      <c r="B380" s="2">
        <v>446.98</v>
      </c>
      <c r="C380" s="65">
        <f>Table5[[#This Row],[Profit]]/Table5[[#This Row],[Total_Sales]]</f>
        <v>0.31102482743264309</v>
      </c>
      <c r="D380" s="22" t="str">
        <f>IF(AND(Table5[[#This Row],[Profit_Margin%]]&gt;20%,Table5[[#This Row],[Total_Sales]]&gt;2000),"Excellent",IF(AND(Table5[[#This Row],[Profit_Margin%]]&gt;=10%,Table5[[#This Row],[Profit_Margin%]]&lt;=20%),"Good","Needs Improvement"))</f>
        <v>Needs Improvement</v>
      </c>
    </row>
    <row r="381" spans="1:4" x14ac:dyDescent="0.25">
      <c r="A381" s="64">
        <v>428.16</v>
      </c>
      <c r="B381" s="2">
        <v>145.09</v>
      </c>
      <c r="C381" s="65">
        <f>Table5[[#This Row],[Profit]]/Table5[[#This Row],[Total_Sales]]</f>
        <v>0.33886864723467863</v>
      </c>
      <c r="D381" s="22" t="str">
        <f>IF(AND(Table5[[#This Row],[Profit_Margin%]]&gt;20%,Table5[[#This Row],[Total_Sales]]&gt;2000),"Excellent",IF(AND(Table5[[#This Row],[Profit_Margin%]]&gt;=10%,Table5[[#This Row],[Profit_Margin%]]&lt;=20%),"Good","Needs Improvement"))</f>
        <v>Needs Improvement</v>
      </c>
    </row>
    <row r="382" spans="1:4" x14ac:dyDescent="0.25">
      <c r="A382" s="64">
        <v>1479.6</v>
      </c>
      <c r="B382" s="2">
        <v>413.63</v>
      </c>
      <c r="C382" s="65">
        <f>Table5[[#This Row],[Profit]]/Table5[[#This Row],[Total_Sales]]</f>
        <v>0.27955528521221951</v>
      </c>
      <c r="D382" s="22" t="str">
        <f>IF(AND(Table5[[#This Row],[Profit_Margin%]]&gt;20%,Table5[[#This Row],[Total_Sales]]&gt;2000),"Excellent",IF(AND(Table5[[#This Row],[Profit_Margin%]]&gt;=10%,Table5[[#This Row],[Profit_Margin%]]&lt;=20%),"Good","Needs Improvement"))</f>
        <v>Needs Improvement</v>
      </c>
    </row>
    <row r="383" spans="1:4" x14ac:dyDescent="0.25">
      <c r="A383" s="64">
        <v>1017.36</v>
      </c>
      <c r="B383" s="2">
        <v>180.62</v>
      </c>
      <c r="C383" s="65">
        <f>Table5[[#This Row],[Profit]]/Table5[[#This Row],[Total_Sales]]</f>
        <v>0.17753794133836598</v>
      </c>
      <c r="D383" s="22" t="str">
        <f>IF(AND(Table5[[#This Row],[Profit_Margin%]]&gt;20%,Table5[[#This Row],[Total_Sales]]&gt;2000),"Excellent",IF(AND(Table5[[#This Row],[Profit_Margin%]]&gt;=10%,Table5[[#This Row],[Profit_Margin%]]&lt;=20%),"Good","Needs Improvement"))</f>
        <v>Good</v>
      </c>
    </row>
    <row r="384" spans="1:4" x14ac:dyDescent="0.25">
      <c r="A384" s="64">
        <v>1417.26</v>
      </c>
      <c r="B384" s="2">
        <v>375.26</v>
      </c>
      <c r="C384" s="65">
        <f>Table5[[#This Row],[Profit]]/Table5[[#This Row],[Total_Sales]]</f>
        <v>0.26477851629200005</v>
      </c>
      <c r="D384" s="22" t="str">
        <f>IF(AND(Table5[[#This Row],[Profit_Margin%]]&gt;20%,Table5[[#This Row],[Total_Sales]]&gt;2000),"Excellent",IF(AND(Table5[[#This Row],[Profit_Margin%]]&gt;=10%,Table5[[#This Row],[Profit_Margin%]]&lt;=20%),"Good","Needs Improvement"))</f>
        <v>Needs Improvement</v>
      </c>
    </row>
    <row r="385" spans="1:4" x14ac:dyDescent="0.25">
      <c r="A385" s="64">
        <v>389.28</v>
      </c>
      <c r="B385" s="2">
        <v>118.95</v>
      </c>
      <c r="C385" s="65">
        <f>Table5[[#This Row],[Profit]]/Table5[[#This Row],[Total_Sales]]</f>
        <v>0.30556411837237979</v>
      </c>
      <c r="D385" s="22" t="str">
        <f>IF(AND(Table5[[#This Row],[Profit_Margin%]]&gt;20%,Table5[[#This Row],[Total_Sales]]&gt;2000),"Excellent",IF(AND(Table5[[#This Row],[Profit_Margin%]]&gt;=10%,Table5[[#This Row],[Profit_Margin%]]&lt;=20%),"Good","Needs Improvement"))</f>
        <v>Needs Improvement</v>
      </c>
    </row>
    <row r="386" spans="1:4" x14ac:dyDescent="0.25">
      <c r="A386" s="64">
        <v>891.2</v>
      </c>
      <c r="B386" s="2">
        <v>238.47</v>
      </c>
      <c r="C386" s="65">
        <f>Table5[[#This Row],[Profit]]/Table5[[#This Row],[Total_Sales]]</f>
        <v>0.26758303411131057</v>
      </c>
      <c r="D386" s="22" t="str">
        <f>IF(AND(Table5[[#This Row],[Profit_Margin%]]&gt;20%,Table5[[#This Row],[Total_Sales]]&gt;2000),"Excellent",IF(AND(Table5[[#This Row],[Profit_Margin%]]&gt;=10%,Table5[[#This Row],[Profit_Margin%]]&lt;=20%),"Good","Needs Improvement"))</f>
        <v>Needs Improvement</v>
      </c>
    </row>
    <row r="387" spans="1:4" x14ac:dyDescent="0.25">
      <c r="A387" s="64">
        <v>976.95</v>
      </c>
      <c r="B387" s="2">
        <v>351.6</v>
      </c>
      <c r="C387" s="65">
        <f>Table5[[#This Row],[Profit]]/Table5[[#This Row],[Total_Sales]]</f>
        <v>0.35989559342852756</v>
      </c>
      <c r="D387" s="22" t="str">
        <f>IF(AND(Table5[[#This Row],[Profit_Margin%]]&gt;20%,Table5[[#This Row],[Total_Sales]]&gt;2000),"Excellent",IF(AND(Table5[[#This Row],[Profit_Margin%]]&gt;=10%,Table5[[#This Row],[Profit_Margin%]]&lt;=20%),"Good","Needs Improvement"))</f>
        <v>Needs Improvement</v>
      </c>
    </row>
    <row r="388" spans="1:4" x14ac:dyDescent="0.25">
      <c r="A388" s="64">
        <v>248.56</v>
      </c>
      <c r="B388" s="2">
        <v>37.590000000000003</v>
      </c>
      <c r="C388" s="65">
        <f>Table5[[#This Row],[Profit]]/Table5[[#This Row],[Total_Sales]]</f>
        <v>0.15123109108464758</v>
      </c>
      <c r="D388" s="22" t="str">
        <f>IF(AND(Table5[[#This Row],[Profit_Margin%]]&gt;20%,Table5[[#This Row],[Total_Sales]]&gt;2000),"Excellent",IF(AND(Table5[[#This Row],[Profit_Margin%]]&gt;=10%,Table5[[#This Row],[Profit_Margin%]]&lt;=20%),"Good","Needs Improvement"))</f>
        <v>Good</v>
      </c>
    </row>
    <row r="389" spans="1:4" x14ac:dyDescent="0.25">
      <c r="A389" s="64">
        <v>1030.71</v>
      </c>
      <c r="B389" s="2">
        <v>360.47</v>
      </c>
      <c r="C389" s="65">
        <f>Table5[[#This Row],[Profit]]/Table5[[#This Row],[Total_Sales]]</f>
        <v>0.3497297979062976</v>
      </c>
      <c r="D389" s="22" t="str">
        <f>IF(AND(Table5[[#This Row],[Profit_Margin%]]&gt;20%,Table5[[#This Row],[Total_Sales]]&gt;2000),"Excellent",IF(AND(Table5[[#This Row],[Profit_Margin%]]&gt;=10%,Table5[[#This Row],[Profit_Margin%]]&lt;=20%),"Good","Needs Improvement"))</f>
        <v>Needs Improvement</v>
      </c>
    </row>
    <row r="390" spans="1:4" x14ac:dyDescent="0.25">
      <c r="A390" s="64">
        <v>987.16</v>
      </c>
      <c r="B390" s="2">
        <v>379.02</v>
      </c>
      <c r="C390" s="65">
        <f>Table5[[#This Row],[Profit]]/Table5[[#This Row],[Total_Sales]]</f>
        <v>0.38394991693342517</v>
      </c>
      <c r="D390" s="22" t="str">
        <f>IF(AND(Table5[[#This Row],[Profit_Margin%]]&gt;20%,Table5[[#This Row],[Total_Sales]]&gt;2000),"Excellent",IF(AND(Table5[[#This Row],[Profit_Margin%]]&gt;=10%,Table5[[#This Row],[Profit_Margin%]]&lt;=20%),"Good","Needs Improvement"))</f>
        <v>Needs Improvement</v>
      </c>
    </row>
    <row r="391" spans="1:4" x14ac:dyDescent="0.25">
      <c r="A391" s="64">
        <v>2119.5</v>
      </c>
      <c r="B391" s="2">
        <v>739.34</v>
      </c>
      <c r="C391" s="65">
        <f>Table5[[#This Row],[Profit]]/Table5[[#This Row],[Total_Sales]]</f>
        <v>0.34882755366831802</v>
      </c>
      <c r="D391" s="22" t="str">
        <f>IF(AND(Table5[[#This Row],[Profit_Margin%]]&gt;20%,Table5[[#This Row],[Total_Sales]]&gt;2000),"Excellent",IF(AND(Table5[[#This Row],[Profit_Margin%]]&gt;=10%,Table5[[#This Row],[Profit_Margin%]]&lt;=20%),"Good","Needs Improvement"))</f>
        <v>Excellent</v>
      </c>
    </row>
    <row r="392" spans="1:4" x14ac:dyDescent="0.25">
      <c r="A392" s="64">
        <v>116.64</v>
      </c>
      <c r="B392" s="2">
        <v>37.65</v>
      </c>
      <c r="C392" s="65">
        <f>Table5[[#This Row],[Profit]]/Table5[[#This Row],[Total_Sales]]</f>
        <v>0.32278806584362141</v>
      </c>
      <c r="D392" s="22" t="str">
        <f>IF(AND(Table5[[#This Row],[Profit_Margin%]]&gt;20%,Table5[[#This Row],[Total_Sales]]&gt;2000),"Excellent",IF(AND(Table5[[#This Row],[Profit_Margin%]]&gt;=10%,Table5[[#This Row],[Profit_Margin%]]&lt;=20%),"Good","Needs Improvement"))</f>
        <v>Needs Improvement</v>
      </c>
    </row>
    <row r="393" spans="1:4" x14ac:dyDescent="0.25">
      <c r="A393" s="64">
        <v>1901.54</v>
      </c>
      <c r="B393" s="2">
        <v>669.11</v>
      </c>
      <c r="C393" s="65">
        <f>Table5[[#This Row],[Profit]]/Table5[[#This Row],[Total_Sales]]</f>
        <v>0.35187795155505541</v>
      </c>
      <c r="D393" s="22" t="str">
        <f>IF(AND(Table5[[#This Row],[Profit_Margin%]]&gt;20%,Table5[[#This Row],[Total_Sales]]&gt;2000),"Excellent",IF(AND(Table5[[#This Row],[Profit_Margin%]]&gt;=10%,Table5[[#This Row],[Profit_Margin%]]&lt;=20%),"Good","Needs Improvement"))</f>
        <v>Needs Improvement</v>
      </c>
    </row>
    <row r="394" spans="1:4" x14ac:dyDescent="0.25">
      <c r="A394" s="64">
        <v>658.5</v>
      </c>
      <c r="B394" s="2">
        <v>247.02</v>
      </c>
      <c r="C394" s="65">
        <f>Table5[[#This Row],[Profit]]/Table5[[#This Row],[Total_Sales]]</f>
        <v>0.37512528473804102</v>
      </c>
      <c r="D394" s="22" t="str">
        <f>IF(AND(Table5[[#This Row],[Profit_Margin%]]&gt;20%,Table5[[#This Row],[Total_Sales]]&gt;2000),"Excellent",IF(AND(Table5[[#This Row],[Profit_Margin%]]&gt;=10%,Table5[[#This Row],[Profit_Margin%]]&lt;=20%),"Good","Needs Improvement"))</f>
        <v>Needs Improvement</v>
      </c>
    </row>
    <row r="395" spans="1:4" x14ac:dyDescent="0.25">
      <c r="A395" s="64">
        <v>82.12</v>
      </c>
      <c r="B395" s="2">
        <v>27.07</v>
      </c>
      <c r="C395" s="65">
        <f>Table5[[#This Row],[Profit]]/Table5[[#This Row],[Total_Sales]]</f>
        <v>0.32963955187530442</v>
      </c>
      <c r="D395" s="22" t="str">
        <f>IF(AND(Table5[[#This Row],[Profit_Margin%]]&gt;20%,Table5[[#This Row],[Total_Sales]]&gt;2000),"Excellent",IF(AND(Table5[[#This Row],[Profit_Margin%]]&gt;=10%,Table5[[#This Row],[Profit_Margin%]]&lt;=20%),"Good","Needs Improvement"))</f>
        <v>Needs Improvement</v>
      </c>
    </row>
    <row r="396" spans="1:4" x14ac:dyDescent="0.25">
      <c r="A396" s="64">
        <v>148.19999999999999</v>
      </c>
      <c r="B396" s="2">
        <v>24.44</v>
      </c>
      <c r="C396" s="65">
        <f>Table5[[#This Row],[Profit]]/Table5[[#This Row],[Total_Sales]]</f>
        <v>0.1649122807017544</v>
      </c>
      <c r="D396" s="22" t="str">
        <f>IF(AND(Table5[[#This Row],[Profit_Margin%]]&gt;20%,Table5[[#This Row],[Total_Sales]]&gt;2000),"Excellent",IF(AND(Table5[[#This Row],[Profit_Margin%]]&gt;=10%,Table5[[#This Row],[Profit_Margin%]]&lt;=20%),"Good","Needs Improvement"))</f>
        <v>Good</v>
      </c>
    </row>
    <row r="397" spans="1:4" x14ac:dyDescent="0.25">
      <c r="A397" s="64">
        <v>364.23</v>
      </c>
      <c r="B397" s="2">
        <v>106.82</v>
      </c>
      <c r="C397" s="65">
        <f>Table5[[#This Row],[Profit]]/Table5[[#This Row],[Total_Sales]]</f>
        <v>0.29327622656014052</v>
      </c>
      <c r="D397" s="22" t="str">
        <f>IF(AND(Table5[[#This Row],[Profit_Margin%]]&gt;20%,Table5[[#This Row],[Total_Sales]]&gt;2000),"Excellent",IF(AND(Table5[[#This Row],[Profit_Margin%]]&gt;=10%,Table5[[#This Row],[Profit_Margin%]]&lt;=20%),"Good","Needs Improvement"))</f>
        <v>Needs Improvement</v>
      </c>
    </row>
    <row r="398" spans="1:4" x14ac:dyDescent="0.25">
      <c r="A398" s="64">
        <v>110.56</v>
      </c>
      <c r="B398" s="2">
        <v>25.19</v>
      </c>
      <c r="C398" s="65">
        <f>Table5[[#This Row],[Profit]]/Table5[[#This Row],[Total_Sales]]</f>
        <v>0.22784008683068019</v>
      </c>
      <c r="D398" s="22" t="str">
        <f>IF(AND(Table5[[#This Row],[Profit_Margin%]]&gt;20%,Table5[[#This Row],[Total_Sales]]&gt;2000),"Excellent",IF(AND(Table5[[#This Row],[Profit_Margin%]]&gt;=10%,Table5[[#This Row],[Profit_Margin%]]&lt;=20%),"Good","Needs Improvement"))</f>
        <v>Needs Improvement</v>
      </c>
    </row>
    <row r="399" spans="1:4" x14ac:dyDescent="0.25">
      <c r="A399" s="64">
        <v>2151.59</v>
      </c>
      <c r="B399" s="2">
        <v>863.04</v>
      </c>
      <c r="C399" s="65">
        <f>Table5[[#This Row],[Profit]]/Table5[[#This Row],[Total_Sales]]</f>
        <v>0.40111731324276462</v>
      </c>
      <c r="D399" s="22" t="str">
        <f>IF(AND(Table5[[#This Row],[Profit_Margin%]]&gt;20%,Table5[[#This Row],[Total_Sales]]&gt;2000),"Excellent",IF(AND(Table5[[#This Row],[Profit_Margin%]]&gt;=10%,Table5[[#This Row],[Profit_Margin%]]&lt;=20%),"Good","Needs Improvement"))</f>
        <v>Excellent</v>
      </c>
    </row>
    <row r="400" spans="1:4" x14ac:dyDescent="0.25">
      <c r="A400" s="64">
        <v>1213.3599999999999</v>
      </c>
      <c r="B400" s="2">
        <v>431.53</v>
      </c>
      <c r="C400" s="65">
        <f>Table5[[#This Row],[Profit]]/Table5[[#This Row],[Total_Sales]]</f>
        <v>0.35564877694995717</v>
      </c>
      <c r="D400" s="22" t="str">
        <f>IF(AND(Table5[[#This Row],[Profit_Margin%]]&gt;20%,Table5[[#This Row],[Total_Sales]]&gt;2000),"Excellent",IF(AND(Table5[[#This Row],[Profit_Margin%]]&gt;=10%,Table5[[#This Row],[Profit_Margin%]]&lt;=20%),"Good","Needs Improvement"))</f>
        <v>Needs Improvement</v>
      </c>
    </row>
    <row r="401" spans="1:4" x14ac:dyDescent="0.25">
      <c r="A401" s="64">
        <v>1178.6300000000001</v>
      </c>
      <c r="B401" s="2">
        <v>456.31</v>
      </c>
      <c r="C401" s="65">
        <f>Table5[[#This Row],[Profit]]/Table5[[#This Row],[Total_Sales]]</f>
        <v>0.38715288088713162</v>
      </c>
      <c r="D401" s="22" t="str">
        <f>IF(AND(Table5[[#This Row],[Profit_Margin%]]&gt;20%,Table5[[#This Row],[Total_Sales]]&gt;2000),"Excellent",IF(AND(Table5[[#This Row],[Profit_Margin%]]&gt;=10%,Table5[[#This Row],[Profit_Margin%]]&lt;=20%),"Good","Needs Improvement"))</f>
        <v>Needs Improvement</v>
      </c>
    </row>
    <row r="402" spans="1:4" x14ac:dyDescent="0.25">
      <c r="A402" s="64">
        <v>891.52</v>
      </c>
      <c r="B402" s="2">
        <v>277.27999999999997</v>
      </c>
      <c r="C402" s="65">
        <f>Table5[[#This Row],[Profit]]/Table5[[#This Row],[Total_Sales]]</f>
        <v>0.31101938262742279</v>
      </c>
      <c r="D402" s="22" t="str">
        <f>IF(AND(Table5[[#This Row],[Profit_Margin%]]&gt;20%,Table5[[#This Row],[Total_Sales]]&gt;2000),"Excellent",IF(AND(Table5[[#This Row],[Profit_Margin%]]&gt;=10%,Table5[[#This Row],[Profit_Margin%]]&lt;=20%),"Good","Needs Improvement"))</f>
        <v>Needs Improvement</v>
      </c>
    </row>
    <row r="403" spans="1:4" x14ac:dyDescent="0.25">
      <c r="A403" s="64">
        <v>1505.28</v>
      </c>
      <c r="B403" s="2">
        <v>394.63</v>
      </c>
      <c r="C403" s="65">
        <f>Table5[[#This Row],[Profit]]/Table5[[#This Row],[Total_Sales]]</f>
        <v>0.262163849914966</v>
      </c>
      <c r="D403" s="22" t="str">
        <f>IF(AND(Table5[[#This Row],[Profit_Margin%]]&gt;20%,Table5[[#This Row],[Total_Sales]]&gt;2000),"Excellent",IF(AND(Table5[[#This Row],[Profit_Margin%]]&gt;=10%,Table5[[#This Row],[Profit_Margin%]]&lt;=20%),"Good","Needs Improvement"))</f>
        <v>Needs Improvement</v>
      </c>
    </row>
    <row r="404" spans="1:4" x14ac:dyDescent="0.25">
      <c r="A404" s="64">
        <v>672.1</v>
      </c>
      <c r="B404" s="2">
        <v>130.30000000000001</v>
      </c>
      <c r="C404" s="65">
        <f>Table5[[#This Row],[Profit]]/Table5[[#This Row],[Total_Sales]]</f>
        <v>0.19386995982740665</v>
      </c>
      <c r="D404" s="22" t="str">
        <f>IF(AND(Table5[[#This Row],[Profit_Margin%]]&gt;20%,Table5[[#This Row],[Total_Sales]]&gt;2000),"Excellent",IF(AND(Table5[[#This Row],[Profit_Margin%]]&gt;=10%,Table5[[#This Row],[Profit_Margin%]]&lt;=20%),"Good","Needs Improvement"))</f>
        <v>Good</v>
      </c>
    </row>
    <row r="405" spans="1:4" x14ac:dyDescent="0.25">
      <c r="A405" s="64">
        <v>587.08000000000004</v>
      </c>
      <c r="B405" s="2">
        <v>193.4</v>
      </c>
      <c r="C405" s="65">
        <f>Table5[[#This Row],[Profit]]/Table5[[#This Row],[Total_Sales]]</f>
        <v>0.32942699461742864</v>
      </c>
      <c r="D405" s="22" t="str">
        <f>IF(AND(Table5[[#This Row],[Profit_Margin%]]&gt;20%,Table5[[#This Row],[Total_Sales]]&gt;2000),"Excellent",IF(AND(Table5[[#This Row],[Profit_Margin%]]&gt;=10%,Table5[[#This Row],[Profit_Margin%]]&lt;=20%),"Good","Needs Improvement"))</f>
        <v>Needs Improvement</v>
      </c>
    </row>
    <row r="406" spans="1:4" x14ac:dyDescent="0.25">
      <c r="A406" s="64">
        <v>1809.2</v>
      </c>
      <c r="B406" s="2">
        <v>272.95</v>
      </c>
      <c r="C406" s="65">
        <f>Table5[[#This Row],[Profit]]/Table5[[#This Row],[Total_Sales]]</f>
        <v>0.15086778686712357</v>
      </c>
      <c r="D406" s="22" t="str">
        <f>IF(AND(Table5[[#This Row],[Profit_Margin%]]&gt;20%,Table5[[#This Row],[Total_Sales]]&gt;2000),"Excellent",IF(AND(Table5[[#This Row],[Profit_Margin%]]&gt;=10%,Table5[[#This Row],[Profit_Margin%]]&lt;=20%),"Good","Needs Improvement"))</f>
        <v>Good</v>
      </c>
    </row>
    <row r="407" spans="1:4" x14ac:dyDescent="0.25">
      <c r="A407" s="64">
        <v>933.98</v>
      </c>
      <c r="B407" s="2">
        <v>157.61000000000001</v>
      </c>
      <c r="C407" s="65">
        <f>Table5[[#This Row],[Profit]]/Table5[[#This Row],[Total_Sales]]</f>
        <v>0.16875093685089618</v>
      </c>
      <c r="D407" s="22" t="str">
        <f>IF(AND(Table5[[#This Row],[Profit_Margin%]]&gt;20%,Table5[[#This Row],[Total_Sales]]&gt;2000),"Excellent",IF(AND(Table5[[#This Row],[Profit_Margin%]]&gt;=10%,Table5[[#This Row],[Profit_Margin%]]&lt;=20%),"Good","Needs Improvement"))</f>
        <v>Good</v>
      </c>
    </row>
    <row r="408" spans="1:4" x14ac:dyDescent="0.25">
      <c r="A408" s="64">
        <v>823.14</v>
      </c>
      <c r="B408" s="2">
        <v>237.89</v>
      </c>
      <c r="C408" s="65">
        <f>Table5[[#This Row],[Profit]]/Table5[[#This Row],[Total_Sales]]</f>
        <v>0.28900308574483075</v>
      </c>
      <c r="D408" s="22" t="str">
        <f>IF(AND(Table5[[#This Row],[Profit_Margin%]]&gt;20%,Table5[[#This Row],[Total_Sales]]&gt;2000),"Excellent",IF(AND(Table5[[#This Row],[Profit_Margin%]]&gt;=10%,Table5[[#This Row],[Profit_Margin%]]&lt;=20%),"Good","Needs Improvement"))</f>
        <v>Needs Improvement</v>
      </c>
    </row>
    <row r="409" spans="1:4" x14ac:dyDescent="0.25">
      <c r="A409" s="64">
        <v>1593.44</v>
      </c>
      <c r="B409" s="2">
        <v>627.51</v>
      </c>
      <c r="C409" s="65">
        <f>Table5[[#This Row],[Profit]]/Table5[[#This Row],[Total_Sales]]</f>
        <v>0.39380836429360377</v>
      </c>
      <c r="D409" s="22" t="str">
        <f>IF(AND(Table5[[#This Row],[Profit_Margin%]]&gt;20%,Table5[[#This Row],[Total_Sales]]&gt;2000),"Excellent",IF(AND(Table5[[#This Row],[Profit_Margin%]]&gt;=10%,Table5[[#This Row],[Profit_Margin%]]&lt;=20%),"Good","Needs Improvement"))</f>
        <v>Needs Improvement</v>
      </c>
    </row>
    <row r="410" spans="1:4" x14ac:dyDescent="0.25">
      <c r="A410" s="64">
        <v>270.60000000000002</v>
      </c>
      <c r="B410" s="2">
        <v>55.25</v>
      </c>
      <c r="C410" s="65">
        <f>Table5[[#This Row],[Profit]]/Table5[[#This Row],[Total_Sales]]</f>
        <v>0.20417590539541758</v>
      </c>
      <c r="D410" s="22" t="str">
        <f>IF(AND(Table5[[#This Row],[Profit_Margin%]]&gt;20%,Table5[[#This Row],[Total_Sales]]&gt;2000),"Excellent",IF(AND(Table5[[#This Row],[Profit_Margin%]]&gt;=10%,Table5[[#This Row],[Profit_Margin%]]&lt;=20%),"Good","Needs Improvement"))</f>
        <v>Needs Improvement</v>
      </c>
    </row>
    <row r="411" spans="1:4" x14ac:dyDescent="0.25">
      <c r="A411" s="64">
        <v>305.14</v>
      </c>
      <c r="B411" s="2">
        <v>96.33</v>
      </c>
      <c r="C411" s="65">
        <f>Table5[[#This Row],[Profit]]/Table5[[#This Row],[Total_Sales]]</f>
        <v>0.31569115815691157</v>
      </c>
      <c r="D411" s="22" t="str">
        <f>IF(AND(Table5[[#This Row],[Profit_Margin%]]&gt;20%,Table5[[#This Row],[Total_Sales]]&gt;2000),"Excellent",IF(AND(Table5[[#This Row],[Profit_Margin%]]&gt;=10%,Table5[[#This Row],[Profit_Margin%]]&lt;=20%),"Good","Needs Improvement"))</f>
        <v>Needs Improvement</v>
      </c>
    </row>
    <row r="412" spans="1:4" x14ac:dyDescent="0.25">
      <c r="A412" s="64">
        <v>1104.32</v>
      </c>
      <c r="B412" s="2">
        <v>266.69</v>
      </c>
      <c r="C412" s="65">
        <f>Table5[[#This Row],[Profit]]/Table5[[#This Row],[Total_Sales]]</f>
        <v>0.24149702984642135</v>
      </c>
      <c r="D412" s="22" t="str">
        <f>IF(AND(Table5[[#This Row],[Profit_Margin%]]&gt;20%,Table5[[#This Row],[Total_Sales]]&gt;2000),"Excellent",IF(AND(Table5[[#This Row],[Profit_Margin%]]&gt;=10%,Table5[[#This Row],[Profit_Margin%]]&lt;=20%),"Good","Needs Improvement"))</f>
        <v>Needs Improvement</v>
      </c>
    </row>
    <row r="413" spans="1:4" x14ac:dyDescent="0.25">
      <c r="A413" s="64">
        <v>785.7</v>
      </c>
      <c r="B413" s="2">
        <v>227.18</v>
      </c>
      <c r="C413" s="65">
        <f>Table5[[#This Row],[Profit]]/Table5[[#This Row],[Total_Sales]]</f>
        <v>0.28914343897161765</v>
      </c>
      <c r="D413" s="22" t="str">
        <f>IF(AND(Table5[[#This Row],[Profit_Margin%]]&gt;20%,Table5[[#This Row],[Total_Sales]]&gt;2000),"Excellent",IF(AND(Table5[[#This Row],[Profit_Margin%]]&gt;=10%,Table5[[#This Row],[Profit_Margin%]]&lt;=20%),"Good","Needs Improvement"))</f>
        <v>Needs Improvement</v>
      </c>
    </row>
    <row r="414" spans="1:4" x14ac:dyDescent="0.25">
      <c r="A414" s="64">
        <v>2546.5300000000002</v>
      </c>
      <c r="B414" s="2">
        <v>719.27</v>
      </c>
      <c r="C414" s="65">
        <f>Table5[[#This Row],[Profit]]/Table5[[#This Row],[Total_Sales]]</f>
        <v>0.28245102158623692</v>
      </c>
      <c r="D414" s="22" t="str">
        <f>IF(AND(Table5[[#This Row],[Profit_Margin%]]&gt;20%,Table5[[#This Row],[Total_Sales]]&gt;2000),"Excellent",IF(AND(Table5[[#This Row],[Profit_Margin%]]&gt;=10%,Table5[[#This Row],[Profit_Margin%]]&lt;=20%),"Good","Needs Improvement"))</f>
        <v>Excellent</v>
      </c>
    </row>
    <row r="415" spans="1:4" x14ac:dyDescent="0.25">
      <c r="A415" s="64">
        <v>479.05</v>
      </c>
      <c r="B415" s="2">
        <v>143.9</v>
      </c>
      <c r="C415" s="65">
        <f>Table5[[#This Row],[Profit]]/Table5[[#This Row],[Total_Sales]]</f>
        <v>0.30038618098319592</v>
      </c>
      <c r="D415" s="22" t="str">
        <f>IF(AND(Table5[[#This Row],[Profit_Margin%]]&gt;20%,Table5[[#This Row],[Total_Sales]]&gt;2000),"Excellent",IF(AND(Table5[[#This Row],[Profit_Margin%]]&gt;=10%,Table5[[#This Row],[Profit_Margin%]]&lt;=20%),"Good","Needs Improvement"))</f>
        <v>Needs Improvement</v>
      </c>
    </row>
    <row r="416" spans="1:4" x14ac:dyDescent="0.25">
      <c r="A416" s="64">
        <v>1271.1600000000001</v>
      </c>
      <c r="B416" s="2">
        <v>133.69999999999999</v>
      </c>
      <c r="C416" s="65">
        <f>Table5[[#This Row],[Profit]]/Table5[[#This Row],[Total_Sales]]</f>
        <v>0.10517952106737152</v>
      </c>
      <c r="D416" s="22" t="str">
        <f>IF(AND(Table5[[#This Row],[Profit_Margin%]]&gt;20%,Table5[[#This Row],[Total_Sales]]&gt;2000),"Excellent",IF(AND(Table5[[#This Row],[Profit_Margin%]]&gt;=10%,Table5[[#This Row],[Profit_Margin%]]&lt;=20%),"Good","Needs Improvement"))</f>
        <v>Good</v>
      </c>
    </row>
    <row r="417" spans="1:4" x14ac:dyDescent="0.25">
      <c r="A417" s="64">
        <v>1106.18</v>
      </c>
      <c r="B417" s="2">
        <v>418.91</v>
      </c>
      <c r="C417" s="65">
        <f>Table5[[#This Row],[Profit]]/Table5[[#This Row],[Total_Sales]]</f>
        <v>0.37869966913160608</v>
      </c>
      <c r="D417" s="22" t="str">
        <f>IF(AND(Table5[[#This Row],[Profit_Margin%]]&gt;20%,Table5[[#This Row],[Total_Sales]]&gt;2000),"Excellent",IF(AND(Table5[[#This Row],[Profit_Margin%]]&gt;=10%,Table5[[#This Row],[Profit_Margin%]]&lt;=20%),"Good","Needs Improvement"))</f>
        <v>Needs Improvement</v>
      </c>
    </row>
    <row r="418" spans="1:4" x14ac:dyDescent="0.25">
      <c r="A418" s="64">
        <v>94.24</v>
      </c>
      <c r="B418" s="2">
        <v>25.21</v>
      </c>
      <c r="C418" s="65">
        <f>Table5[[#This Row],[Profit]]/Table5[[#This Row],[Total_Sales]]</f>
        <v>0.26750848896434637</v>
      </c>
      <c r="D418" s="22" t="str">
        <f>IF(AND(Table5[[#This Row],[Profit_Margin%]]&gt;20%,Table5[[#This Row],[Total_Sales]]&gt;2000),"Excellent",IF(AND(Table5[[#This Row],[Profit_Margin%]]&gt;=10%,Table5[[#This Row],[Profit_Margin%]]&lt;=20%),"Good","Needs Improvement"))</f>
        <v>Needs Improvement</v>
      </c>
    </row>
    <row r="419" spans="1:4" x14ac:dyDescent="0.25">
      <c r="A419" s="64">
        <v>971.38</v>
      </c>
      <c r="B419" s="2">
        <v>357.37</v>
      </c>
      <c r="C419" s="65">
        <f>Table5[[#This Row],[Profit]]/Table5[[#This Row],[Total_Sales]]</f>
        <v>0.36789927731680705</v>
      </c>
      <c r="D419" s="22" t="str">
        <f>IF(AND(Table5[[#This Row],[Profit_Margin%]]&gt;20%,Table5[[#This Row],[Total_Sales]]&gt;2000),"Excellent",IF(AND(Table5[[#This Row],[Profit_Margin%]]&gt;=10%,Table5[[#This Row],[Profit_Margin%]]&lt;=20%),"Good","Needs Improvement"))</f>
        <v>Needs Improvement</v>
      </c>
    </row>
    <row r="420" spans="1:4" x14ac:dyDescent="0.25">
      <c r="A420" s="64">
        <v>1678.16</v>
      </c>
      <c r="B420" s="2">
        <v>453.67</v>
      </c>
      <c r="C420" s="65">
        <f>Table5[[#This Row],[Profit]]/Table5[[#This Row],[Total_Sales]]</f>
        <v>0.27033775087000045</v>
      </c>
      <c r="D420" s="22" t="str">
        <f>IF(AND(Table5[[#This Row],[Profit_Margin%]]&gt;20%,Table5[[#This Row],[Total_Sales]]&gt;2000),"Excellent",IF(AND(Table5[[#This Row],[Profit_Margin%]]&gt;=10%,Table5[[#This Row],[Profit_Margin%]]&lt;=20%),"Good","Needs Improvement"))</f>
        <v>Needs Improvement</v>
      </c>
    </row>
    <row r="421" spans="1:4" x14ac:dyDescent="0.25">
      <c r="A421" s="64">
        <v>336</v>
      </c>
      <c r="B421" s="2">
        <v>61.12</v>
      </c>
      <c r="C421" s="65">
        <f>Table5[[#This Row],[Profit]]/Table5[[#This Row],[Total_Sales]]</f>
        <v>0.1819047619047619</v>
      </c>
      <c r="D421" s="22" t="str">
        <f>IF(AND(Table5[[#This Row],[Profit_Margin%]]&gt;20%,Table5[[#This Row],[Total_Sales]]&gt;2000),"Excellent",IF(AND(Table5[[#This Row],[Profit_Margin%]]&gt;=10%,Table5[[#This Row],[Profit_Margin%]]&lt;=20%),"Good","Needs Improvement"))</f>
        <v>Good</v>
      </c>
    </row>
    <row r="422" spans="1:4" x14ac:dyDescent="0.25">
      <c r="A422" s="64">
        <v>1345.5</v>
      </c>
      <c r="B422" s="2">
        <v>478.8</v>
      </c>
      <c r="C422" s="65">
        <f>Table5[[#This Row],[Profit]]/Table5[[#This Row],[Total_Sales]]</f>
        <v>0.35585284280936458</v>
      </c>
      <c r="D422" s="22" t="str">
        <f>IF(AND(Table5[[#This Row],[Profit_Margin%]]&gt;20%,Table5[[#This Row],[Total_Sales]]&gt;2000),"Excellent",IF(AND(Table5[[#This Row],[Profit_Margin%]]&gt;=10%,Table5[[#This Row],[Profit_Margin%]]&lt;=20%),"Good","Needs Improvement"))</f>
        <v>Needs Improvement</v>
      </c>
    </row>
    <row r="423" spans="1:4" x14ac:dyDescent="0.25">
      <c r="A423" s="64">
        <v>415.87</v>
      </c>
      <c r="B423" s="2">
        <v>110.36</v>
      </c>
      <c r="C423" s="65">
        <f>Table5[[#This Row],[Profit]]/Table5[[#This Row],[Total_Sales]]</f>
        <v>0.26537139009786714</v>
      </c>
      <c r="D423" s="22" t="str">
        <f>IF(AND(Table5[[#This Row],[Profit_Margin%]]&gt;20%,Table5[[#This Row],[Total_Sales]]&gt;2000),"Excellent",IF(AND(Table5[[#This Row],[Profit_Margin%]]&gt;=10%,Table5[[#This Row],[Profit_Margin%]]&lt;=20%),"Good","Needs Improvement"))</f>
        <v>Needs Improvement</v>
      </c>
    </row>
    <row r="424" spans="1:4" x14ac:dyDescent="0.25">
      <c r="A424" s="64">
        <v>1790.88</v>
      </c>
      <c r="B424" s="2">
        <v>523.42999999999995</v>
      </c>
      <c r="C424" s="65">
        <f>Table5[[#This Row],[Profit]]/Table5[[#This Row],[Total_Sales]]</f>
        <v>0.29227530599481816</v>
      </c>
      <c r="D424" s="22" t="str">
        <f>IF(AND(Table5[[#This Row],[Profit_Margin%]]&gt;20%,Table5[[#This Row],[Total_Sales]]&gt;2000),"Excellent",IF(AND(Table5[[#This Row],[Profit_Margin%]]&gt;=10%,Table5[[#This Row],[Profit_Margin%]]&lt;=20%),"Good","Needs Improvement"))</f>
        <v>Needs Improvement</v>
      </c>
    </row>
    <row r="425" spans="1:4" x14ac:dyDescent="0.25">
      <c r="A425" s="64">
        <v>2010.58</v>
      </c>
      <c r="B425" s="2">
        <v>396.36</v>
      </c>
      <c r="C425" s="65">
        <f>Table5[[#This Row],[Profit]]/Table5[[#This Row],[Total_Sales]]</f>
        <v>0.19713714450556558</v>
      </c>
      <c r="D425" s="22" t="str">
        <f>IF(AND(Table5[[#This Row],[Profit_Margin%]]&gt;20%,Table5[[#This Row],[Total_Sales]]&gt;2000),"Excellent",IF(AND(Table5[[#This Row],[Profit_Margin%]]&gt;=10%,Table5[[#This Row],[Profit_Margin%]]&lt;=20%),"Good","Needs Improvement"))</f>
        <v>Good</v>
      </c>
    </row>
    <row r="426" spans="1:4" x14ac:dyDescent="0.25">
      <c r="A426" s="64">
        <v>379.26</v>
      </c>
      <c r="B426" s="2">
        <v>112.84</v>
      </c>
      <c r="C426" s="65">
        <f>Table5[[#This Row],[Profit]]/Table5[[#This Row],[Total_Sales]]</f>
        <v>0.29752676264304173</v>
      </c>
      <c r="D426" s="22" t="str">
        <f>IF(AND(Table5[[#This Row],[Profit_Margin%]]&gt;20%,Table5[[#This Row],[Total_Sales]]&gt;2000),"Excellent",IF(AND(Table5[[#This Row],[Profit_Margin%]]&gt;=10%,Table5[[#This Row],[Profit_Margin%]]&lt;=20%),"Good","Needs Improvement"))</f>
        <v>Needs Improvement</v>
      </c>
    </row>
    <row r="427" spans="1:4" x14ac:dyDescent="0.25">
      <c r="A427" s="64">
        <v>1251.32</v>
      </c>
      <c r="B427" s="2">
        <v>271.94</v>
      </c>
      <c r="C427" s="65">
        <f>Table5[[#This Row],[Profit]]/Table5[[#This Row],[Total_Sales]]</f>
        <v>0.21732250743215165</v>
      </c>
      <c r="D427" s="22" t="str">
        <f>IF(AND(Table5[[#This Row],[Profit_Margin%]]&gt;20%,Table5[[#This Row],[Total_Sales]]&gt;2000),"Excellent",IF(AND(Table5[[#This Row],[Profit_Margin%]]&gt;=10%,Table5[[#This Row],[Profit_Margin%]]&lt;=20%),"Good","Needs Improvement"))</f>
        <v>Needs Improvement</v>
      </c>
    </row>
    <row r="428" spans="1:4" x14ac:dyDescent="0.25">
      <c r="A428" s="64">
        <v>941.62</v>
      </c>
      <c r="B428" s="2">
        <v>225.96</v>
      </c>
      <c r="C428" s="65">
        <f>Table5[[#This Row],[Profit]]/Table5[[#This Row],[Total_Sales]]</f>
        <v>0.23996941441345768</v>
      </c>
      <c r="D428" s="22" t="str">
        <f>IF(AND(Table5[[#This Row],[Profit_Margin%]]&gt;20%,Table5[[#This Row],[Total_Sales]]&gt;2000),"Excellent",IF(AND(Table5[[#This Row],[Profit_Margin%]]&gt;=10%,Table5[[#This Row],[Profit_Margin%]]&lt;=20%),"Good","Needs Improvement"))</f>
        <v>Needs Improvement</v>
      </c>
    </row>
    <row r="429" spans="1:4" x14ac:dyDescent="0.25">
      <c r="A429" s="64">
        <v>1420.18</v>
      </c>
      <c r="B429" s="2">
        <v>355.73</v>
      </c>
      <c r="C429" s="65">
        <f>Table5[[#This Row],[Profit]]/Table5[[#This Row],[Total_Sales]]</f>
        <v>0.25048233322536578</v>
      </c>
      <c r="D429" s="22" t="str">
        <f>IF(AND(Table5[[#This Row],[Profit_Margin%]]&gt;20%,Table5[[#This Row],[Total_Sales]]&gt;2000),"Excellent",IF(AND(Table5[[#This Row],[Profit_Margin%]]&gt;=10%,Table5[[#This Row],[Profit_Margin%]]&lt;=20%),"Good","Needs Improvement"))</f>
        <v>Needs Improvement</v>
      </c>
    </row>
    <row r="430" spans="1:4" x14ac:dyDescent="0.25">
      <c r="A430" s="64">
        <v>2239.36</v>
      </c>
      <c r="B430" s="2">
        <v>825.85</v>
      </c>
      <c r="C430" s="65">
        <f>Table5[[#This Row],[Profit]]/Table5[[#This Row],[Total_Sales]]</f>
        <v>0.3687884038296656</v>
      </c>
      <c r="D430" s="22" t="str">
        <f>IF(AND(Table5[[#This Row],[Profit_Margin%]]&gt;20%,Table5[[#This Row],[Total_Sales]]&gt;2000),"Excellent",IF(AND(Table5[[#This Row],[Profit_Margin%]]&gt;=10%,Table5[[#This Row],[Profit_Margin%]]&lt;=20%),"Good","Needs Improvement"))</f>
        <v>Excellent</v>
      </c>
    </row>
    <row r="431" spans="1:4" x14ac:dyDescent="0.25">
      <c r="A431" s="64">
        <v>1072.75</v>
      </c>
      <c r="B431" s="2">
        <v>117.73</v>
      </c>
      <c r="C431" s="65">
        <f>Table5[[#This Row],[Profit]]/Table5[[#This Row],[Total_Sales]]</f>
        <v>0.10974597995805174</v>
      </c>
      <c r="D431" s="22" t="str">
        <f>IF(AND(Table5[[#This Row],[Profit_Margin%]]&gt;20%,Table5[[#This Row],[Total_Sales]]&gt;2000),"Excellent",IF(AND(Table5[[#This Row],[Profit_Margin%]]&gt;=10%,Table5[[#This Row],[Profit_Margin%]]&lt;=20%),"Good","Needs Improvement"))</f>
        <v>Good</v>
      </c>
    </row>
    <row r="432" spans="1:4" x14ac:dyDescent="0.25">
      <c r="A432" s="64">
        <v>158.19999999999999</v>
      </c>
      <c r="B432" s="2">
        <v>61.91</v>
      </c>
      <c r="C432" s="65">
        <f>Table5[[#This Row],[Profit]]/Table5[[#This Row],[Total_Sales]]</f>
        <v>0.39134007585335018</v>
      </c>
      <c r="D432" s="22" t="str">
        <f>IF(AND(Table5[[#This Row],[Profit_Margin%]]&gt;20%,Table5[[#This Row],[Total_Sales]]&gt;2000),"Excellent",IF(AND(Table5[[#This Row],[Profit_Margin%]]&gt;=10%,Table5[[#This Row],[Profit_Margin%]]&lt;=20%),"Good","Needs Improvement"))</f>
        <v>Needs Improvement</v>
      </c>
    </row>
    <row r="433" spans="1:4" x14ac:dyDescent="0.25">
      <c r="A433" s="64">
        <v>936</v>
      </c>
      <c r="B433" s="2">
        <v>253.93</v>
      </c>
      <c r="C433" s="65">
        <f>Table5[[#This Row],[Profit]]/Table5[[#This Row],[Total_Sales]]</f>
        <v>0.27129273504273504</v>
      </c>
      <c r="D433" s="22" t="str">
        <f>IF(AND(Table5[[#This Row],[Profit_Margin%]]&gt;20%,Table5[[#This Row],[Total_Sales]]&gt;2000),"Excellent",IF(AND(Table5[[#This Row],[Profit_Margin%]]&gt;=10%,Table5[[#This Row],[Profit_Margin%]]&lt;=20%),"Good","Needs Improvement"))</f>
        <v>Needs Improvement</v>
      </c>
    </row>
    <row r="434" spans="1:4" x14ac:dyDescent="0.25">
      <c r="A434" s="64">
        <v>1599.04</v>
      </c>
      <c r="B434" s="2">
        <v>275.94</v>
      </c>
      <c r="C434" s="65">
        <f>Table5[[#This Row],[Profit]]/Table5[[#This Row],[Total_Sales]]</f>
        <v>0.17256603962377426</v>
      </c>
      <c r="D434" s="22" t="str">
        <f>IF(AND(Table5[[#This Row],[Profit_Margin%]]&gt;20%,Table5[[#This Row],[Total_Sales]]&gt;2000),"Excellent",IF(AND(Table5[[#This Row],[Profit_Margin%]]&gt;=10%,Table5[[#This Row],[Profit_Margin%]]&lt;=20%),"Good","Needs Improvement"))</f>
        <v>Good</v>
      </c>
    </row>
    <row r="435" spans="1:4" x14ac:dyDescent="0.25">
      <c r="A435" s="64">
        <v>1050.42</v>
      </c>
      <c r="B435" s="2">
        <v>335.72</v>
      </c>
      <c r="C435" s="65">
        <f>Table5[[#This Row],[Profit]]/Table5[[#This Row],[Total_Sales]]</f>
        <v>0.31960549113687858</v>
      </c>
      <c r="D435" s="22" t="str">
        <f>IF(AND(Table5[[#This Row],[Profit_Margin%]]&gt;20%,Table5[[#This Row],[Total_Sales]]&gt;2000),"Excellent",IF(AND(Table5[[#This Row],[Profit_Margin%]]&gt;=10%,Table5[[#This Row],[Profit_Margin%]]&lt;=20%),"Good","Needs Improvement"))</f>
        <v>Needs Improvement</v>
      </c>
    </row>
    <row r="436" spans="1:4" x14ac:dyDescent="0.25">
      <c r="A436" s="64">
        <v>771.88</v>
      </c>
      <c r="B436" s="2">
        <v>167.34</v>
      </c>
      <c r="C436" s="65">
        <f>Table5[[#This Row],[Profit]]/Table5[[#This Row],[Total_Sales]]</f>
        <v>0.21679535679121106</v>
      </c>
      <c r="D436" s="22" t="str">
        <f>IF(AND(Table5[[#This Row],[Profit_Margin%]]&gt;20%,Table5[[#This Row],[Total_Sales]]&gt;2000),"Excellent",IF(AND(Table5[[#This Row],[Profit_Margin%]]&gt;=10%,Table5[[#This Row],[Profit_Margin%]]&lt;=20%),"Good","Needs Improvement"))</f>
        <v>Needs Improvement</v>
      </c>
    </row>
    <row r="437" spans="1:4" x14ac:dyDescent="0.25">
      <c r="A437" s="64">
        <v>674.88</v>
      </c>
      <c r="B437" s="2">
        <v>143.78</v>
      </c>
      <c r="C437" s="65">
        <f>Table5[[#This Row],[Profit]]/Table5[[#This Row],[Total_Sales]]</f>
        <v>0.21304528212422949</v>
      </c>
      <c r="D437" s="22" t="str">
        <f>IF(AND(Table5[[#This Row],[Profit_Margin%]]&gt;20%,Table5[[#This Row],[Total_Sales]]&gt;2000),"Excellent",IF(AND(Table5[[#This Row],[Profit_Margin%]]&gt;=10%,Table5[[#This Row],[Profit_Margin%]]&lt;=20%),"Good","Needs Improvement"))</f>
        <v>Needs Improvement</v>
      </c>
    </row>
    <row r="438" spans="1:4" x14ac:dyDescent="0.25">
      <c r="A438" s="64">
        <v>419.64</v>
      </c>
      <c r="B438" s="2">
        <v>91.16</v>
      </c>
      <c r="C438" s="65">
        <f>Table5[[#This Row],[Profit]]/Table5[[#This Row],[Total_Sales]]</f>
        <v>0.21723381946430273</v>
      </c>
      <c r="D438" s="22" t="str">
        <f>IF(AND(Table5[[#This Row],[Profit_Margin%]]&gt;20%,Table5[[#This Row],[Total_Sales]]&gt;2000),"Excellent",IF(AND(Table5[[#This Row],[Profit_Margin%]]&gt;=10%,Table5[[#This Row],[Profit_Margin%]]&lt;=20%),"Good","Needs Improvement"))</f>
        <v>Needs Improvement</v>
      </c>
    </row>
    <row r="439" spans="1:4" x14ac:dyDescent="0.25">
      <c r="A439" s="64">
        <v>1042.22</v>
      </c>
      <c r="B439" s="2">
        <v>395.89</v>
      </c>
      <c r="C439" s="65">
        <f>Table5[[#This Row],[Profit]]/Table5[[#This Row],[Total_Sales]]</f>
        <v>0.37985262228704109</v>
      </c>
      <c r="D439" s="22" t="str">
        <f>IF(AND(Table5[[#This Row],[Profit_Margin%]]&gt;20%,Table5[[#This Row],[Total_Sales]]&gt;2000),"Excellent",IF(AND(Table5[[#This Row],[Profit_Margin%]]&gt;=10%,Table5[[#This Row],[Profit_Margin%]]&lt;=20%),"Good","Needs Improvement"))</f>
        <v>Needs Improvement</v>
      </c>
    </row>
    <row r="440" spans="1:4" x14ac:dyDescent="0.25">
      <c r="A440" s="64">
        <v>1222.4000000000001</v>
      </c>
      <c r="B440" s="2">
        <v>295.98</v>
      </c>
      <c r="C440" s="65">
        <f>Table5[[#This Row],[Profit]]/Table5[[#This Row],[Total_Sales]]</f>
        <v>0.24213023560209423</v>
      </c>
      <c r="D440" s="22" t="str">
        <f>IF(AND(Table5[[#This Row],[Profit_Margin%]]&gt;20%,Table5[[#This Row],[Total_Sales]]&gt;2000),"Excellent",IF(AND(Table5[[#This Row],[Profit_Margin%]]&gt;=10%,Table5[[#This Row],[Profit_Margin%]]&lt;=20%),"Good","Needs Improvement"))</f>
        <v>Needs Improvement</v>
      </c>
    </row>
    <row r="441" spans="1:4" x14ac:dyDescent="0.25">
      <c r="A441" s="64">
        <v>928.95</v>
      </c>
      <c r="B441" s="2">
        <v>378.27</v>
      </c>
      <c r="C441" s="65">
        <f>Table5[[#This Row],[Profit]]/Table5[[#This Row],[Total_Sales]]</f>
        <v>0.407201679315356</v>
      </c>
      <c r="D441" s="22" t="str">
        <f>IF(AND(Table5[[#This Row],[Profit_Margin%]]&gt;20%,Table5[[#This Row],[Total_Sales]]&gt;2000),"Excellent",IF(AND(Table5[[#This Row],[Profit_Margin%]]&gt;=10%,Table5[[#This Row],[Profit_Margin%]]&lt;=20%),"Good","Needs Improvement"))</f>
        <v>Needs Improvement</v>
      </c>
    </row>
    <row r="442" spans="1:4" x14ac:dyDescent="0.25">
      <c r="A442" s="64">
        <v>715.4</v>
      </c>
      <c r="B442" s="2">
        <v>276.17</v>
      </c>
      <c r="C442" s="65">
        <f>Table5[[#This Row],[Profit]]/Table5[[#This Row],[Total_Sales]]</f>
        <v>0.38603578417668438</v>
      </c>
      <c r="D442" s="22" t="str">
        <f>IF(AND(Table5[[#This Row],[Profit_Margin%]]&gt;20%,Table5[[#This Row],[Total_Sales]]&gt;2000),"Excellent",IF(AND(Table5[[#This Row],[Profit_Margin%]]&gt;=10%,Table5[[#This Row],[Profit_Margin%]]&lt;=20%),"Good","Needs Improvement"))</f>
        <v>Needs Improvement</v>
      </c>
    </row>
    <row r="443" spans="1:4" x14ac:dyDescent="0.25">
      <c r="A443" s="64">
        <v>472.08</v>
      </c>
      <c r="B443" s="2">
        <v>191.37</v>
      </c>
      <c r="C443" s="65">
        <f>Table5[[#This Row],[Profit]]/Table5[[#This Row],[Total_Sales]]</f>
        <v>0.40537620742247077</v>
      </c>
      <c r="D443" s="22" t="str">
        <f>IF(AND(Table5[[#This Row],[Profit_Margin%]]&gt;20%,Table5[[#This Row],[Total_Sales]]&gt;2000),"Excellent",IF(AND(Table5[[#This Row],[Profit_Margin%]]&gt;=10%,Table5[[#This Row],[Profit_Margin%]]&lt;=20%),"Good","Needs Improvement"))</f>
        <v>Needs Improvement</v>
      </c>
    </row>
    <row r="444" spans="1:4" x14ac:dyDescent="0.25">
      <c r="A444" s="64">
        <v>220.24</v>
      </c>
      <c r="B444" s="2">
        <v>63.58</v>
      </c>
      <c r="C444" s="65">
        <f>Table5[[#This Row],[Profit]]/Table5[[#This Row],[Total_Sales]]</f>
        <v>0.28868507083181982</v>
      </c>
      <c r="D444" s="22" t="str">
        <f>IF(AND(Table5[[#This Row],[Profit_Margin%]]&gt;20%,Table5[[#This Row],[Total_Sales]]&gt;2000),"Excellent",IF(AND(Table5[[#This Row],[Profit_Margin%]]&gt;=10%,Table5[[#This Row],[Profit_Margin%]]&lt;=20%),"Good","Needs Improvement"))</f>
        <v>Needs Improvement</v>
      </c>
    </row>
    <row r="445" spans="1:4" x14ac:dyDescent="0.25">
      <c r="A445" s="64">
        <v>1387.75</v>
      </c>
      <c r="B445" s="2">
        <v>539.29999999999995</v>
      </c>
      <c r="C445" s="65">
        <f>Table5[[#This Row],[Profit]]/Table5[[#This Row],[Total_Sales]]</f>
        <v>0.38861466402450007</v>
      </c>
      <c r="D445" s="22" t="str">
        <f>IF(AND(Table5[[#This Row],[Profit_Margin%]]&gt;20%,Table5[[#This Row],[Total_Sales]]&gt;2000),"Excellent",IF(AND(Table5[[#This Row],[Profit_Margin%]]&gt;=10%,Table5[[#This Row],[Profit_Margin%]]&lt;=20%),"Good","Needs Improvement"))</f>
        <v>Needs Improvement</v>
      </c>
    </row>
    <row r="446" spans="1:4" x14ac:dyDescent="0.25">
      <c r="A446" s="64">
        <v>1184</v>
      </c>
      <c r="B446" s="2">
        <v>362.38</v>
      </c>
      <c r="C446" s="65">
        <f>Table5[[#This Row],[Profit]]/Table5[[#This Row],[Total_Sales]]</f>
        <v>0.30606418918918921</v>
      </c>
      <c r="D446" s="22" t="str">
        <f>IF(AND(Table5[[#This Row],[Profit_Margin%]]&gt;20%,Table5[[#This Row],[Total_Sales]]&gt;2000),"Excellent",IF(AND(Table5[[#This Row],[Profit_Margin%]]&gt;=10%,Table5[[#This Row],[Profit_Margin%]]&lt;=20%),"Good","Needs Improvement"))</f>
        <v>Needs Improvement</v>
      </c>
    </row>
    <row r="447" spans="1:4" x14ac:dyDescent="0.25">
      <c r="A447" s="64">
        <v>99.05</v>
      </c>
      <c r="B447" s="2">
        <v>29.39</v>
      </c>
      <c r="C447" s="65">
        <f>Table5[[#This Row],[Profit]]/Table5[[#This Row],[Total_Sales]]</f>
        <v>0.2967188288743059</v>
      </c>
      <c r="D447" s="22" t="str">
        <f>IF(AND(Table5[[#This Row],[Profit_Margin%]]&gt;20%,Table5[[#This Row],[Total_Sales]]&gt;2000),"Excellent",IF(AND(Table5[[#This Row],[Profit_Margin%]]&gt;=10%,Table5[[#This Row],[Profit_Margin%]]&lt;=20%),"Good","Needs Improvement"))</f>
        <v>Needs Improvement</v>
      </c>
    </row>
    <row r="448" spans="1:4" x14ac:dyDescent="0.25">
      <c r="A448" s="64">
        <v>486.81</v>
      </c>
      <c r="B448" s="2">
        <v>105.93</v>
      </c>
      <c r="C448" s="65">
        <f>Table5[[#This Row],[Profit]]/Table5[[#This Row],[Total_Sales]]</f>
        <v>0.21760029580329082</v>
      </c>
      <c r="D448" s="22" t="str">
        <f>IF(AND(Table5[[#This Row],[Profit_Margin%]]&gt;20%,Table5[[#This Row],[Total_Sales]]&gt;2000),"Excellent",IF(AND(Table5[[#This Row],[Profit_Margin%]]&gt;=10%,Table5[[#This Row],[Profit_Margin%]]&lt;=20%),"Good","Needs Improvement"))</f>
        <v>Needs Improvement</v>
      </c>
    </row>
    <row r="449" spans="1:4" x14ac:dyDescent="0.25">
      <c r="A449" s="64">
        <v>1211.8499999999999</v>
      </c>
      <c r="B449" s="2">
        <v>339</v>
      </c>
      <c r="C449" s="65">
        <f>Table5[[#This Row],[Profit]]/Table5[[#This Row],[Total_Sales]]</f>
        <v>0.2797375912860503</v>
      </c>
      <c r="D449" s="22" t="str">
        <f>IF(AND(Table5[[#This Row],[Profit_Margin%]]&gt;20%,Table5[[#This Row],[Total_Sales]]&gt;2000),"Excellent",IF(AND(Table5[[#This Row],[Profit_Margin%]]&gt;=10%,Table5[[#This Row],[Profit_Margin%]]&lt;=20%),"Good","Needs Improvement"))</f>
        <v>Needs Improvement</v>
      </c>
    </row>
    <row r="450" spans="1:4" x14ac:dyDescent="0.25">
      <c r="A450" s="64">
        <v>1301.5999999999999</v>
      </c>
      <c r="B450" s="2">
        <v>454.54</v>
      </c>
      <c r="C450" s="65">
        <f>Table5[[#This Row],[Profit]]/Table5[[#This Row],[Total_Sales]]</f>
        <v>0.34921634910878924</v>
      </c>
      <c r="D450" s="22" t="str">
        <f>IF(AND(Table5[[#This Row],[Profit_Margin%]]&gt;20%,Table5[[#This Row],[Total_Sales]]&gt;2000),"Excellent",IF(AND(Table5[[#This Row],[Profit_Margin%]]&gt;=10%,Table5[[#This Row],[Profit_Margin%]]&lt;=20%),"Good","Needs Improvement"))</f>
        <v>Needs Improvement</v>
      </c>
    </row>
    <row r="451" spans="1:4" x14ac:dyDescent="0.25">
      <c r="A451" s="64">
        <v>918.32</v>
      </c>
      <c r="B451" s="2">
        <v>273.3</v>
      </c>
      <c r="C451" s="65">
        <f>Table5[[#This Row],[Profit]]/Table5[[#This Row],[Total_Sales]]</f>
        <v>0.29760867671399949</v>
      </c>
      <c r="D451" s="22" t="str">
        <f>IF(AND(Table5[[#This Row],[Profit_Margin%]]&gt;20%,Table5[[#This Row],[Total_Sales]]&gt;2000),"Excellent",IF(AND(Table5[[#This Row],[Profit_Margin%]]&gt;=10%,Table5[[#This Row],[Profit_Margin%]]&lt;=20%),"Good","Needs Improvement"))</f>
        <v>Needs Improvement</v>
      </c>
    </row>
    <row r="452" spans="1:4" x14ac:dyDescent="0.25">
      <c r="A452" s="64">
        <v>263.04000000000002</v>
      </c>
      <c r="B452" s="2">
        <v>41.4</v>
      </c>
      <c r="C452" s="65">
        <f>Table5[[#This Row],[Profit]]/Table5[[#This Row],[Total_Sales]]</f>
        <v>0.1573905109489051</v>
      </c>
      <c r="D452" s="22" t="str">
        <f>IF(AND(Table5[[#This Row],[Profit_Margin%]]&gt;20%,Table5[[#This Row],[Total_Sales]]&gt;2000),"Excellent",IF(AND(Table5[[#This Row],[Profit_Margin%]]&gt;=10%,Table5[[#This Row],[Profit_Margin%]]&lt;=20%),"Good","Needs Improvement"))</f>
        <v>Good</v>
      </c>
    </row>
    <row r="453" spans="1:4" x14ac:dyDescent="0.25">
      <c r="A453" s="64">
        <v>1804.53</v>
      </c>
      <c r="B453" s="2">
        <v>673.96</v>
      </c>
      <c r="C453" s="65">
        <f>Table5[[#This Row],[Profit]]/Table5[[#This Row],[Total_Sales]]</f>
        <v>0.37348229178788939</v>
      </c>
      <c r="D453" s="22" t="str">
        <f>IF(AND(Table5[[#This Row],[Profit_Margin%]]&gt;20%,Table5[[#This Row],[Total_Sales]]&gt;2000),"Excellent",IF(AND(Table5[[#This Row],[Profit_Margin%]]&gt;=10%,Table5[[#This Row],[Profit_Margin%]]&lt;=20%),"Good","Needs Improvement"))</f>
        <v>Needs Improvement</v>
      </c>
    </row>
    <row r="454" spans="1:4" x14ac:dyDescent="0.25">
      <c r="A454" s="64">
        <v>498.3</v>
      </c>
      <c r="B454" s="2">
        <v>86.45</v>
      </c>
      <c r="C454" s="65">
        <f>Table5[[#This Row],[Profit]]/Table5[[#This Row],[Total_Sales]]</f>
        <v>0.17348986554284568</v>
      </c>
      <c r="D454" s="22" t="str">
        <f>IF(AND(Table5[[#This Row],[Profit_Margin%]]&gt;20%,Table5[[#This Row],[Total_Sales]]&gt;2000),"Excellent",IF(AND(Table5[[#This Row],[Profit_Margin%]]&gt;=10%,Table5[[#This Row],[Profit_Margin%]]&lt;=20%),"Good","Needs Improvement"))</f>
        <v>Good</v>
      </c>
    </row>
    <row r="455" spans="1:4" x14ac:dyDescent="0.25">
      <c r="A455" s="64">
        <v>2485.6999999999998</v>
      </c>
      <c r="B455" s="2">
        <v>948.48</v>
      </c>
      <c r="C455" s="65">
        <f>Table5[[#This Row],[Profit]]/Table5[[#This Row],[Total_Sales]]</f>
        <v>0.38157460675061355</v>
      </c>
      <c r="D455" s="22" t="str">
        <f>IF(AND(Table5[[#This Row],[Profit_Margin%]]&gt;20%,Table5[[#This Row],[Total_Sales]]&gt;2000),"Excellent",IF(AND(Table5[[#This Row],[Profit_Margin%]]&gt;=10%,Table5[[#This Row],[Profit_Margin%]]&lt;=20%),"Good","Needs Improvement"))</f>
        <v>Excellent</v>
      </c>
    </row>
    <row r="456" spans="1:4" x14ac:dyDescent="0.25">
      <c r="A456" s="64">
        <v>84.62</v>
      </c>
      <c r="B456" s="2">
        <v>24.34</v>
      </c>
      <c r="C456" s="65">
        <f>Table5[[#This Row],[Profit]]/Table5[[#This Row],[Total_Sales]]</f>
        <v>0.28763885606239659</v>
      </c>
      <c r="D456" s="22" t="str">
        <f>IF(AND(Table5[[#This Row],[Profit_Margin%]]&gt;20%,Table5[[#This Row],[Total_Sales]]&gt;2000),"Excellent",IF(AND(Table5[[#This Row],[Profit_Margin%]]&gt;=10%,Table5[[#This Row],[Profit_Margin%]]&lt;=20%),"Good","Needs Improvement"))</f>
        <v>Needs Improvement</v>
      </c>
    </row>
    <row r="457" spans="1:4" x14ac:dyDescent="0.25">
      <c r="A457" s="64">
        <v>330.88</v>
      </c>
      <c r="B457" s="2">
        <v>119.1</v>
      </c>
      <c r="C457" s="65">
        <f>Table5[[#This Row],[Profit]]/Table5[[#This Row],[Total_Sales]]</f>
        <v>0.35994922630560927</v>
      </c>
      <c r="D457" s="22" t="str">
        <f>IF(AND(Table5[[#This Row],[Profit_Margin%]]&gt;20%,Table5[[#This Row],[Total_Sales]]&gt;2000),"Excellent",IF(AND(Table5[[#This Row],[Profit_Margin%]]&gt;=10%,Table5[[#This Row],[Profit_Margin%]]&lt;=20%),"Good","Needs Improvement"))</f>
        <v>Needs Improvement</v>
      </c>
    </row>
    <row r="458" spans="1:4" x14ac:dyDescent="0.25">
      <c r="A458" s="64">
        <v>94.17</v>
      </c>
      <c r="B458" s="2">
        <v>37.65</v>
      </c>
      <c r="C458" s="65">
        <f>Table5[[#This Row],[Profit]]/Table5[[#This Row],[Total_Sales]]</f>
        <v>0.39980885632366991</v>
      </c>
      <c r="D458" s="22" t="str">
        <f>IF(AND(Table5[[#This Row],[Profit_Margin%]]&gt;20%,Table5[[#This Row],[Total_Sales]]&gt;2000),"Excellent",IF(AND(Table5[[#This Row],[Profit_Margin%]]&gt;=10%,Table5[[#This Row],[Profit_Margin%]]&lt;=20%),"Good","Needs Improvement"))</f>
        <v>Needs Improvement</v>
      </c>
    </row>
    <row r="459" spans="1:4" x14ac:dyDescent="0.25">
      <c r="A459" s="64">
        <v>1613.28</v>
      </c>
      <c r="B459" s="2">
        <v>423.36</v>
      </c>
      <c r="C459" s="65">
        <f>Table5[[#This Row],[Profit]]/Table5[[#This Row],[Total_Sales]]</f>
        <v>0.26242189824457007</v>
      </c>
      <c r="D459" s="22" t="str">
        <f>IF(AND(Table5[[#This Row],[Profit_Margin%]]&gt;20%,Table5[[#This Row],[Total_Sales]]&gt;2000),"Excellent",IF(AND(Table5[[#This Row],[Profit_Margin%]]&gt;=10%,Table5[[#This Row],[Profit_Margin%]]&lt;=20%),"Good","Needs Improvement"))</f>
        <v>Needs Improvement</v>
      </c>
    </row>
    <row r="460" spans="1:4" x14ac:dyDescent="0.25">
      <c r="A460" s="64">
        <v>452.61</v>
      </c>
      <c r="B460" s="2">
        <v>131.68</v>
      </c>
      <c r="C460" s="65">
        <f>Table5[[#This Row],[Profit]]/Table5[[#This Row],[Total_Sales]]</f>
        <v>0.29093480038001812</v>
      </c>
      <c r="D460" s="22" t="str">
        <f>IF(AND(Table5[[#This Row],[Profit_Margin%]]&gt;20%,Table5[[#This Row],[Total_Sales]]&gt;2000),"Excellent",IF(AND(Table5[[#This Row],[Profit_Margin%]]&gt;=10%,Table5[[#This Row],[Profit_Margin%]]&lt;=20%),"Good","Needs Improvement"))</f>
        <v>Needs Improvement</v>
      </c>
    </row>
    <row r="461" spans="1:4" x14ac:dyDescent="0.25">
      <c r="A461" s="64">
        <v>419.52</v>
      </c>
      <c r="B461" s="2">
        <v>134.09</v>
      </c>
      <c r="C461" s="65">
        <f>Table5[[#This Row],[Profit]]/Table5[[#This Row],[Total_Sales]]</f>
        <v>0.31962719298245618</v>
      </c>
      <c r="D461" s="22" t="str">
        <f>IF(AND(Table5[[#This Row],[Profit_Margin%]]&gt;20%,Table5[[#This Row],[Total_Sales]]&gt;2000),"Excellent",IF(AND(Table5[[#This Row],[Profit_Margin%]]&gt;=10%,Table5[[#This Row],[Profit_Margin%]]&lt;=20%),"Good","Needs Improvement"))</f>
        <v>Needs Improvement</v>
      </c>
    </row>
    <row r="462" spans="1:4" x14ac:dyDescent="0.25">
      <c r="A462" s="64">
        <v>1528.88</v>
      </c>
      <c r="B462" s="2">
        <v>416.97</v>
      </c>
      <c r="C462" s="65">
        <f>Table5[[#This Row],[Profit]]/Table5[[#This Row],[Total_Sales]]</f>
        <v>0.27272905656428237</v>
      </c>
      <c r="D462" s="22" t="str">
        <f>IF(AND(Table5[[#This Row],[Profit_Margin%]]&gt;20%,Table5[[#This Row],[Total_Sales]]&gt;2000),"Excellent",IF(AND(Table5[[#This Row],[Profit_Margin%]]&gt;=10%,Table5[[#This Row],[Profit_Margin%]]&lt;=20%),"Good","Needs Improvement"))</f>
        <v>Needs Improvement</v>
      </c>
    </row>
    <row r="463" spans="1:4" x14ac:dyDescent="0.25">
      <c r="A463" s="64">
        <v>865.02</v>
      </c>
      <c r="B463" s="2">
        <v>234.29</v>
      </c>
      <c r="C463" s="65">
        <f>Table5[[#This Row],[Profit]]/Table5[[#This Row],[Total_Sales]]</f>
        <v>0.27084922891956253</v>
      </c>
      <c r="D463" s="22" t="str">
        <f>IF(AND(Table5[[#This Row],[Profit_Margin%]]&gt;20%,Table5[[#This Row],[Total_Sales]]&gt;2000),"Excellent",IF(AND(Table5[[#This Row],[Profit_Margin%]]&gt;=10%,Table5[[#This Row],[Profit_Margin%]]&lt;=20%),"Good","Needs Improvement"))</f>
        <v>Needs Improvement</v>
      </c>
    </row>
    <row r="464" spans="1:4" x14ac:dyDescent="0.25">
      <c r="A464" s="64">
        <v>235.4</v>
      </c>
      <c r="B464" s="2">
        <v>53.26</v>
      </c>
      <c r="C464" s="65">
        <f>Table5[[#This Row],[Profit]]/Table5[[#This Row],[Total_Sales]]</f>
        <v>0.22625318606627015</v>
      </c>
      <c r="D464" s="22" t="str">
        <f>IF(AND(Table5[[#This Row],[Profit_Margin%]]&gt;20%,Table5[[#This Row],[Total_Sales]]&gt;2000),"Excellent",IF(AND(Table5[[#This Row],[Profit_Margin%]]&gt;=10%,Table5[[#This Row],[Profit_Margin%]]&lt;=20%),"Good","Needs Improvement"))</f>
        <v>Needs Improvement</v>
      </c>
    </row>
    <row r="465" spans="1:4" x14ac:dyDescent="0.25">
      <c r="A465" s="64">
        <v>761.46</v>
      </c>
      <c r="B465" s="2">
        <v>179.47</v>
      </c>
      <c r="C465" s="65">
        <f>Table5[[#This Row],[Profit]]/Table5[[#This Row],[Total_Sales]]</f>
        <v>0.23569196018175609</v>
      </c>
      <c r="D465" s="22" t="str">
        <f>IF(AND(Table5[[#This Row],[Profit_Margin%]]&gt;20%,Table5[[#This Row],[Total_Sales]]&gt;2000),"Excellent",IF(AND(Table5[[#This Row],[Profit_Margin%]]&gt;=10%,Table5[[#This Row],[Profit_Margin%]]&lt;=20%),"Good","Needs Improvement"))</f>
        <v>Needs Improvement</v>
      </c>
    </row>
    <row r="466" spans="1:4" x14ac:dyDescent="0.25">
      <c r="A466" s="64">
        <v>1380.99</v>
      </c>
      <c r="B466" s="2">
        <v>418.93</v>
      </c>
      <c r="C466" s="65">
        <f>Table5[[#This Row],[Profit]]/Table5[[#This Row],[Total_Sales]]</f>
        <v>0.30335483964402349</v>
      </c>
      <c r="D466" s="22" t="str">
        <f>IF(AND(Table5[[#This Row],[Profit_Margin%]]&gt;20%,Table5[[#This Row],[Total_Sales]]&gt;2000),"Excellent",IF(AND(Table5[[#This Row],[Profit_Margin%]]&gt;=10%,Table5[[#This Row],[Profit_Margin%]]&lt;=20%),"Good","Needs Improvement"))</f>
        <v>Needs Improvement</v>
      </c>
    </row>
    <row r="467" spans="1:4" x14ac:dyDescent="0.25">
      <c r="A467" s="64">
        <v>355.55</v>
      </c>
      <c r="B467" s="2">
        <v>95.32</v>
      </c>
      <c r="C467" s="65">
        <f>Table5[[#This Row],[Profit]]/Table5[[#This Row],[Total_Sales]]</f>
        <v>0.26809168893263957</v>
      </c>
      <c r="D467" s="22" t="str">
        <f>IF(AND(Table5[[#This Row],[Profit_Margin%]]&gt;20%,Table5[[#This Row],[Total_Sales]]&gt;2000),"Excellent",IF(AND(Table5[[#This Row],[Profit_Margin%]]&gt;=10%,Table5[[#This Row],[Profit_Margin%]]&lt;=20%),"Good","Needs Improvement"))</f>
        <v>Needs Improvement</v>
      </c>
    </row>
    <row r="468" spans="1:4" x14ac:dyDescent="0.25">
      <c r="A468" s="64">
        <v>843.2</v>
      </c>
      <c r="B468" s="2">
        <v>266.39</v>
      </c>
      <c r="C468" s="65">
        <f>Table5[[#This Row],[Profit]]/Table5[[#This Row],[Total_Sales]]</f>
        <v>0.3159274193548387</v>
      </c>
      <c r="D468" s="22" t="str">
        <f>IF(AND(Table5[[#This Row],[Profit_Margin%]]&gt;20%,Table5[[#This Row],[Total_Sales]]&gt;2000),"Excellent",IF(AND(Table5[[#This Row],[Profit_Margin%]]&gt;=10%,Table5[[#This Row],[Profit_Margin%]]&lt;=20%),"Good","Needs Improvement"))</f>
        <v>Needs Improvement</v>
      </c>
    </row>
    <row r="469" spans="1:4" x14ac:dyDescent="0.25">
      <c r="A469" s="64">
        <v>1294.3800000000001</v>
      </c>
      <c r="B469" s="2">
        <v>503.1</v>
      </c>
      <c r="C469" s="65">
        <f>Table5[[#This Row],[Profit]]/Table5[[#This Row],[Total_Sales]]</f>
        <v>0.38868029481296062</v>
      </c>
      <c r="D469" s="22" t="str">
        <f>IF(AND(Table5[[#This Row],[Profit_Margin%]]&gt;20%,Table5[[#This Row],[Total_Sales]]&gt;2000),"Excellent",IF(AND(Table5[[#This Row],[Profit_Margin%]]&gt;=10%,Table5[[#This Row],[Profit_Margin%]]&lt;=20%),"Good","Needs Improvement"))</f>
        <v>Needs Improvement</v>
      </c>
    </row>
    <row r="470" spans="1:4" x14ac:dyDescent="0.25">
      <c r="A470" s="64">
        <v>721.28</v>
      </c>
      <c r="B470" s="2">
        <v>187.67</v>
      </c>
      <c r="C470" s="65">
        <f>Table5[[#This Row],[Profit]]/Table5[[#This Row],[Total_Sales]]</f>
        <v>0.26019021739130432</v>
      </c>
      <c r="D470" s="22" t="str">
        <f>IF(AND(Table5[[#This Row],[Profit_Margin%]]&gt;20%,Table5[[#This Row],[Total_Sales]]&gt;2000),"Excellent",IF(AND(Table5[[#This Row],[Profit_Margin%]]&gt;=10%,Table5[[#This Row],[Profit_Margin%]]&lt;=20%),"Good","Needs Improvement"))</f>
        <v>Needs Improvement</v>
      </c>
    </row>
    <row r="471" spans="1:4" x14ac:dyDescent="0.25">
      <c r="A471" s="64">
        <v>1228.4000000000001</v>
      </c>
      <c r="B471" s="2">
        <v>354.56</v>
      </c>
      <c r="C471" s="65">
        <f>Table5[[#This Row],[Profit]]/Table5[[#This Row],[Total_Sales]]</f>
        <v>0.28863562357538258</v>
      </c>
      <c r="D471" s="22" t="str">
        <f>IF(AND(Table5[[#This Row],[Profit_Margin%]]&gt;20%,Table5[[#This Row],[Total_Sales]]&gt;2000),"Excellent",IF(AND(Table5[[#This Row],[Profit_Margin%]]&gt;=10%,Table5[[#This Row],[Profit_Margin%]]&lt;=20%),"Good","Needs Improvement"))</f>
        <v>Needs Improvement</v>
      </c>
    </row>
    <row r="472" spans="1:4" x14ac:dyDescent="0.25">
      <c r="A472" s="64">
        <v>218.48</v>
      </c>
      <c r="B472" s="2">
        <v>64.97</v>
      </c>
      <c r="C472" s="65">
        <f>Table5[[#This Row],[Profit]]/Table5[[#This Row],[Total_Sales]]</f>
        <v>0.29737275723178325</v>
      </c>
      <c r="D472" s="22" t="str">
        <f>IF(AND(Table5[[#This Row],[Profit_Margin%]]&gt;20%,Table5[[#This Row],[Total_Sales]]&gt;2000),"Excellent",IF(AND(Table5[[#This Row],[Profit_Margin%]]&gt;=10%,Table5[[#This Row],[Profit_Margin%]]&lt;=20%),"Good","Needs Improvement"))</f>
        <v>Needs Improvement</v>
      </c>
    </row>
    <row r="473" spans="1:4" x14ac:dyDescent="0.25">
      <c r="A473" s="64">
        <v>553.66</v>
      </c>
      <c r="B473" s="2">
        <v>191.96</v>
      </c>
      <c r="C473" s="65">
        <f>Table5[[#This Row],[Profit]]/Table5[[#This Row],[Total_Sales]]</f>
        <v>0.34671097785644622</v>
      </c>
      <c r="D473" s="22" t="str">
        <f>IF(AND(Table5[[#This Row],[Profit_Margin%]]&gt;20%,Table5[[#This Row],[Total_Sales]]&gt;2000),"Excellent",IF(AND(Table5[[#This Row],[Profit_Margin%]]&gt;=10%,Table5[[#This Row],[Profit_Margin%]]&lt;=20%),"Good","Needs Improvement"))</f>
        <v>Needs Improvement</v>
      </c>
    </row>
    <row r="474" spans="1:4" x14ac:dyDescent="0.25">
      <c r="A474" s="64">
        <v>332.46</v>
      </c>
      <c r="B474" s="2">
        <v>106.89</v>
      </c>
      <c r="C474" s="65">
        <f>Table5[[#This Row],[Profit]]/Table5[[#This Row],[Total_Sales]]</f>
        <v>0.3215123623894604</v>
      </c>
      <c r="D474" s="22" t="str">
        <f>IF(AND(Table5[[#This Row],[Profit_Margin%]]&gt;20%,Table5[[#This Row],[Total_Sales]]&gt;2000),"Excellent",IF(AND(Table5[[#This Row],[Profit_Margin%]]&gt;=10%,Table5[[#This Row],[Profit_Margin%]]&lt;=20%),"Good","Needs Improvement"))</f>
        <v>Needs Improvement</v>
      </c>
    </row>
    <row r="475" spans="1:4" x14ac:dyDescent="0.25">
      <c r="A475" s="64">
        <v>1395.36</v>
      </c>
      <c r="B475" s="2">
        <v>460.98</v>
      </c>
      <c r="C475" s="65">
        <f>Table5[[#This Row],[Profit]]/Table5[[#This Row],[Total_Sales]]</f>
        <v>0.33036635706914347</v>
      </c>
      <c r="D475" s="22" t="str">
        <f>IF(AND(Table5[[#This Row],[Profit_Margin%]]&gt;20%,Table5[[#This Row],[Total_Sales]]&gt;2000),"Excellent",IF(AND(Table5[[#This Row],[Profit_Margin%]]&gt;=10%,Table5[[#This Row],[Profit_Margin%]]&lt;=20%),"Good","Needs Improvement"))</f>
        <v>Needs Improvement</v>
      </c>
    </row>
    <row r="476" spans="1:4" x14ac:dyDescent="0.25">
      <c r="A476" s="64">
        <v>706.42</v>
      </c>
      <c r="B476" s="2">
        <v>87.48</v>
      </c>
      <c r="C476" s="65">
        <f>Table5[[#This Row],[Profit]]/Table5[[#This Row],[Total_Sales]]</f>
        <v>0.12383567849154895</v>
      </c>
      <c r="D476" s="22" t="str">
        <f>IF(AND(Table5[[#This Row],[Profit_Margin%]]&gt;20%,Table5[[#This Row],[Total_Sales]]&gt;2000),"Excellent",IF(AND(Table5[[#This Row],[Profit_Margin%]]&gt;=10%,Table5[[#This Row],[Profit_Margin%]]&lt;=20%),"Good","Needs Improvement"))</f>
        <v>Good</v>
      </c>
    </row>
    <row r="477" spans="1:4" x14ac:dyDescent="0.25">
      <c r="A477" s="64">
        <v>438.84</v>
      </c>
      <c r="B477" s="2">
        <v>106.93</v>
      </c>
      <c r="C477" s="65">
        <f>Table5[[#This Row],[Profit]]/Table5[[#This Row],[Total_Sales]]</f>
        <v>0.24366511712697114</v>
      </c>
      <c r="D477" s="22" t="str">
        <f>IF(AND(Table5[[#This Row],[Profit_Margin%]]&gt;20%,Table5[[#This Row],[Total_Sales]]&gt;2000),"Excellent",IF(AND(Table5[[#This Row],[Profit_Margin%]]&gt;=10%,Table5[[#This Row],[Profit_Margin%]]&lt;=20%),"Good","Needs Improvement"))</f>
        <v>Needs Improvement</v>
      </c>
    </row>
    <row r="478" spans="1:4" x14ac:dyDescent="0.25">
      <c r="A478" s="64">
        <v>1228.77</v>
      </c>
      <c r="B478" s="2">
        <v>300.14999999999998</v>
      </c>
      <c r="C478" s="65">
        <f>Table5[[#This Row],[Profit]]/Table5[[#This Row],[Total_Sales]]</f>
        <v>0.24426865890280522</v>
      </c>
      <c r="D478" s="22" t="str">
        <f>IF(AND(Table5[[#This Row],[Profit_Margin%]]&gt;20%,Table5[[#This Row],[Total_Sales]]&gt;2000),"Excellent",IF(AND(Table5[[#This Row],[Profit_Margin%]]&gt;=10%,Table5[[#This Row],[Profit_Margin%]]&lt;=20%),"Good","Needs Improvement"))</f>
        <v>Needs Improvement</v>
      </c>
    </row>
    <row r="479" spans="1:4" x14ac:dyDescent="0.25">
      <c r="A479" s="64">
        <v>479.66</v>
      </c>
      <c r="B479" s="2">
        <v>79.680000000000007</v>
      </c>
      <c r="C479" s="65">
        <f>Table5[[#This Row],[Profit]]/Table5[[#This Row],[Total_Sales]]</f>
        <v>0.16611766668056541</v>
      </c>
      <c r="D479" s="22" t="str">
        <f>IF(AND(Table5[[#This Row],[Profit_Margin%]]&gt;20%,Table5[[#This Row],[Total_Sales]]&gt;2000),"Excellent",IF(AND(Table5[[#This Row],[Profit_Margin%]]&gt;=10%,Table5[[#This Row],[Profit_Margin%]]&lt;=20%),"Good","Needs Improvement"))</f>
        <v>Good</v>
      </c>
    </row>
    <row r="480" spans="1:4" x14ac:dyDescent="0.25">
      <c r="A480" s="64">
        <v>490.16</v>
      </c>
      <c r="B480" s="2">
        <v>191.19</v>
      </c>
      <c r="C480" s="65">
        <f>Table5[[#This Row],[Profit]]/Table5[[#This Row],[Total_Sales]]</f>
        <v>0.39005630814427938</v>
      </c>
      <c r="D480" s="22" t="str">
        <f>IF(AND(Table5[[#This Row],[Profit_Margin%]]&gt;20%,Table5[[#This Row],[Total_Sales]]&gt;2000),"Excellent",IF(AND(Table5[[#This Row],[Profit_Margin%]]&gt;=10%,Table5[[#This Row],[Profit_Margin%]]&lt;=20%),"Good","Needs Improvement"))</f>
        <v>Needs Improvement</v>
      </c>
    </row>
    <row r="481" spans="1:4" x14ac:dyDescent="0.25">
      <c r="A481" s="64">
        <v>2239</v>
      </c>
      <c r="B481" s="2">
        <v>469.03</v>
      </c>
      <c r="C481" s="65">
        <f>Table5[[#This Row],[Profit]]/Table5[[#This Row],[Total_Sales]]</f>
        <v>0.20948191156766413</v>
      </c>
      <c r="D481" s="22" t="str">
        <f>IF(AND(Table5[[#This Row],[Profit_Margin%]]&gt;20%,Table5[[#This Row],[Total_Sales]]&gt;2000),"Excellent",IF(AND(Table5[[#This Row],[Profit_Margin%]]&gt;=10%,Table5[[#This Row],[Profit_Margin%]]&lt;=20%),"Good","Needs Improvement"))</f>
        <v>Excellent</v>
      </c>
    </row>
    <row r="482" spans="1:4" x14ac:dyDescent="0.25">
      <c r="A482" s="64">
        <v>675.3</v>
      </c>
      <c r="B482" s="2">
        <v>109.04</v>
      </c>
      <c r="C482" s="65">
        <f>Table5[[#This Row],[Profit]]/Table5[[#This Row],[Total_Sales]]</f>
        <v>0.16146897675107361</v>
      </c>
      <c r="D482" s="22" t="str">
        <f>IF(AND(Table5[[#This Row],[Profit_Margin%]]&gt;20%,Table5[[#This Row],[Total_Sales]]&gt;2000),"Excellent",IF(AND(Table5[[#This Row],[Profit_Margin%]]&gt;=10%,Table5[[#This Row],[Profit_Margin%]]&lt;=20%),"Good","Needs Improvement"))</f>
        <v>Good</v>
      </c>
    </row>
    <row r="483" spans="1:4" x14ac:dyDescent="0.25">
      <c r="A483" s="64">
        <v>1359</v>
      </c>
      <c r="B483" s="2">
        <v>538.33000000000004</v>
      </c>
      <c r="C483" s="65">
        <f>Table5[[#This Row],[Profit]]/Table5[[#This Row],[Total_Sales]]</f>
        <v>0.39612214863870499</v>
      </c>
      <c r="D483" s="22" t="str">
        <f>IF(AND(Table5[[#This Row],[Profit_Margin%]]&gt;20%,Table5[[#This Row],[Total_Sales]]&gt;2000),"Excellent",IF(AND(Table5[[#This Row],[Profit_Margin%]]&gt;=10%,Table5[[#This Row],[Profit_Margin%]]&lt;=20%),"Good","Needs Improvement"))</f>
        <v>Needs Improvement</v>
      </c>
    </row>
    <row r="484" spans="1:4" x14ac:dyDescent="0.25">
      <c r="A484" s="64">
        <v>1050.28</v>
      </c>
      <c r="B484" s="2">
        <v>220.45</v>
      </c>
      <c r="C484" s="65">
        <f>Table5[[#This Row],[Profit]]/Table5[[#This Row],[Total_Sales]]</f>
        <v>0.20989640857676048</v>
      </c>
      <c r="D484" s="22" t="str">
        <f>IF(AND(Table5[[#This Row],[Profit_Margin%]]&gt;20%,Table5[[#This Row],[Total_Sales]]&gt;2000),"Excellent",IF(AND(Table5[[#This Row],[Profit_Margin%]]&gt;=10%,Table5[[#This Row],[Profit_Margin%]]&lt;=20%),"Good","Needs Improvement"))</f>
        <v>Needs Improvement</v>
      </c>
    </row>
    <row r="485" spans="1:4" x14ac:dyDescent="0.25">
      <c r="A485" s="64">
        <v>2685.5</v>
      </c>
      <c r="B485" s="2">
        <v>487.61</v>
      </c>
      <c r="C485" s="65">
        <f>Table5[[#This Row],[Profit]]/Table5[[#This Row],[Total_Sales]]</f>
        <v>0.18157140197356172</v>
      </c>
      <c r="D485" s="22" t="str">
        <f>IF(AND(Table5[[#This Row],[Profit_Margin%]]&gt;20%,Table5[[#This Row],[Total_Sales]]&gt;2000),"Excellent",IF(AND(Table5[[#This Row],[Profit_Margin%]]&gt;=10%,Table5[[#This Row],[Profit_Margin%]]&lt;=20%),"Good","Needs Improvement"))</f>
        <v>Good</v>
      </c>
    </row>
    <row r="486" spans="1:4" x14ac:dyDescent="0.25">
      <c r="A486" s="64">
        <v>446.88</v>
      </c>
      <c r="B486" s="2">
        <v>47.97</v>
      </c>
      <c r="C486" s="65">
        <f>Table5[[#This Row],[Profit]]/Table5[[#This Row],[Total_Sales]]</f>
        <v>0.10734425349087003</v>
      </c>
      <c r="D486" s="22" t="str">
        <f>IF(AND(Table5[[#This Row],[Profit_Margin%]]&gt;20%,Table5[[#This Row],[Total_Sales]]&gt;2000),"Excellent",IF(AND(Table5[[#This Row],[Profit_Margin%]]&gt;=10%,Table5[[#This Row],[Profit_Margin%]]&lt;=20%),"Good","Needs Improvement"))</f>
        <v>Good</v>
      </c>
    </row>
    <row r="487" spans="1:4" x14ac:dyDescent="0.25">
      <c r="A487" s="64">
        <v>491.5</v>
      </c>
      <c r="B487" s="2">
        <v>78.2</v>
      </c>
      <c r="C487" s="65">
        <f>Table5[[#This Row],[Profit]]/Table5[[#This Row],[Total_Sales]]</f>
        <v>0.15910478128179045</v>
      </c>
      <c r="D487" s="22" t="str">
        <f>IF(AND(Table5[[#This Row],[Profit_Margin%]]&gt;20%,Table5[[#This Row],[Total_Sales]]&gt;2000),"Excellent",IF(AND(Table5[[#This Row],[Profit_Margin%]]&gt;=10%,Table5[[#This Row],[Profit_Margin%]]&lt;=20%),"Good","Needs Improvement"))</f>
        <v>Good</v>
      </c>
    </row>
    <row r="488" spans="1:4" x14ac:dyDescent="0.25">
      <c r="A488" s="64">
        <v>2140.3200000000002</v>
      </c>
      <c r="B488" s="2">
        <v>332.47</v>
      </c>
      <c r="C488" s="65">
        <f>Table5[[#This Row],[Profit]]/Table5[[#This Row],[Total_Sales]]</f>
        <v>0.15533658518352397</v>
      </c>
      <c r="D488" s="22" t="str">
        <f>IF(AND(Table5[[#This Row],[Profit_Margin%]]&gt;20%,Table5[[#This Row],[Total_Sales]]&gt;2000),"Excellent",IF(AND(Table5[[#This Row],[Profit_Margin%]]&gt;=10%,Table5[[#This Row],[Profit_Margin%]]&lt;=20%),"Good","Needs Improvement"))</f>
        <v>Good</v>
      </c>
    </row>
    <row r="489" spans="1:4" x14ac:dyDescent="0.25">
      <c r="A489" s="64">
        <v>1460.94</v>
      </c>
      <c r="B489" s="2">
        <v>403.69</v>
      </c>
      <c r="C489" s="65">
        <f>Table5[[#This Row],[Profit]]/Table5[[#This Row],[Total_Sales]]</f>
        <v>0.27632209399427765</v>
      </c>
      <c r="D489" s="22" t="str">
        <f>IF(AND(Table5[[#This Row],[Profit_Margin%]]&gt;20%,Table5[[#This Row],[Total_Sales]]&gt;2000),"Excellent",IF(AND(Table5[[#This Row],[Profit_Margin%]]&gt;=10%,Table5[[#This Row],[Profit_Margin%]]&lt;=20%),"Good","Needs Improvement"))</f>
        <v>Needs Improvement</v>
      </c>
    </row>
    <row r="490" spans="1:4" x14ac:dyDescent="0.25">
      <c r="A490" s="64">
        <v>141.4</v>
      </c>
      <c r="B490" s="2">
        <v>47.8</v>
      </c>
      <c r="C490" s="65">
        <f>Table5[[#This Row],[Profit]]/Table5[[#This Row],[Total_Sales]]</f>
        <v>0.33804809052333801</v>
      </c>
      <c r="D490" s="22" t="str">
        <f>IF(AND(Table5[[#This Row],[Profit_Margin%]]&gt;20%,Table5[[#This Row],[Total_Sales]]&gt;2000),"Excellent",IF(AND(Table5[[#This Row],[Profit_Margin%]]&gt;=10%,Table5[[#This Row],[Profit_Margin%]]&lt;=20%),"Good","Needs Improvement"))</f>
        <v>Needs Improvement</v>
      </c>
    </row>
    <row r="491" spans="1:4" x14ac:dyDescent="0.25">
      <c r="A491" s="64">
        <v>335.34</v>
      </c>
      <c r="B491" s="2">
        <v>79.66</v>
      </c>
      <c r="C491" s="65">
        <f>Table5[[#This Row],[Profit]]/Table5[[#This Row],[Total_Sales]]</f>
        <v>0.23754994930518281</v>
      </c>
      <c r="D491" s="22" t="str">
        <f>IF(AND(Table5[[#This Row],[Profit_Margin%]]&gt;20%,Table5[[#This Row],[Total_Sales]]&gt;2000),"Excellent",IF(AND(Table5[[#This Row],[Profit_Margin%]]&gt;=10%,Table5[[#This Row],[Profit_Margin%]]&lt;=20%),"Good","Needs Improvement"))</f>
        <v>Needs Improvement</v>
      </c>
    </row>
    <row r="492" spans="1:4" x14ac:dyDescent="0.25">
      <c r="A492" s="64">
        <v>324.95999999999998</v>
      </c>
      <c r="B492" s="2">
        <v>39.369999999999997</v>
      </c>
      <c r="C492" s="65">
        <f>Table5[[#This Row],[Profit]]/Table5[[#This Row],[Total_Sales]]</f>
        <v>0.12115337272279665</v>
      </c>
      <c r="D492" s="22" t="str">
        <f>IF(AND(Table5[[#This Row],[Profit_Margin%]]&gt;20%,Table5[[#This Row],[Total_Sales]]&gt;2000),"Excellent",IF(AND(Table5[[#This Row],[Profit_Margin%]]&gt;=10%,Table5[[#This Row],[Profit_Margin%]]&lt;=20%),"Good","Needs Improvement"))</f>
        <v>Good</v>
      </c>
    </row>
    <row r="493" spans="1:4" x14ac:dyDescent="0.25">
      <c r="A493" s="64">
        <v>1610.5</v>
      </c>
      <c r="B493" s="2">
        <v>327.82</v>
      </c>
      <c r="C493" s="65">
        <f>Table5[[#This Row],[Profit]]/Table5[[#This Row],[Total_Sales]]</f>
        <v>0.20355169202111145</v>
      </c>
      <c r="D493" s="22" t="str">
        <f>IF(AND(Table5[[#This Row],[Profit_Margin%]]&gt;20%,Table5[[#This Row],[Total_Sales]]&gt;2000),"Excellent",IF(AND(Table5[[#This Row],[Profit_Margin%]]&gt;=10%,Table5[[#This Row],[Profit_Margin%]]&lt;=20%),"Good","Needs Improvement"))</f>
        <v>Needs Improvement</v>
      </c>
    </row>
    <row r="494" spans="1:4" x14ac:dyDescent="0.25">
      <c r="A494" s="64">
        <v>1008.91</v>
      </c>
      <c r="B494" s="2">
        <v>306.13</v>
      </c>
      <c r="C494" s="65">
        <f>Table5[[#This Row],[Profit]]/Table5[[#This Row],[Total_Sales]]</f>
        <v>0.30342647015095497</v>
      </c>
      <c r="D494" s="22" t="str">
        <f>IF(AND(Table5[[#This Row],[Profit_Margin%]]&gt;20%,Table5[[#This Row],[Total_Sales]]&gt;2000),"Excellent",IF(AND(Table5[[#This Row],[Profit_Margin%]]&gt;=10%,Table5[[#This Row],[Profit_Margin%]]&lt;=20%),"Good","Needs Improvement"))</f>
        <v>Needs Improvement</v>
      </c>
    </row>
    <row r="495" spans="1:4" x14ac:dyDescent="0.25">
      <c r="A495" s="64">
        <v>629.86</v>
      </c>
      <c r="B495" s="2">
        <v>160.78</v>
      </c>
      <c r="C495" s="65">
        <f>Table5[[#This Row],[Profit]]/Table5[[#This Row],[Total_Sales]]</f>
        <v>0.25526307433397899</v>
      </c>
      <c r="D495" s="22" t="str">
        <f>IF(AND(Table5[[#This Row],[Profit_Margin%]]&gt;20%,Table5[[#This Row],[Total_Sales]]&gt;2000),"Excellent",IF(AND(Table5[[#This Row],[Profit_Margin%]]&gt;=10%,Table5[[#This Row],[Profit_Margin%]]&lt;=20%),"Good","Needs Improvement"))</f>
        <v>Needs Improvement</v>
      </c>
    </row>
    <row r="496" spans="1:4" x14ac:dyDescent="0.25">
      <c r="A496" s="64">
        <v>617.32000000000005</v>
      </c>
      <c r="B496" s="2">
        <v>139.06</v>
      </c>
      <c r="C496" s="65">
        <f>Table5[[#This Row],[Profit]]/Table5[[#This Row],[Total_Sales]]</f>
        <v>0.22526404457979651</v>
      </c>
      <c r="D496" s="22" t="str">
        <f>IF(AND(Table5[[#This Row],[Profit_Margin%]]&gt;20%,Table5[[#This Row],[Total_Sales]]&gt;2000),"Excellent",IF(AND(Table5[[#This Row],[Profit_Margin%]]&gt;=10%,Table5[[#This Row],[Profit_Margin%]]&lt;=20%),"Good","Needs Improvement"))</f>
        <v>Needs Improvement</v>
      </c>
    </row>
    <row r="497" spans="1:4" x14ac:dyDescent="0.25">
      <c r="A497" s="64">
        <v>61.76</v>
      </c>
      <c r="B497" s="2">
        <v>7.34</v>
      </c>
      <c r="C497" s="65">
        <f>Table5[[#This Row],[Profit]]/Table5[[#This Row],[Total_Sales]]</f>
        <v>0.11884715025906736</v>
      </c>
      <c r="D497" s="22" t="str">
        <f>IF(AND(Table5[[#This Row],[Profit_Margin%]]&gt;20%,Table5[[#This Row],[Total_Sales]]&gt;2000),"Excellent",IF(AND(Table5[[#This Row],[Profit_Margin%]]&gt;=10%,Table5[[#This Row],[Profit_Margin%]]&lt;=20%),"Good","Needs Improvement"))</f>
        <v>Good</v>
      </c>
    </row>
    <row r="498" spans="1:4" x14ac:dyDescent="0.25">
      <c r="A498" s="64">
        <v>2169.1999999999998</v>
      </c>
      <c r="B498" s="2">
        <v>739.55</v>
      </c>
      <c r="C498" s="65">
        <f>Table5[[#This Row],[Profit]]/Table5[[#This Row],[Total_Sales]]</f>
        <v>0.34093214088143092</v>
      </c>
      <c r="D498" s="22" t="str">
        <f>IF(AND(Table5[[#This Row],[Profit_Margin%]]&gt;20%,Table5[[#This Row],[Total_Sales]]&gt;2000),"Excellent",IF(AND(Table5[[#This Row],[Profit_Margin%]]&gt;=10%,Table5[[#This Row],[Profit_Margin%]]&lt;=20%),"Good","Needs Improvement"))</f>
        <v>Excellent</v>
      </c>
    </row>
    <row r="499" spans="1:4" x14ac:dyDescent="0.25">
      <c r="A499" s="64">
        <v>2230.5</v>
      </c>
      <c r="B499" s="2">
        <v>739.18</v>
      </c>
      <c r="C499" s="65">
        <f>Table5[[#This Row],[Profit]]/Table5[[#This Row],[Total_Sales]]</f>
        <v>0.33139654785922434</v>
      </c>
      <c r="D499" s="22" t="str">
        <f>IF(AND(Table5[[#This Row],[Profit_Margin%]]&gt;20%,Table5[[#This Row],[Total_Sales]]&gt;2000),"Excellent",IF(AND(Table5[[#This Row],[Profit_Margin%]]&gt;=10%,Table5[[#This Row],[Profit_Margin%]]&lt;=20%),"Good","Needs Improvement"))</f>
        <v>Excellent</v>
      </c>
    </row>
    <row r="500" spans="1:4" x14ac:dyDescent="0.25">
      <c r="A500" s="64">
        <v>260.54000000000002</v>
      </c>
      <c r="B500" s="2">
        <v>76.650000000000006</v>
      </c>
      <c r="C500" s="65">
        <f>Table5[[#This Row],[Profit]]/Table5[[#This Row],[Total_Sales]]</f>
        <v>0.29419666845781839</v>
      </c>
      <c r="D500" s="22" t="str">
        <f>IF(AND(Table5[[#This Row],[Profit_Margin%]]&gt;20%,Table5[[#This Row],[Total_Sales]]&gt;2000),"Excellent",IF(AND(Table5[[#This Row],[Profit_Margin%]]&gt;=10%,Table5[[#This Row],[Profit_Margin%]]&lt;=20%),"Good","Needs Improvement"))</f>
        <v>Needs Improvement</v>
      </c>
    </row>
    <row r="501" spans="1:4" x14ac:dyDescent="0.25">
      <c r="A501" s="64">
        <v>172.27</v>
      </c>
      <c r="B501" s="2">
        <v>54.13</v>
      </c>
      <c r="C501" s="65">
        <f>Table5[[#This Row],[Profit]]/Table5[[#This Row],[Total_Sales]]</f>
        <v>0.31421605619086318</v>
      </c>
      <c r="D501" s="22" t="str">
        <f>IF(AND(Table5[[#This Row],[Profit_Margin%]]&gt;20%,Table5[[#This Row],[Total_Sales]]&gt;2000),"Excellent",IF(AND(Table5[[#This Row],[Profit_Margin%]]&gt;=10%,Table5[[#This Row],[Profit_Margin%]]&lt;=20%),"Good","Needs Improvement"))</f>
        <v>Needs Improvement</v>
      </c>
    </row>
  </sheetData>
  <conditionalFormatting sqref="B1:B1048576">
    <cfRule type="expression" dxfId="49" priority="1">
      <formula>$L$2&lt;0</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1"/>
  <sheetViews>
    <sheetView zoomScale="80" zoomScaleNormal="80" workbookViewId="0">
      <selection activeCell="A13" sqref="A13"/>
    </sheetView>
  </sheetViews>
  <sheetFormatPr defaultRowHeight="15" x14ac:dyDescent="0.25"/>
  <cols>
    <col min="1" max="1" width="14.85546875" bestFit="1" customWidth="1"/>
    <col min="2" max="2" width="13.7109375" bestFit="1" customWidth="1"/>
    <col min="3" max="3" width="18.28515625" bestFit="1" customWidth="1"/>
    <col min="4" max="4" width="18.42578125" bestFit="1" customWidth="1"/>
  </cols>
  <sheetData>
    <row r="1" spans="1:4" s="69" customFormat="1" ht="15.75" x14ac:dyDescent="0.25">
      <c r="A1" s="119" t="s">
        <v>655</v>
      </c>
      <c r="B1" s="120" t="s">
        <v>656</v>
      </c>
      <c r="C1" s="120" t="s">
        <v>657</v>
      </c>
      <c r="D1" s="121" t="s">
        <v>706</v>
      </c>
    </row>
    <row r="2" spans="1:4" x14ac:dyDescent="0.25">
      <c r="A2" s="70" t="s">
        <v>659</v>
      </c>
      <c r="B2" s="24" t="str">
        <f>INDEX(Products!$A$2:$F$11,MATCH('Cross Workbook Lookups'!$A2,Products!$A$2:$A$11,0),MATCH('Cross Workbook Lookups'!$B$1,Products!$A$1:$F$1,0))</f>
        <v>AudioTech Ltd.</v>
      </c>
      <c r="C2" s="24" t="str">
        <f>INDEX(Products!$A$2:$F$11,MATCH('Cross Workbook Lookups'!$A2,Products!$A$2:$A$11,0),MATCH('Cross Workbook Lookups'!$C$1,Products!$A$1:$F$1,0))</f>
        <v>China</v>
      </c>
      <c r="D2" s="71" t="str">
        <f>IFERROR(VLOOKUP($A2,Regions!$B$2:$D$7,1,0),"Not Found")</f>
        <v>Not Found</v>
      </c>
    </row>
    <row r="3" spans="1:4" x14ac:dyDescent="0.25">
      <c r="A3" s="70" t="s">
        <v>661</v>
      </c>
      <c r="B3" s="24" t="str">
        <f>INDEX(Products!$A$2:$F$11,MATCH('Cross Workbook Lookups'!$A3,Products!$A$2:$A$11,0),MATCH('Cross Workbook Lookups'!$B$1,Products!$A$1:$F$1,0))</f>
        <v>Artisans Co.</v>
      </c>
      <c r="C3" s="24" t="str">
        <f>INDEX(Products!$A$2:$F$11,MATCH('Cross Workbook Lookups'!$A3,Products!$A$2:$A$11,0),MATCH('Cross Workbook Lookups'!$C$1,Products!$A$1:$F$1,0))</f>
        <v>India</v>
      </c>
      <c r="D3" s="71" t="str">
        <f>IFERROR(VLOOKUP($A3,Regions!$B$2:$D$7,1,0),"Not Found")</f>
        <v>Not Found</v>
      </c>
    </row>
    <row r="4" spans="1:4" x14ac:dyDescent="0.25">
      <c r="A4" s="70" t="s">
        <v>663</v>
      </c>
      <c r="B4" s="24" t="str">
        <f>INDEX(Products!$A$2:$F$11,MATCH('Cross Workbook Lookups'!$A4,Products!$A$2:$A$11,0),MATCH('Cross Workbook Lookups'!$B$1,Products!$A$1:$F$1,0))</f>
        <v>CraftLine</v>
      </c>
      <c r="C4" s="24" t="str">
        <f>INDEX(Products!$A$2:$F$11,MATCH('Cross Workbook Lookups'!$A4,Products!$A$2:$A$11,0),MATCH('Cross Workbook Lookups'!$C$1,Products!$A$1:$F$1,0))</f>
        <v>Italy</v>
      </c>
      <c r="D4" s="71" t="str">
        <f>IFERROR(VLOOKUP($A4,Regions!$B$2:$D$7,1,0),"Not Found")</f>
        <v>Not Found</v>
      </c>
    </row>
    <row r="5" spans="1:4" x14ac:dyDescent="0.25">
      <c r="A5" s="70" t="s">
        <v>665</v>
      </c>
      <c r="B5" s="24" t="str">
        <f>INDEX(Products!$A$2:$F$11,MATCH('Cross Workbook Lookups'!$A5,Products!$A$2:$A$11,0),MATCH('Cross Workbook Lookups'!$B$1,Products!$A$1:$F$1,0))</f>
        <v>BrightHome</v>
      </c>
      <c r="C5" s="24" t="str">
        <f>INDEX(Products!$A$2:$F$11,MATCH('Cross Workbook Lookups'!$A5,Products!$A$2:$A$11,0),MATCH('Cross Workbook Lookups'!$C$1,Products!$A$1:$F$1,0))</f>
        <v>Vietnam</v>
      </c>
      <c r="D5" s="71" t="str">
        <f>IFERROR(VLOOKUP($A5,Regions!$B$2:$D$7,1,0),"Not Found")</f>
        <v>Not Found</v>
      </c>
    </row>
    <row r="6" spans="1:4" x14ac:dyDescent="0.25">
      <c r="A6" s="70" t="s">
        <v>668</v>
      </c>
      <c r="B6" s="24" t="str">
        <f>INDEX(Products!$A$2:$F$11,MATCH('Cross Workbook Lookups'!$A6,Products!$A$2:$A$11,0),MATCH('Cross Workbook Lookups'!$B$1,Products!$A$1:$F$1,0))</f>
        <v>SoftWeave</v>
      </c>
      <c r="C6" s="24" t="str">
        <f>INDEX(Products!$A$2:$F$11,MATCH('Cross Workbook Lookups'!$A6,Products!$A$2:$A$11,0),MATCH('Cross Workbook Lookups'!$C$1,Products!$A$1:$F$1,0))</f>
        <v>Turkey</v>
      </c>
      <c r="D6" s="71" t="str">
        <f>IFERROR(VLOOKUP($A6,Regions!$B$2:$D$7,1,0),"Not Found")</f>
        <v>Not Found</v>
      </c>
    </row>
    <row r="7" spans="1:4" x14ac:dyDescent="0.25">
      <c r="A7" s="70" t="s">
        <v>671</v>
      </c>
      <c r="B7" s="24" t="str">
        <f>INDEX(Products!$A$2:$F$11,MATCH('Cross Workbook Lookups'!$A7,Products!$A$2:$A$11,0),MATCH('Cross Workbook Lookups'!$B$1,Products!$A$1:$F$1,0))</f>
        <v>ClickTech</v>
      </c>
      <c r="C7" s="24" t="str">
        <f>INDEX(Products!$A$2:$F$11,MATCH('Cross Workbook Lookups'!$A7,Products!$A$2:$A$11,0),MATCH('Cross Workbook Lookups'!$C$1,Products!$A$1:$F$1,0))</f>
        <v>China</v>
      </c>
      <c r="D7" s="71" t="str">
        <f>IFERROR(VLOOKUP($A7,Regions!$B$2:$D$7,1,0),"Not Found")</f>
        <v>Not Found</v>
      </c>
    </row>
    <row r="8" spans="1:4" x14ac:dyDescent="0.25">
      <c r="A8" s="70" t="s">
        <v>673</v>
      </c>
      <c r="B8" s="24" t="str">
        <f>INDEX(Products!$A$2:$F$11,MATCH('Cross Workbook Lookups'!$A8,Products!$A$2:$A$11,0),MATCH('Cross Workbook Lookups'!$B$1,Products!$A$1:$F$1,0))</f>
        <v>ClearCraft</v>
      </c>
      <c r="C8" s="24" t="str">
        <f>INDEX(Products!$A$2:$F$11,MATCH('Cross Workbook Lookups'!$A8,Products!$A$2:$A$11,0),MATCH('Cross Workbook Lookups'!$C$1,Products!$A$1:$F$1,0))</f>
        <v>India</v>
      </c>
      <c r="D8" s="71" t="str">
        <f>IFERROR(VLOOKUP($A8,Regions!$B$2:$D$7,1,0),"Not Found")</f>
        <v>Not Found</v>
      </c>
    </row>
    <row r="9" spans="1:4" x14ac:dyDescent="0.25">
      <c r="A9" s="70" t="s">
        <v>675</v>
      </c>
      <c r="B9" s="24" t="str">
        <f>INDEX(Products!$A$2:$F$11,MATCH('Cross Workbook Lookups'!$A9,Products!$A$2:$A$11,0),MATCH('Cross Workbook Lookups'!$B$1,Products!$A$1:$F$1,0))</f>
        <v>CarryPro</v>
      </c>
      <c r="C9" s="24" t="str">
        <f>INDEX(Products!$A$2:$F$11,MATCH('Cross Workbook Lookups'!$A9,Products!$A$2:$A$11,0),MATCH('Cross Workbook Lookups'!$C$1,Products!$A$1:$F$1,0))</f>
        <v>Vietnam</v>
      </c>
      <c r="D9" s="71" t="str">
        <f>IFERROR(VLOOKUP($A9,Regions!$B$2:$D$7,1,0),"Not Found")</f>
        <v>Not Found</v>
      </c>
    </row>
    <row r="10" spans="1:4" x14ac:dyDescent="0.25">
      <c r="A10" s="70" t="s">
        <v>677</v>
      </c>
      <c r="B10" s="24" t="str">
        <f>INDEX(Products!$A$2:$F$11,MATCH('Cross Workbook Lookups'!$A10,Products!$A$2:$A$11,0),MATCH('Cross Workbook Lookups'!$B$1,Products!$A$1:$F$1,0))</f>
        <v>BrightHome</v>
      </c>
      <c r="C10" s="24" t="str">
        <f>INDEX(Products!$A$2:$F$11,MATCH('Cross Workbook Lookups'!$A10,Products!$A$2:$A$11,0),MATCH('Cross Workbook Lookups'!$C$1,Products!$A$1:$F$1,0))</f>
        <v>India</v>
      </c>
      <c r="D10" s="71" t="str">
        <f>IFERROR(VLOOKUP($A10,Regions!$B$2:$D$7,1,0),"Not Found")</f>
        <v>Not Found</v>
      </c>
    </row>
    <row r="11" spans="1:4" x14ac:dyDescent="0.25">
      <c r="A11" s="72" t="s">
        <v>678</v>
      </c>
      <c r="B11" s="73" t="str">
        <f>INDEX(Products!$A$2:$F$11,MATCH('Cross Workbook Lookups'!$A11,Products!$A$2:$A$11,0),MATCH('Cross Workbook Lookups'!$B$1,Products!$A$1:$F$1,0))</f>
        <v>BlueWear</v>
      </c>
      <c r="C11" s="73" t="str">
        <f>INDEX(Products!$A$2:$F$11,MATCH('Cross Workbook Lookups'!$A11,Products!$A$2:$A$11,0),MATCH('Cross Workbook Lookups'!$C$1,Products!$A$1:$F$1,0))</f>
        <v>Bangladesh</v>
      </c>
      <c r="D11" s="74" t="str">
        <f>IFERROR(VLOOKUP($A11,Regions!$B$2:$D$7,1,0),"Not Found")</f>
        <v>Not Found</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5"/>
  <sheetViews>
    <sheetView zoomScale="80" zoomScaleNormal="80" workbookViewId="0">
      <selection activeCell="I25" sqref="I25"/>
    </sheetView>
  </sheetViews>
  <sheetFormatPr defaultRowHeight="15" x14ac:dyDescent="0.25"/>
  <cols>
    <col min="1" max="1" width="12.140625" style="20" bestFit="1" customWidth="1"/>
    <col min="2" max="2" width="13" style="21" customWidth="1"/>
    <col min="3" max="4" width="11" style="21" bestFit="1" customWidth="1"/>
    <col min="5" max="5" width="11.42578125" style="21" bestFit="1" customWidth="1"/>
    <col min="6" max="6" width="11" style="21" bestFit="1" customWidth="1"/>
    <col min="7" max="7" width="16.5703125" style="22" bestFit="1" customWidth="1"/>
    <col min="8" max="8" width="13.7109375" bestFit="1" customWidth="1"/>
    <col min="9" max="9" width="16.140625" bestFit="1" customWidth="1"/>
    <col min="10" max="10" width="17.42578125" customWidth="1"/>
    <col min="11" max="11" width="16.5703125" bestFit="1" customWidth="1"/>
    <col min="12" max="12" width="16" bestFit="1" customWidth="1"/>
  </cols>
  <sheetData>
    <row r="1" spans="1:14" ht="15.75" thickBot="1" x14ac:dyDescent="0.3">
      <c r="A1" s="144" t="s">
        <v>13</v>
      </c>
      <c r="B1" s="143" t="s">
        <v>1067</v>
      </c>
      <c r="C1" s="143"/>
      <c r="D1" s="143"/>
      <c r="E1" s="143"/>
      <c r="F1" s="143"/>
      <c r="G1" s="78"/>
    </row>
    <row r="2" spans="1:14" ht="15.75" x14ac:dyDescent="0.25">
      <c r="A2" s="145"/>
      <c r="B2" s="52" t="s">
        <v>18</v>
      </c>
      <c r="C2" s="52" t="s">
        <v>44</v>
      </c>
      <c r="D2" s="52" t="s">
        <v>37</v>
      </c>
      <c r="E2" s="52" t="s">
        <v>52</v>
      </c>
      <c r="F2" s="52" t="s">
        <v>57</v>
      </c>
      <c r="G2" s="31" t="s">
        <v>728</v>
      </c>
      <c r="I2" s="146" t="s">
        <v>1050</v>
      </c>
      <c r="J2" s="147"/>
      <c r="K2" s="147"/>
      <c r="L2" s="148"/>
    </row>
    <row r="3" spans="1:14" x14ac:dyDescent="0.25">
      <c r="A3" s="79" t="s">
        <v>21</v>
      </c>
      <c r="B3" s="27">
        <f>SUMIFS(Table1[Total_Sales],Table1[Region_Code],'Conditional Aggregation'!$A3,Table1[Category],'Conditional Aggregation'!B$2)</f>
        <v>24079.71</v>
      </c>
      <c r="C3" s="27">
        <f>SUMIFS(Table1[Total_Sales],Table1[Region_Code],'Conditional Aggregation'!$A3,Table1[Category],'Conditional Aggregation'!C$2)</f>
        <v>9625.9699999999993</v>
      </c>
      <c r="D3" s="27">
        <f>SUMIFS(Table1[Total_Sales],Table1[Region_Code],'Conditional Aggregation'!$A3,Table1[Category],'Conditional Aggregation'!D$2)</f>
        <v>22495.010000000002</v>
      </c>
      <c r="E3" s="27">
        <f>SUMIFS(Table1[Total_Sales],Table1[Region_Code],'Conditional Aggregation'!$A3,Table1[Category],'Conditional Aggregation'!E$2)</f>
        <v>26924.320000000003</v>
      </c>
      <c r="F3" s="27">
        <f>SUMIFS(Table1[Total_Sales],Table1[Region_Code],'Conditional Aggregation'!$A3,Table1[Category],'Conditional Aggregation'!F$2)</f>
        <v>3820.0600000000004</v>
      </c>
      <c r="G3" s="80">
        <f>SUM(B3:F3)</f>
        <v>86945.07</v>
      </c>
      <c r="I3" s="30" t="s">
        <v>728</v>
      </c>
      <c r="J3" s="25" t="s">
        <v>729</v>
      </c>
      <c r="K3" s="25" t="s">
        <v>730</v>
      </c>
      <c r="L3" s="31" t="s">
        <v>1051</v>
      </c>
    </row>
    <row r="4" spans="1:14" ht="15.75" thickBot="1" x14ac:dyDescent="0.3">
      <c r="A4" s="79" t="s">
        <v>28</v>
      </c>
      <c r="B4" s="27">
        <f>SUMIFS(Table1[Total_Sales],Table1[Region_Code],'Conditional Aggregation'!$A4,Table1[Category],'Conditional Aggregation'!B$2)</f>
        <v>30642.080000000002</v>
      </c>
      <c r="C4" s="27">
        <f>SUMIFS(Table1[Total_Sales],Table1[Region_Code],'Conditional Aggregation'!$A4,Table1[Category],'Conditional Aggregation'!C$2)</f>
        <v>11433.35</v>
      </c>
      <c r="D4" s="27">
        <f>SUMIFS(Table1[Total_Sales],Table1[Region_Code],'Conditional Aggregation'!$A4,Table1[Category],'Conditional Aggregation'!D$2)</f>
        <v>25086.150000000005</v>
      </c>
      <c r="E4" s="27">
        <f>SUMIFS(Table1[Total_Sales],Table1[Region_Code],'Conditional Aggregation'!$A4,Table1[Category],'Conditional Aggregation'!E$2)</f>
        <v>33685.94</v>
      </c>
      <c r="F4" s="27">
        <f>SUMIFS(Table1[Total_Sales],Table1[Region_Code],'Conditional Aggregation'!$A4,Table1[Category],'Conditional Aggregation'!F$2)</f>
        <v>14367.099999999999</v>
      </c>
      <c r="G4" s="80">
        <f t="shared" ref="G4:G8" si="0">SUM(B4:F4)</f>
        <v>115214.62</v>
      </c>
      <c r="I4" s="32">
        <f>SUM(G3:G8)</f>
        <v>474704.61999999994</v>
      </c>
      <c r="J4" s="33">
        <f>SUM(G12:G17)</f>
        <v>6155.6557394876099</v>
      </c>
      <c r="K4" s="33">
        <f>SUM(G21:G26)</f>
        <v>133570.40000000002</v>
      </c>
      <c r="L4" s="34">
        <f>SUM(G30:G35)</f>
        <v>1768.9185803273544</v>
      </c>
    </row>
    <row r="5" spans="1:14" x14ac:dyDescent="0.25">
      <c r="A5" s="79" t="s">
        <v>58</v>
      </c>
      <c r="B5" s="27">
        <f>SUMIFS(Table1[Total_Sales],Table1[Region_Code],'Conditional Aggregation'!$A5,Table1[Category],'Conditional Aggregation'!B$2)</f>
        <v>33225.639999999992</v>
      </c>
      <c r="C5" s="27">
        <f>SUMIFS(Table1[Total_Sales],Table1[Region_Code],'Conditional Aggregation'!$A5,Table1[Category],'Conditional Aggregation'!C$2)</f>
        <v>30263.43</v>
      </c>
      <c r="D5" s="27">
        <f>SUMIFS(Table1[Total_Sales],Table1[Region_Code],'Conditional Aggregation'!$A5,Table1[Category],'Conditional Aggregation'!D$2)</f>
        <v>34174.130000000005</v>
      </c>
      <c r="E5" s="27">
        <f>SUMIFS(Table1[Total_Sales],Table1[Region_Code],'Conditional Aggregation'!$A5,Table1[Category],'Conditional Aggregation'!E$2)</f>
        <v>51860.89</v>
      </c>
      <c r="F5" s="27">
        <f>SUMIFS(Table1[Total_Sales],Table1[Region_Code],'Conditional Aggregation'!$A5,Table1[Category],'Conditional Aggregation'!F$2)</f>
        <v>21644.309999999998</v>
      </c>
      <c r="G5" s="80">
        <f t="shared" si="0"/>
        <v>171168.4</v>
      </c>
    </row>
    <row r="6" spans="1:14" x14ac:dyDescent="0.25">
      <c r="A6" s="79" t="s">
        <v>87</v>
      </c>
      <c r="B6" s="27">
        <f>SUMIFS(Table1[Total_Sales],Table1[Region_Code],'Conditional Aggregation'!$A6,Table1[Category],'Conditional Aggregation'!B$2)</f>
        <v>6956.41</v>
      </c>
      <c r="C6" s="27">
        <f>SUMIFS(Table1[Total_Sales],Table1[Region_Code],'Conditional Aggregation'!$A6,Table1[Category],'Conditional Aggregation'!C$2)</f>
        <v>6721.25</v>
      </c>
      <c r="D6" s="27">
        <f>SUMIFS(Table1[Total_Sales],Table1[Region_Code],'Conditional Aggregation'!$A6,Table1[Category],'Conditional Aggregation'!D$2)</f>
        <v>7452.9400000000005</v>
      </c>
      <c r="E6" s="27">
        <f>SUMIFS(Table1[Total_Sales],Table1[Region_Code],'Conditional Aggregation'!$A6,Table1[Category],'Conditional Aggregation'!E$2)</f>
        <v>8364.44</v>
      </c>
      <c r="F6" s="27">
        <f>SUMIFS(Table1[Total_Sales],Table1[Region_Code],'Conditional Aggregation'!$A6,Table1[Category],'Conditional Aggregation'!F$2)</f>
        <v>0</v>
      </c>
      <c r="G6" s="80">
        <f t="shared" si="0"/>
        <v>29495.040000000001</v>
      </c>
    </row>
    <row r="7" spans="1:14" x14ac:dyDescent="0.25">
      <c r="A7" s="79" t="s">
        <v>39</v>
      </c>
      <c r="B7" s="27">
        <f>SUMIFS(Table1[Total_Sales],Table1[Region_Code],'Conditional Aggregation'!$A7,Table1[Category],'Conditional Aggregation'!B$2)</f>
        <v>8480.99</v>
      </c>
      <c r="C7" s="27">
        <f>SUMIFS(Table1[Total_Sales],Table1[Region_Code],'Conditional Aggregation'!$A7,Table1[Category],'Conditional Aggregation'!C$2)</f>
        <v>2134.23</v>
      </c>
      <c r="D7" s="27">
        <f>SUMIFS(Table1[Total_Sales],Table1[Region_Code],'Conditional Aggregation'!$A7,Table1[Category],'Conditional Aggregation'!D$2)</f>
        <v>16927.670000000002</v>
      </c>
      <c r="E7" s="27">
        <f>SUMIFS(Table1[Total_Sales],Table1[Region_Code],'Conditional Aggregation'!$A7,Table1[Category],'Conditional Aggregation'!E$2)</f>
        <v>2088.92</v>
      </c>
      <c r="F7" s="27">
        <f>SUMIFS(Table1[Total_Sales],Table1[Region_Code],'Conditional Aggregation'!$A7,Table1[Category],'Conditional Aggregation'!F$2)</f>
        <v>5232.22</v>
      </c>
      <c r="G7" s="80">
        <f t="shared" si="0"/>
        <v>34864.03</v>
      </c>
      <c r="I7" s="16"/>
      <c r="J7" s="16"/>
      <c r="K7" s="16"/>
      <c r="L7" s="16"/>
      <c r="M7" s="16"/>
      <c r="N7" s="16"/>
    </row>
    <row r="8" spans="1:14" ht="15.75" thickBot="1" x14ac:dyDescent="0.3">
      <c r="A8" s="81" t="s">
        <v>130</v>
      </c>
      <c r="B8" s="33">
        <f>SUMIFS(Table1[Total_Sales],Table1[Region_Code],'Conditional Aggregation'!$A8,Table1[Category],'Conditional Aggregation'!B$2)</f>
        <v>6810.06</v>
      </c>
      <c r="C8" s="33">
        <f>SUMIFS(Table1[Total_Sales],Table1[Region_Code],'Conditional Aggregation'!$A8,Table1[Category],'Conditional Aggregation'!C$2)</f>
        <v>12174.14</v>
      </c>
      <c r="D8" s="33">
        <f>SUMIFS(Table1[Total_Sales],Table1[Region_Code],'Conditional Aggregation'!$A8,Table1[Category],'Conditional Aggregation'!D$2)</f>
        <v>8892.01</v>
      </c>
      <c r="E8" s="33">
        <f>SUMIFS(Table1[Total_Sales],Table1[Region_Code],'Conditional Aggregation'!$A8,Table1[Category],'Conditional Aggregation'!E$2)</f>
        <v>6972.93</v>
      </c>
      <c r="F8" s="33">
        <f>SUMIFS(Table1[Total_Sales],Table1[Region_Code],'Conditional Aggregation'!$A8,Table1[Category],'Conditional Aggregation'!F$2)</f>
        <v>2168.3200000000002</v>
      </c>
      <c r="G8" s="82">
        <f t="shared" si="0"/>
        <v>37017.46</v>
      </c>
      <c r="I8" s="38"/>
      <c r="J8" s="38"/>
      <c r="K8" s="38"/>
      <c r="L8" s="38"/>
      <c r="M8" s="38"/>
      <c r="N8" s="16"/>
    </row>
    <row r="9" spans="1:14" ht="15.75" thickBot="1" x14ac:dyDescent="0.3">
      <c r="A9" s="76"/>
      <c r="B9" s="77"/>
      <c r="C9" s="77"/>
      <c r="D9" s="77"/>
      <c r="E9" s="77"/>
      <c r="F9" s="77"/>
      <c r="G9" s="75"/>
      <c r="I9" s="16"/>
      <c r="J9" s="37"/>
      <c r="K9" s="37"/>
      <c r="L9" s="37"/>
      <c r="M9" s="37"/>
      <c r="N9" s="16"/>
    </row>
    <row r="10" spans="1:14" x14ac:dyDescent="0.25">
      <c r="A10" s="144" t="s">
        <v>13</v>
      </c>
      <c r="B10" s="143" t="s">
        <v>1068</v>
      </c>
      <c r="C10" s="143"/>
      <c r="D10" s="143"/>
      <c r="E10" s="143"/>
      <c r="F10" s="143"/>
      <c r="G10" s="78"/>
      <c r="I10" s="16"/>
      <c r="J10" s="37"/>
      <c r="K10" s="37"/>
      <c r="L10" s="37"/>
      <c r="M10" s="37"/>
      <c r="N10" s="16"/>
    </row>
    <row r="11" spans="1:14" x14ac:dyDescent="0.25">
      <c r="A11" s="145"/>
      <c r="B11" s="52" t="s">
        <v>18</v>
      </c>
      <c r="C11" s="52" t="s">
        <v>44</v>
      </c>
      <c r="D11" s="52" t="s">
        <v>37</v>
      </c>
      <c r="E11" s="52" t="s">
        <v>52</v>
      </c>
      <c r="F11" s="52" t="s">
        <v>57</v>
      </c>
      <c r="G11" s="31" t="s">
        <v>729</v>
      </c>
      <c r="I11" s="16"/>
      <c r="J11" s="16"/>
      <c r="K11" s="16"/>
      <c r="L11" s="16"/>
      <c r="M11" s="16"/>
      <c r="N11" s="16"/>
    </row>
    <row r="12" spans="1:14" x14ac:dyDescent="0.25">
      <c r="A12" s="79" t="s">
        <v>21</v>
      </c>
      <c r="B12" s="27">
        <f>IFERROR(AVERAGEIFS(Table1[Total_Sales],Table1[Region_Code],'Conditional Aggregation'!$A12,Table1[Category],'Conditional Aggregation'!B$2),0)</f>
        <v>1203.9855</v>
      </c>
      <c r="C12" s="27">
        <f>IFERROR(AVERAGEIFS(Table1[Total_Sales],Table1[Region_Code],'Conditional Aggregation'!$A12,Table1[Category],'Conditional Aggregation'!C$2),0)</f>
        <v>1925.194</v>
      </c>
      <c r="D12" s="27">
        <f>IFERROR(AVERAGEIFS(Table1[Total_Sales],Table1[Region_Code],'Conditional Aggregation'!$A12,Table1[Category],'Conditional Aggregation'!D$2),0)</f>
        <v>775.69</v>
      </c>
      <c r="E12" s="27">
        <f>IFERROR(AVERAGEIFS(Table1[Total_Sales],Table1[Region_Code],'Conditional Aggregation'!$A12,Table1[Category],'Conditional Aggregation'!E$2),0)</f>
        <v>997.19703703703715</v>
      </c>
      <c r="F12" s="27">
        <f>IFERROR(AVERAGEIFS(Table1[Total_Sales],Table1[Region_Code],'Conditional Aggregation'!$A12,Table1[Category],'Conditional Aggregation'!F$2),0)</f>
        <v>636.67666666666673</v>
      </c>
      <c r="G12" s="80">
        <f>AVERAGE(B12:F12)</f>
        <v>1107.7486407407407</v>
      </c>
    </row>
    <row r="13" spans="1:14" x14ac:dyDescent="0.25">
      <c r="A13" s="79" t="s">
        <v>28</v>
      </c>
      <c r="B13" s="27">
        <f>IFERROR(AVERAGEIFS(Table1[Total_Sales],Table1[Region_Code],'Conditional Aggregation'!$A13,Table1[Category],'Conditional Aggregation'!B$2),0)</f>
        <v>1056.6234482758621</v>
      </c>
      <c r="C13" s="27">
        <f>IFERROR(AVERAGEIFS(Table1[Total_Sales],Table1[Region_Code],'Conditional Aggregation'!$A13,Table1[Category],'Conditional Aggregation'!C$2),0)</f>
        <v>1270.3722222222223</v>
      </c>
      <c r="D13" s="27">
        <f>IFERROR(AVERAGEIFS(Table1[Total_Sales],Table1[Region_Code],'Conditional Aggregation'!$A13,Table1[Category],'Conditional Aggregation'!D$2),0)</f>
        <v>696.83750000000009</v>
      </c>
      <c r="E13" s="27">
        <f>IFERROR(AVERAGEIFS(Table1[Total_Sales],Table1[Region_Code],'Conditional Aggregation'!$A13,Table1[Category],'Conditional Aggregation'!E$2),0)</f>
        <v>765.58954545454549</v>
      </c>
      <c r="F13" s="27">
        <f>IFERROR(AVERAGEIFS(Table1[Total_Sales],Table1[Region_Code],'Conditional Aggregation'!$A13,Table1[Category],'Conditional Aggregation'!F$2),0)</f>
        <v>897.94374999999991</v>
      </c>
      <c r="G13" s="80">
        <f t="shared" ref="G13:G17" si="1">AVERAGE(B13:F13)</f>
        <v>937.47329319052585</v>
      </c>
    </row>
    <row r="14" spans="1:14" x14ac:dyDescent="0.25">
      <c r="A14" s="79" t="s">
        <v>58</v>
      </c>
      <c r="B14" s="27">
        <f>IFERROR(AVERAGEIFS(Table1[Total_Sales],Table1[Region_Code],'Conditional Aggregation'!$A14,Table1[Category],'Conditional Aggregation'!B$2),0)</f>
        <v>977.22470588235274</v>
      </c>
      <c r="C14" s="27">
        <f>IFERROR(AVERAGEIFS(Table1[Total_Sales],Table1[Region_Code],'Conditional Aggregation'!$A14,Table1[Category],'Conditional Aggregation'!C$2),0)</f>
        <v>1375.6104545454546</v>
      </c>
      <c r="D14" s="27">
        <f>IFERROR(AVERAGEIFS(Table1[Total_Sales],Table1[Region_Code],'Conditional Aggregation'!$A14,Table1[Category],'Conditional Aggregation'!D$2),0)</f>
        <v>876.25974358974372</v>
      </c>
      <c r="E14" s="27">
        <f>IFERROR(AVERAGEIFS(Table1[Total_Sales],Table1[Region_Code],'Conditional Aggregation'!$A14,Table1[Category],'Conditional Aggregation'!E$2),0)</f>
        <v>894.15327586206899</v>
      </c>
      <c r="F14" s="27">
        <f>IFERROR(AVERAGEIFS(Table1[Total_Sales],Table1[Region_Code],'Conditional Aggregation'!$A14,Table1[Category],'Conditional Aggregation'!F$2),0)</f>
        <v>832.47346153846149</v>
      </c>
      <c r="G14" s="80">
        <f t="shared" si="1"/>
        <v>991.14432828361623</v>
      </c>
    </row>
    <row r="15" spans="1:14" x14ac:dyDescent="0.25">
      <c r="A15" s="79" t="s">
        <v>87</v>
      </c>
      <c r="B15" s="27">
        <f>IFERROR(AVERAGEIFS(Table1[Total_Sales],Table1[Region_Code],'Conditional Aggregation'!$A15,Table1[Category],'Conditional Aggregation'!B$2),0)</f>
        <v>869.55124999999998</v>
      </c>
      <c r="C15" s="27">
        <f>IFERROR(AVERAGEIFS(Table1[Total_Sales],Table1[Region_Code],'Conditional Aggregation'!$A15,Table1[Category],'Conditional Aggregation'!C$2),0)</f>
        <v>1680.3125</v>
      </c>
      <c r="D15" s="27">
        <f>IFERROR(AVERAGEIFS(Table1[Total_Sales],Table1[Region_Code],'Conditional Aggregation'!$A15,Table1[Category],'Conditional Aggregation'!D$2),0)</f>
        <v>745.2940000000001</v>
      </c>
      <c r="E15" s="27">
        <f>IFERROR(AVERAGEIFS(Table1[Total_Sales],Table1[Region_Code],'Conditional Aggregation'!$A15,Table1[Category],'Conditional Aggregation'!E$2),0)</f>
        <v>760.40363636363645</v>
      </c>
      <c r="F15" s="27">
        <f>IFERROR(AVERAGEIFS(Table1[Total_Sales],Table1[Region_Code],'Conditional Aggregation'!$A15,Table1[Category],'Conditional Aggregation'!F$2),0)</f>
        <v>0</v>
      </c>
      <c r="G15" s="80">
        <f t="shared" si="1"/>
        <v>811.1122772727274</v>
      </c>
    </row>
    <row r="16" spans="1:14" x14ac:dyDescent="0.25">
      <c r="A16" s="79" t="s">
        <v>39</v>
      </c>
      <c r="B16" s="27">
        <f>IFERROR(AVERAGEIFS(Table1[Total_Sales],Table1[Region_Code],'Conditional Aggregation'!$A16,Table1[Category],'Conditional Aggregation'!B$2),0)</f>
        <v>1696.1979999999999</v>
      </c>
      <c r="C16" s="27">
        <f>IFERROR(AVERAGEIFS(Table1[Total_Sales],Table1[Region_Code],'Conditional Aggregation'!$A16,Table1[Category],'Conditional Aggregation'!C$2),0)</f>
        <v>1067.115</v>
      </c>
      <c r="D16" s="27">
        <f>IFERROR(AVERAGEIFS(Table1[Total_Sales],Table1[Region_Code],'Conditional Aggregation'!$A16,Table1[Category],'Conditional Aggregation'!D$2),0)</f>
        <v>890.93000000000006</v>
      </c>
      <c r="E16" s="27">
        <f>IFERROR(AVERAGEIFS(Table1[Total_Sales],Table1[Region_Code],'Conditional Aggregation'!$A16,Table1[Category],'Conditional Aggregation'!E$2),0)</f>
        <v>522.23</v>
      </c>
      <c r="F16" s="27">
        <f>IFERROR(AVERAGEIFS(Table1[Total_Sales],Table1[Region_Code],'Conditional Aggregation'!$A16,Table1[Category],'Conditional Aggregation'!F$2),0)</f>
        <v>1046.444</v>
      </c>
      <c r="G16" s="80">
        <f t="shared" si="1"/>
        <v>1044.5834</v>
      </c>
    </row>
    <row r="17" spans="1:7" ht="15.75" thickBot="1" x14ac:dyDescent="0.3">
      <c r="A17" s="81" t="s">
        <v>130</v>
      </c>
      <c r="B17" s="33">
        <f>IFERROR(AVERAGEIFS(Table1[Total_Sales],Table1[Region_Code],'Conditional Aggregation'!$A17,Table1[Category],'Conditional Aggregation'!B$2),0)</f>
        <v>1135.01</v>
      </c>
      <c r="C17" s="33">
        <f>IFERROR(AVERAGEIFS(Table1[Total_Sales],Table1[Region_Code],'Conditional Aggregation'!$A17,Table1[Category],'Conditional Aggregation'!C$2),0)</f>
        <v>2434.828</v>
      </c>
      <c r="D17" s="33">
        <f>IFERROR(AVERAGEIFS(Table1[Total_Sales],Table1[Region_Code],'Conditional Aggregation'!$A17,Table1[Category],'Conditional Aggregation'!D$2),0)</f>
        <v>889.20100000000002</v>
      </c>
      <c r="E17" s="33">
        <f>IFERROR(AVERAGEIFS(Table1[Total_Sales],Table1[Region_Code],'Conditional Aggregation'!$A17,Table1[Category],'Conditional Aggregation'!E$2),0)</f>
        <v>774.77</v>
      </c>
      <c r="F17" s="33">
        <f>IFERROR(AVERAGEIFS(Table1[Total_Sales],Table1[Region_Code],'Conditional Aggregation'!$A17,Table1[Category],'Conditional Aggregation'!F$2),0)</f>
        <v>1084.1600000000001</v>
      </c>
      <c r="G17" s="82">
        <f t="shared" si="1"/>
        <v>1263.5937999999999</v>
      </c>
    </row>
    <row r="18" spans="1:7" ht="15.75" thickBot="1" x14ac:dyDescent="0.3">
      <c r="A18" s="76"/>
      <c r="B18" s="77"/>
      <c r="C18" s="77"/>
      <c r="D18" s="77"/>
      <c r="E18" s="77"/>
      <c r="F18" s="77"/>
      <c r="G18" s="68"/>
    </row>
    <row r="19" spans="1:7" x14ac:dyDescent="0.25">
      <c r="A19" s="144" t="s">
        <v>13</v>
      </c>
      <c r="B19" s="142" t="s">
        <v>1067</v>
      </c>
      <c r="C19" s="142"/>
      <c r="D19" s="142"/>
      <c r="E19" s="142"/>
      <c r="F19" s="142"/>
      <c r="G19" s="83"/>
    </row>
    <row r="20" spans="1:7" x14ac:dyDescent="0.25">
      <c r="A20" s="145"/>
      <c r="B20" s="52" t="s">
        <v>18</v>
      </c>
      <c r="C20" s="52" t="s">
        <v>44</v>
      </c>
      <c r="D20" s="52" t="s">
        <v>37</v>
      </c>
      <c r="E20" s="52" t="s">
        <v>52</v>
      </c>
      <c r="F20" s="52" t="s">
        <v>57</v>
      </c>
      <c r="G20" s="31" t="s">
        <v>730</v>
      </c>
    </row>
    <row r="21" spans="1:7" x14ac:dyDescent="0.25">
      <c r="A21" s="79" t="s">
        <v>21</v>
      </c>
      <c r="B21" s="27">
        <f>SUMIFS(Table1[Profit],Table1[Region_Code],'Conditional Aggregation'!$A21,Table1[Category],'Conditional Aggregation'!B$2)</f>
        <v>6581.57</v>
      </c>
      <c r="C21" s="27">
        <f>SUMIFS(Table1[Profit],Table1[Region_Code],'Conditional Aggregation'!$A21,Table1[Category],'Conditional Aggregation'!C$2)</f>
        <v>3119.2200000000003</v>
      </c>
      <c r="D21" s="27">
        <f>SUMIFS(Table1[Profit],Table1[Region_Code],'Conditional Aggregation'!$A21,Table1[Category],'Conditional Aggregation'!D$2)</f>
        <v>5558.34</v>
      </c>
      <c r="E21" s="27">
        <f>SUMIFS(Table1[Profit],Table1[Region_Code],'Conditional Aggregation'!$A21,Table1[Category],'Conditional Aggregation'!E$2)</f>
        <v>7966.090000000002</v>
      </c>
      <c r="F21" s="27">
        <f>SUMIFS(Table1[Profit],Table1[Region_Code],'Conditional Aggregation'!$A21,Table1[Category],'Conditional Aggregation'!F$2)</f>
        <v>828.0200000000001</v>
      </c>
      <c r="G21" s="84">
        <f>SUM(B21:F21)</f>
        <v>24053.24</v>
      </c>
    </row>
    <row r="22" spans="1:7" x14ac:dyDescent="0.25">
      <c r="A22" s="79" t="s">
        <v>28</v>
      </c>
      <c r="B22" s="27">
        <f>SUMIFS(Table1[Profit],Table1[Region_Code],'Conditional Aggregation'!$A22,Table1[Category],'Conditional Aggregation'!B$2)</f>
        <v>8020.6899999999987</v>
      </c>
      <c r="C22" s="27">
        <f>SUMIFS(Table1[Profit],Table1[Region_Code],'Conditional Aggregation'!$A22,Table1[Category],'Conditional Aggregation'!C$2)</f>
        <v>3735.35</v>
      </c>
      <c r="D22" s="27">
        <f>SUMIFS(Table1[Profit],Table1[Region_Code],'Conditional Aggregation'!$A22,Table1[Category],'Conditional Aggregation'!D$2)</f>
        <v>7458.03</v>
      </c>
      <c r="E22" s="27">
        <f>SUMIFS(Table1[Profit],Table1[Region_Code],'Conditional Aggregation'!$A22,Table1[Category],'Conditional Aggregation'!E$2)</f>
        <v>9028.2000000000007</v>
      </c>
      <c r="F22" s="27">
        <f>SUMIFS(Table1[Profit],Table1[Region_Code],'Conditional Aggregation'!$A22,Table1[Category],'Conditional Aggregation'!F$2)</f>
        <v>3892.48</v>
      </c>
      <c r="G22" s="84">
        <f t="shared" ref="G22:G26" si="2">SUM(B22:F22)</f>
        <v>32134.75</v>
      </c>
    </row>
    <row r="23" spans="1:7" x14ac:dyDescent="0.25">
      <c r="A23" s="79" t="s">
        <v>58</v>
      </c>
      <c r="B23" s="27">
        <f>SUMIFS(Table1[Profit],Table1[Region_Code],'Conditional Aggregation'!$A23,Table1[Category],'Conditional Aggregation'!B$2)</f>
        <v>9628.14</v>
      </c>
      <c r="C23" s="27">
        <f>SUMIFS(Table1[Profit],Table1[Region_Code],'Conditional Aggregation'!$A23,Table1[Category],'Conditional Aggregation'!C$2)</f>
        <v>8316.67</v>
      </c>
      <c r="D23" s="27">
        <f>SUMIFS(Table1[Profit],Table1[Region_Code],'Conditional Aggregation'!$A23,Table1[Category],'Conditional Aggregation'!D$2)</f>
        <v>9565.6799999999985</v>
      </c>
      <c r="E23" s="27">
        <f>SUMIFS(Table1[Profit],Table1[Region_Code],'Conditional Aggregation'!$A23,Table1[Category],'Conditional Aggregation'!E$2)</f>
        <v>14439.739999999996</v>
      </c>
      <c r="F23" s="27">
        <f>SUMIFS(Table1[Profit],Table1[Region_Code],'Conditional Aggregation'!$A23,Table1[Category],'Conditional Aggregation'!F$2)</f>
        <v>5965.63</v>
      </c>
      <c r="G23" s="84">
        <f t="shared" si="2"/>
        <v>47915.859999999993</v>
      </c>
    </row>
    <row r="24" spans="1:7" x14ac:dyDescent="0.25">
      <c r="A24" s="79" t="s">
        <v>87</v>
      </c>
      <c r="B24" s="27">
        <f>SUMIFS(Table1[Profit],Table1[Region_Code],'Conditional Aggregation'!$A24,Table1[Category],'Conditional Aggregation'!B$2)</f>
        <v>1989.71</v>
      </c>
      <c r="C24" s="27">
        <f>SUMIFS(Table1[Profit],Table1[Region_Code],'Conditional Aggregation'!$A24,Table1[Category],'Conditional Aggregation'!C$2)</f>
        <v>2149.62</v>
      </c>
      <c r="D24" s="27">
        <f>SUMIFS(Table1[Profit],Table1[Region_Code],'Conditional Aggregation'!$A24,Table1[Category],'Conditional Aggregation'!D$2)</f>
        <v>2392.4</v>
      </c>
      <c r="E24" s="27">
        <f>SUMIFS(Table1[Profit],Table1[Region_Code],'Conditional Aggregation'!$A24,Table1[Category],'Conditional Aggregation'!E$2)</f>
        <v>2435.5899999999997</v>
      </c>
      <c r="F24" s="27">
        <f>SUMIFS(Table1[Profit],Table1[Region_Code],'Conditional Aggregation'!$A24,Table1[Category],'Conditional Aggregation'!F$2)</f>
        <v>0</v>
      </c>
      <c r="G24" s="84">
        <f t="shared" si="2"/>
        <v>8967.32</v>
      </c>
    </row>
    <row r="25" spans="1:7" x14ac:dyDescent="0.25">
      <c r="A25" s="79" t="s">
        <v>39</v>
      </c>
      <c r="B25" s="27">
        <f>SUMIFS(Table1[Profit],Table1[Region_Code],'Conditional Aggregation'!$A25,Table1[Category],'Conditional Aggregation'!B$2)</f>
        <v>2878.44</v>
      </c>
      <c r="C25" s="27">
        <f>SUMIFS(Table1[Profit],Table1[Region_Code],'Conditional Aggregation'!$A25,Table1[Category],'Conditional Aggregation'!C$2)</f>
        <v>416.33</v>
      </c>
      <c r="D25" s="27">
        <f>SUMIFS(Table1[Profit],Table1[Region_Code],'Conditional Aggregation'!$A25,Table1[Category],'Conditional Aggregation'!D$2)</f>
        <v>4721.5000000000009</v>
      </c>
      <c r="E25" s="27">
        <f>SUMIFS(Table1[Profit],Table1[Region_Code],'Conditional Aggregation'!$A25,Table1[Category],'Conditional Aggregation'!E$2)</f>
        <v>451.49</v>
      </c>
      <c r="F25" s="27">
        <f>SUMIFS(Table1[Profit],Table1[Region_Code],'Conditional Aggregation'!$A25,Table1[Category],'Conditional Aggregation'!F$2)</f>
        <v>1868.77</v>
      </c>
      <c r="G25" s="84">
        <f t="shared" si="2"/>
        <v>10336.530000000001</v>
      </c>
    </row>
    <row r="26" spans="1:7" ht="15.75" thickBot="1" x14ac:dyDescent="0.3">
      <c r="A26" s="81" t="s">
        <v>130</v>
      </c>
      <c r="B26" s="33">
        <f>SUMIFS(Table1[Profit],Table1[Region_Code],'Conditional Aggregation'!$A26,Table1[Category],'Conditional Aggregation'!B$2)</f>
        <v>1578.49</v>
      </c>
      <c r="C26" s="33">
        <f>SUMIFS(Table1[Profit],Table1[Region_Code],'Conditional Aggregation'!$A26,Table1[Category],'Conditional Aggregation'!C$2)</f>
        <v>3656.58</v>
      </c>
      <c r="D26" s="33">
        <f>SUMIFS(Table1[Profit],Table1[Region_Code],'Conditional Aggregation'!$A26,Table1[Category],'Conditional Aggregation'!D$2)</f>
        <v>2126.5400000000004</v>
      </c>
      <c r="E26" s="33">
        <f>SUMIFS(Table1[Profit],Table1[Region_Code],'Conditional Aggregation'!$A26,Table1[Category],'Conditional Aggregation'!E$2)</f>
        <v>2156.23</v>
      </c>
      <c r="F26" s="33">
        <f>SUMIFS(Table1[Profit],Table1[Region_Code],'Conditional Aggregation'!$A26,Table1[Category],'Conditional Aggregation'!F$2)</f>
        <v>644.86</v>
      </c>
      <c r="G26" s="85">
        <f t="shared" si="2"/>
        <v>10162.700000000001</v>
      </c>
    </row>
    <row r="27" spans="1:7" ht="15.75" thickBot="1" x14ac:dyDescent="0.3">
      <c r="A27" s="76"/>
      <c r="B27" s="77"/>
      <c r="C27" s="77"/>
      <c r="D27" s="77"/>
      <c r="E27" s="77"/>
      <c r="F27" s="77"/>
      <c r="G27" s="75"/>
    </row>
    <row r="28" spans="1:7" x14ac:dyDescent="0.25">
      <c r="A28" s="144" t="s">
        <v>13</v>
      </c>
      <c r="B28" s="142" t="s">
        <v>1068</v>
      </c>
      <c r="C28" s="142"/>
      <c r="D28" s="142"/>
      <c r="E28" s="142"/>
      <c r="F28" s="142"/>
      <c r="G28" s="78"/>
    </row>
    <row r="29" spans="1:7" x14ac:dyDescent="0.25">
      <c r="A29" s="145"/>
      <c r="B29" s="52" t="s">
        <v>18</v>
      </c>
      <c r="C29" s="52" t="s">
        <v>44</v>
      </c>
      <c r="D29" s="52" t="s">
        <v>37</v>
      </c>
      <c r="E29" s="52" t="s">
        <v>52</v>
      </c>
      <c r="F29" s="52" t="s">
        <v>57</v>
      </c>
      <c r="G29" s="31" t="s">
        <v>1051</v>
      </c>
    </row>
    <row r="30" spans="1:7" x14ac:dyDescent="0.25">
      <c r="A30" s="79" t="s">
        <v>21</v>
      </c>
      <c r="B30" s="27">
        <f>IFERROR(AVERAGEIFS(Table1[Profit],Table1[Region_Code],'Conditional Aggregation'!$A30,Table1[Category],'Conditional Aggregation'!B$2),0)</f>
        <v>329.07849999999996</v>
      </c>
      <c r="C30" s="27">
        <f>IFERROR(AVERAGEIFS(Table1[Profit],Table1[Region_Code],'Conditional Aggregation'!$A30,Table1[Category],'Conditional Aggregation'!C$2),0)</f>
        <v>623.84400000000005</v>
      </c>
      <c r="D30" s="27">
        <f>IFERROR(AVERAGEIFS(Table1[Profit],Table1[Region_Code],'Conditional Aggregation'!$A30,Table1[Category],'Conditional Aggregation'!D$2),0)</f>
        <v>191.66689655172414</v>
      </c>
      <c r="E30" s="27">
        <f>IFERROR(AVERAGEIFS(Table1[Profit],Table1[Region_Code],'Conditional Aggregation'!$A30,Table1[Category],'Conditional Aggregation'!E$2),0)</f>
        <v>295.04037037037045</v>
      </c>
      <c r="F30" s="27">
        <f>IFERROR(AVERAGEIFS(Table1[Profit],Table1[Region_Code],'Conditional Aggregation'!$A30,Table1[Category],'Conditional Aggregation'!F$2),0)</f>
        <v>138.00333333333336</v>
      </c>
      <c r="G30" s="80">
        <f>AVERAGE(B30:F30)</f>
        <v>315.52662005108562</v>
      </c>
    </row>
    <row r="31" spans="1:7" x14ac:dyDescent="0.25">
      <c r="A31" s="79" t="s">
        <v>28</v>
      </c>
      <c r="B31" s="27">
        <f>IFERROR(AVERAGEIFS(Table1[Profit],Table1[Region_Code],'Conditional Aggregation'!$A31,Table1[Category],'Conditional Aggregation'!B$2),0)</f>
        <v>276.57551724137926</v>
      </c>
      <c r="C31" s="27">
        <f>IFERROR(AVERAGEIFS(Table1[Profit],Table1[Region_Code],'Conditional Aggregation'!$A31,Table1[Category],'Conditional Aggregation'!C$2),0)</f>
        <v>415.03888888888889</v>
      </c>
      <c r="D31" s="27">
        <f>IFERROR(AVERAGEIFS(Table1[Profit],Table1[Region_Code],'Conditional Aggregation'!$A31,Table1[Category],'Conditional Aggregation'!D$2),0)</f>
        <v>207.16749999999999</v>
      </c>
      <c r="E31" s="27">
        <f>IFERROR(AVERAGEIFS(Table1[Profit],Table1[Region_Code],'Conditional Aggregation'!$A31,Table1[Category],'Conditional Aggregation'!E$2),0)</f>
        <v>205.18636363636367</v>
      </c>
      <c r="F31" s="27">
        <f>IFERROR(AVERAGEIFS(Table1[Profit],Table1[Region_Code],'Conditional Aggregation'!$A31,Table1[Category],'Conditional Aggregation'!F$2),0)</f>
        <v>243.28</v>
      </c>
      <c r="G31" s="80">
        <f t="shared" ref="G31:G35" si="3">AVERAGE(B31:F31)</f>
        <v>269.44965395332639</v>
      </c>
    </row>
    <row r="32" spans="1:7" x14ac:dyDescent="0.25">
      <c r="A32" s="79" t="s">
        <v>58</v>
      </c>
      <c r="B32" s="27">
        <f>IFERROR(AVERAGEIFS(Table1[Profit],Table1[Region_Code],'Conditional Aggregation'!$A32,Table1[Category],'Conditional Aggregation'!B$2),0)</f>
        <v>283.18058823529412</v>
      </c>
      <c r="C32" s="27">
        <f>IFERROR(AVERAGEIFS(Table1[Profit],Table1[Region_Code],'Conditional Aggregation'!$A32,Table1[Category],'Conditional Aggregation'!C$2),0)</f>
        <v>378.03045454545457</v>
      </c>
      <c r="D32" s="27">
        <f>IFERROR(AVERAGEIFS(Table1[Profit],Table1[Region_Code],'Conditional Aggregation'!$A32,Table1[Category],'Conditional Aggregation'!D$2),0)</f>
        <v>245.27384615384611</v>
      </c>
      <c r="E32" s="27">
        <f>IFERROR(AVERAGEIFS(Table1[Profit],Table1[Region_Code],'Conditional Aggregation'!$A32,Table1[Category],'Conditional Aggregation'!E$2),0)</f>
        <v>248.96103448275855</v>
      </c>
      <c r="F32" s="27">
        <f>IFERROR(AVERAGEIFS(Table1[Profit],Table1[Region_Code],'Conditional Aggregation'!$A32,Table1[Category],'Conditional Aggregation'!F$2),0)</f>
        <v>229.4473076923077</v>
      </c>
      <c r="G32" s="80">
        <f t="shared" si="3"/>
        <v>276.97864622193219</v>
      </c>
    </row>
    <row r="33" spans="1:7" x14ac:dyDescent="0.25">
      <c r="A33" s="79" t="s">
        <v>87</v>
      </c>
      <c r="B33" s="27">
        <f>IFERROR(AVERAGEIFS(Table1[Profit],Table1[Region_Code],'Conditional Aggregation'!$A33,Table1[Category],'Conditional Aggregation'!B$2),0)</f>
        <v>248.71375</v>
      </c>
      <c r="C33" s="27">
        <f>IFERROR(AVERAGEIFS(Table1[Profit],Table1[Region_Code],'Conditional Aggregation'!$A33,Table1[Category],'Conditional Aggregation'!C$2),0)</f>
        <v>537.40499999999997</v>
      </c>
      <c r="D33" s="27">
        <f>IFERROR(AVERAGEIFS(Table1[Profit],Table1[Region_Code],'Conditional Aggregation'!$A33,Table1[Category],'Conditional Aggregation'!D$2),0)</f>
        <v>239.24</v>
      </c>
      <c r="E33" s="27">
        <f>IFERROR(AVERAGEIFS(Table1[Profit],Table1[Region_Code],'Conditional Aggregation'!$A33,Table1[Category],'Conditional Aggregation'!E$2),0)</f>
        <v>221.41727272727269</v>
      </c>
      <c r="F33" s="27">
        <f>IFERROR(AVERAGEIFS(Table1[Profit],Table1[Region_Code],'Conditional Aggregation'!$A33,Table1[Category],'Conditional Aggregation'!F$2),0)</f>
        <v>0</v>
      </c>
      <c r="G33" s="80">
        <f t="shared" si="3"/>
        <v>249.35520454545448</v>
      </c>
    </row>
    <row r="34" spans="1:7" x14ac:dyDescent="0.25">
      <c r="A34" s="79" t="s">
        <v>39</v>
      </c>
      <c r="B34" s="27">
        <f>IFERROR(AVERAGEIFS(Table1[Profit],Table1[Region_Code],'Conditional Aggregation'!$A34,Table1[Category],'Conditional Aggregation'!B$2),0)</f>
        <v>575.68799999999999</v>
      </c>
      <c r="C34" s="27">
        <f>IFERROR(AVERAGEIFS(Table1[Profit],Table1[Region_Code],'Conditional Aggregation'!$A34,Table1[Category],'Conditional Aggregation'!C$2),0)</f>
        <v>208.16499999999999</v>
      </c>
      <c r="D34" s="27">
        <f>IFERROR(AVERAGEIFS(Table1[Profit],Table1[Region_Code],'Conditional Aggregation'!$A34,Table1[Category],'Conditional Aggregation'!D$2),0)</f>
        <v>248.50000000000006</v>
      </c>
      <c r="E34" s="27">
        <f>IFERROR(AVERAGEIFS(Table1[Profit],Table1[Region_Code],'Conditional Aggregation'!$A34,Table1[Category],'Conditional Aggregation'!E$2),0)</f>
        <v>112.8725</v>
      </c>
      <c r="F34" s="27">
        <f>IFERROR(AVERAGEIFS(Table1[Profit],Table1[Region_Code],'Conditional Aggregation'!$A34,Table1[Category],'Conditional Aggregation'!F$2),0)</f>
        <v>373.75400000000002</v>
      </c>
      <c r="G34" s="80">
        <f t="shared" si="3"/>
        <v>303.79589999999996</v>
      </c>
    </row>
    <row r="35" spans="1:7" ht="15.75" thickBot="1" x14ac:dyDescent="0.3">
      <c r="A35" s="81" t="s">
        <v>130</v>
      </c>
      <c r="B35" s="33">
        <f>IFERROR(AVERAGEIFS(Table1[Profit],Table1[Region_Code],'Conditional Aggregation'!$A35,Table1[Category],'Conditional Aggregation'!B$2),0)</f>
        <v>263.08166666666665</v>
      </c>
      <c r="C35" s="33">
        <f>IFERROR(AVERAGEIFS(Table1[Profit],Table1[Region_Code],'Conditional Aggregation'!$A35,Table1[Category],'Conditional Aggregation'!C$2),0)</f>
        <v>731.31600000000003</v>
      </c>
      <c r="D35" s="33">
        <f>IFERROR(AVERAGEIFS(Table1[Profit],Table1[Region_Code],'Conditional Aggregation'!$A35,Table1[Category],'Conditional Aggregation'!D$2),0)</f>
        <v>212.65400000000005</v>
      </c>
      <c r="E35" s="33">
        <f>IFERROR(AVERAGEIFS(Table1[Profit],Table1[Region_Code],'Conditional Aggregation'!$A35,Table1[Category],'Conditional Aggregation'!E$2),0)</f>
        <v>239.58111111111111</v>
      </c>
      <c r="F35" s="33">
        <f>IFERROR(AVERAGEIFS(Table1[Profit],Table1[Region_Code],'Conditional Aggregation'!$A35,Table1[Category],'Conditional Aggregation'!F$2),0)</f>
        <v>322.43</v>
      </c>
      <c r="G35" s="82">
        <f t="shared" si="3"/>
        <v>353.8125555555556</v>
      </c>
    </row>
  </sheetData>
  <mergeCells count="9">
    <mergeCell ref="B28:F28"/>
    <mergeCell ref="B1:F1"/>
    <mergeCell ref="A1:A2"/>
    <mergeCell ref="I2:L2"/>
    <mergeCell ref="B10:F10"/>
    <mergeCell ref="B19:F19"/>
    <mergeCell ref="A10:A11"/>
    <mergeCell ref="A19:A20"/>
    <mergeCell ref="A28:A2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41"/>
  <sheetViews>
    <sheetView zoomScale="80" zoomScaleNormal="80" workbookViewId="0">
      <selection activeCell="A16" sqref="A16"/>
    </sheetView>
  </sheetViews>
  <sheetFormatPr defaultRowHeight="15" x14ac:dyDescent="0.25"/>
  <cols>
    <col min="1" max="1" width="14.7109375" bestFit="1" customWidth="1"/>
    <col min="2" max="2" width="14.140625" bestFit="1" customWidth="1"/>
    <col min="3" max="3" width="17.28515625" customWidth="1"/>
    <col min="4" max="4" width="23" customWidth="1"/>
    <col min="5" max="5" width="17.28515625" customWidth="1"/>
    <col min="6" max="6" width="23" customWidth="1"/>
    <col min="7" max="7" width="17.28515625" customWidth="1"/>
    <col min="8" max="8" width="23" customWidth="1"/>
    <col min="9" max="9" width="17.28515625" customWidth="1"/>
    <col min="10" max="10" width="23" customWidth="1"/>
    <col min="11" max="11" width="22.28515625" bestFit="1" customWidth="1"/>
    <col min="12" max="12" width="27.85546875" bestFit="1" customWidth="1"/>
    <col min="13" max="13" width="12.85546875" bestFit="1" customWidth="1"/>
    <col min="14" max="14" width="12.140625" bestFit="1" customWidth="1"/>
    <col min="15" max="15" width="9.28515625" bestFit="1" customWidth="1"/>
    <col min="16" max="16" width="13.28515625" bestFit="1" customWidth="1"/>
    <col min="17" max="17" width="13.85546875" bestFit="1" customWidth="1"/>
    <col min="18" max="18" width="7.7109375" bestFit="1" customWidth="1"/>
    <col min="19" max="19" width="12.7109375" bestFit="1" customWidth="1"/>
  </cols>
  <sheetData>
    <row r="1" spans="2:12" s="16" customFormat="1" x14ac:dyDescent="0.25"/>
    <row r="2" spans="2:12" s="16" customFormat="1" x14ac:dyDescent="0.25">
      <c r="B2"/>
      <c r="C2" s="87" t="s">
        <v>1064</v>
      </c>
      <c r="D2"/>
      <c r="E2"/>
      <c r="F2"/>
      <c r="G2"/>
      <c r="H2"/>
      <c r="I2"/>
      <c r="J2"/>
      <c r="K2"/>
      <c r="L2"/>
    </row>
    <row r="3" spans="2:12" s="16" customFormat="1" x14ac:dyDescent="0.25">
      <c r="B3"/>
      <c r="C3" t="s">
        <v>58</v>
      </c>
      <c r="D3"/>
      <c r="E3" t="s">
        <v>28</v>
      </c>
      <c r="F3"/>
      <c r="G3" t="s">
        <v>39</v>
      </c>
      <c r="H3"/>
      <c r="I3" t="s">
        <v>1049</v>
      </c>
      <c r="J3"/>
      <c r="K3" t="s">
        <v>733</v>
      </c>
      <c r="L3" t="s">
        <v>1069</v>
      </c>
    </row>
    <row r="4" spans="2:12" s="16" customFormat="1" x14ac:dyDescent="0.25">
      <c r="B4" s="87" t="s">
        <v>1071</v>
      </c>
      <c r="C4" t="s">
        <v>732</v>
      </c>
      <c r="D4" t="s">
        <v>1070</v>
      </c>
      <c r="E4" t="s">
        <v>732</v>
      </c>
      <c r="F4" t="s">
        <v>1070</v>
      </c>
      <c r="G4" t="s">
        <v>732</v>
      </c>
      <c r="H4" t="s">
        <v>1070</v>
      </c>
      <c r="I4" t="s">
        <v>732</v>
      </c>
      <c r="J4" t="s">
        <v>1070</v>
      </c>
      <c r="K4"/>
      <c r="L4"/>
    </row>
    <row r="5" spans="2:12" s="16" customFormat="1" x14ac:dyDescent="0.25">
      <c r="B5" s="8" t="s">
        <v>719</v>
      </c>
      <c r="C5" s="88"/>
      <c r="D5" s="86"/>
      <c r="E5" s="88">
        <v>968.32</v>
      </c>
      <c r="F5" s="86">
        <v>0.2916081460674157</v>
      </c>
      <c r="G5" s="88"/>
      <c r="H5" s="86"/>
      <c r="I5" s="88"/>
      <c r="J5" s="86"/>
      <c r="K5" s="88">
        <v>968.32</v>
      </c>
      <c r="L5" s="86">
        <v>0.2916081460674157</v>
      </c>
    </row>
    <row r="6" spans="2:12" s="16" customFormat="1" x14ac:dyDescent="0.25">
      <c r="B6" s="8" t="s">
        <v>717</v>
      </c>
      <c r="C6" s="88"/>
      <c r="D6" s="86"/>
      <c r="E6" s="88">
        <v>94.56</v>
      </c>
      <c r="F6" s="86">
        <v>0.21235194585448391</v>
      </c>
      <c r="G6" s="88"/>
      <c r="H6" s="86"/>
      <c r="I6" s="88"/>
      <c r="J6" s="86"/>
      <c r="K6" s="88">
        <v>94.56</v>
      </c>
      <c r="L6" s="86">
        <v>0.21235194585448391</v>
      </c>
    </row>
    <row r="7" spans="2:12" s="16" customFormat="1" x14ac:dyDescent="0.25">
      <c r="B7" s="8" t="s">
        <v>715</v>
      </c>
      <c r="C7" s="88"/>
      <c r="D7" s="86"/>
      <c r="E7" s="88">
        <v>512.46</v>
      </c>
      <c r="F7" s="86">
        <v>0.27186512118018963</v>
      </c>
      <c r="G7" s="88"/>
      <c r="H7" s="86"/>
      <c r="I7" s="88"/>
      <c r="J7" s="86"/>
      <c r="K7" s="88">
        <v>512.46</v>
      </c>
      <c r="L7" s="86">
        <v>0.27186512118018963</v>
      </c>
    </row>
    <row r="8" spans="2:12" s="16" customFormat="1" x14ac:dyDescent="0.25">
      <c r="B8" s="8" t="s">
        <v>714</v>
      </c>
      <c r="C8" s="88"/>
      <c r="D8" s="86"/>
      <c r="E8" s="88"/>
      <c r="F8" s="86"/>
      <c r="G8" s="88"/>
      <c r="H8" s="86"/>
      <c r="I8" s="88">
        <v>1150.0899999999999</v>
      </c>
      <c r="J8" s="86">
        <v>0.31327113530245465</v>
      </c>
      <c r="K8" s="88">
        <v>1150.0899999999999</v>
      </c>
      <c r="L8" s="86">
        <v>0.31327113530245465</v>
      </c>
    </row>
    <row r="9" spans="2:12" s="16" customFormat="1" x14ac:dyDescent="0.25">
      <c r="B9" s="8" t="s">
        <v>713</v>
      </c>
      <c r="C9" s="88"/>
      <c r="D9" s="86"/>
      <c r="E9" s="88"/>
      <c r="F9" s="86"/>
      <c r="G9" s="88">
        <v>338.16</v>
      </c>
      <c r="H9" s="86">
        <v>0.39853915306363852</v>
      </c>
      <c r="I9" s="88"/>
      <c r="J9" s="86"/>
      <c r="K9" s="88">
        <v>338.16</v>
      </c>
      <c r="L9" s="86">
        <v>0.39853915306363852</v>
      </c>
    </row>
    <row r="10" spans="2:12" s="16" customFormat="1" x14ac:dyDescent="0.25">
      <c r="B10" s="8" t="s">
        <v>710</v>
      </c>
      <c r="C10" s="88"/>
      <c r="D10" s="86"/>
      <c r="E10" s="88"/>
      <c r="F10" s="86"/>
      <c r="G10" s="88"/>
      <c r="H10" s="86"/>
      <c r="I10" s="88">
        <v>1104.4000000000001</v>
      </c>
      <c r="J10" s="86">
        <v>0.32147772546178921</v>
      </c>
      <c r="K10" s="88">
        <v>1104.4000000000001</v>
      </c>
      <c r="L10" s="86">
        <v>0.32147772546178921</v>
      </c>
    </row>
    <row r="11" spans="2:12" s="16" customFormat="1" x14ac:dyDescent="0.25">
      <c r="B11" s="8" t="s">
        <v>709</v>
      </c>
      <c r="C11" s="88"/>
      <c r="D11" s="86"/>
      <c r="E11" s="88">
        <v>1056.99</v>
      </c>
      <c r="F11" s="86">
        <v>0.38164977908967918</v>
      </c>
      <c r="G11" s="88"/>
      <c r="H11" s="86"/>
      <c r="I11" s="88">
        <v>1539.96</v>
      </c>
      <c r="J11" s="86">
        <v>0.30399406513993205</v>
      </c>
      <c r="K11" s="88">
        <v>2596.9499999999998</v>
      </c>
      <c r="L11" s="86">
        <v>0.32987930312318109</v>
      </c>
    </row>
    <row r="12" spans="2:12" s="16" customFormat="1" x14ac:dyDescent="0.25">
      <c r="B12" s="8" t="s">
        <v>707</v>
      </c>
      <c r="C12" s="88">
        <v>429.94</v>
      </c>
      <c r="D12" s="86">
        <v>0.15562636646973996</v>
      </c>
      <c r="E12" s="88"/>
      <c r="F12" s="86"/>
      <c r="G12" s="88"/>
      <c r="H12" s="86"/>
      <c r="I12" s="88"/>
      <c r="J12" s="86"/>
      <c r="K12" s="88">
        <v>429.94</v>
      </c>
      <c r="L12" s="86">
        <v>0.15562636646973996</v>
      </c>
    </row>
    <row r="13" spans="2:12" s="16" customFormat="1" x14ac:dyDescent="0.25">
      <c r="B13" s="8" t="s">
        <v>731</v>
      </c>
      <c r="C13" s="88">
        <v>429.94</v>
      </c>
      <c r="D13" s="86">
        <v>0.15562636646973996</v>
      </c>
      <c r="E13" s="88">
        <v>2632.33</v>
      </c>
      <c r="F13" s="86">
        <v>0.2893687480479421</v>
      </c>
      <c r="G13" s="88">
        <v>338.16</v>
      </c>
      <c r="H13" s="86">
        <v>0.39853915306363852</v>
      </c>
      <c r="I13" s="88">
        <v>3794.45</v>
      </c>
      <c r="J13" s="86">
        <v>0.31068424776102699</v>
      </c>
      <c r="K13" s="88">
        <v>7194.8799999999992</v>
      </c>
      <c r="L13" s="86">
        <v>0.29543775027692554</v>
      </c>
    </row>
    <row r="14" spans="2:12" s="16" customFormat="1" x14ac:dyDescent="0.25">
      <c r="B14"/>
      <c r="C14"/>
      <c r="D14"/>
    </row>
    <row r="15" spans="2:12" s="16" customFormat="1" x14ac:dyDescent="0.25">
      <c r="B15"/>
      <c r="C15"/>
      <c r="D15"/>
    </row>
    <row r="31" spans="1:19" x14ac:dyDescent="0.25">
      <c r="A31" s="17" t="s">
        <v>0</v>
      </c>
      <c r="B31" s="17" t="s">
        <v>1</v>
      </c>
      <c r="C31" s="17" t="s">
        <v>2</v>
      </c>
      <c r="D31" s="17" t="s">
        <v>3</v>
      </c>
      <c r="E31" s="17" t="s">
        <v>4</v>
      </c>
      <c r="F31" s="17" t="s">
        <v>5</v>
      </c>
      <c r="G31" s="17" t="s">
        <v>6</v>
      </c>
      <c r="H31" s="18" t="s">
        <v>7</v>
      </c>
      <c r="I31" s="18" t="s">
        <v>8</v>
      </c>
      <c r="J31" s="18" t="s">
        <v>9</v>
      </c>
      <c r="K31" s="17" t="s">
        <v>10</v>
      </c>
      <c r="L31" s="18" t="s">
        <v>11</v>
      </c>
      <c r="M31" s="18" t="s">
        <v>12</v>
      </c>
      <c r="N31" s="18" t="s">
        <v>13</v>
      </c>
      <c r="O31" s="18" t="s">
        <v>658</v>
      </c>
      <c r="P31" s="17" t="s">
        <v>656</v>
      </c>
      <c r="Q31" s="18" t="s">
        <v>657</v>
      </c>
      <c r="R31" s="17" t="s">
        <v>727</v>
      </c>
      <c r="S31" s="18" t="s">
        <v>685</v>
      </c>
    </row>
    <row r="32" spans="1:19" x14ac:dyDescent="0.25">
      <c r="A32" s="1" t="s">
        <v>14</v>
      </c>
      <c r="B32" s="19">
        <v>45677</v>
      </c>
      <c r="C32" s="1" t="s">
        <v>15</v>
      </c>
      <c r="D32" s="1" t="s">
        <v>16</v>
      </c>
      <c r="E32" s="1" t="s">
        <v>17</v>
      </c>
      <c r="F32" s="1" t="s">
        <v>18</v>
      </c>
      <c r="G32" s="1">
        <v>20</v>
      </c>
      <c r="H32" s="1">
        <v>55.22</v>
      </c>
      <c r="I32" s="1">
        <v>1104.4000000000001</v>
      </c>
      <c r="J32" s="1">
        <v>49.36</v>
      </c>
      <c r="K32" s="1">
        <v>355.04</v>
      </c>
      <c r="L32" s="1" t="s">
        <v>19</v>
      </c>
      <c r="M32" s="1" t="s">
        <v>20</v>
      </c>
      <c r="N32" s="1"/>
      <c r="O32" s="1">
        <v>35</v>
      </c>
      <c r="P32" s="1" t="s">
        <v>676</v>
      </c>
      <c r="Q32" s="1" t="s">
        <v>667</v>
      </c>
      <c r="R32" s="19" t="s">
        <v>710</v>
      </c>
      <c r="S32" s="86">
        <f>K32/I32</f>
        <v>0.32147772546178921</v>
      </c>
    </row>
    <row r="33" spans="1:19" x14ac:dyDescent="0.25">
      <c r="A33" s="1" t="s">
        <v>22</v>
      </c>
      <c r="B33" s="19">
        <v>45702</v>
      </c>
      <c r="C33" s="1" t="s">
        <v>23</v>
      </c>
      <c r="D33" s="1" t="s">
        <v>24</v>
      </c>
      <c r="E33" s="1" t="s">
        <v>25</v>
      </c>
      <c r="F33" s="1" t="s">
        <v>18</v>
      </c>
      <c r="G33" s="1">
        <v>33</v>
      </c>
      <c r="H33" s="1">
        <v>32.03</v>
      </c>
      <c r="I33" s="1">
        <v>1056.99</v>
      </c>
      <c r="J33" s="1">
        <v>59.59</v>
      </c>
      <c r="K33" s="1">
        <v>403.4</v>
      </c>
      <c r="L33" s="1" t="s">
        <v>26</v>
      </c>
      <c r="M33" s="1" t="s">
        <v>27</v>
      </c>
      <c r="N33" s="1" t="s">
        <v>28</v>
      </c>
      <c r="O33" s="1">
        <v>18</v>
      </c>
      <c r="P33" s="1" t="s">
        <v>664</v>
      </c>
      <c r="Q33" s="1" t="s">
        <v>31</v>
      </c>
      <c r="R33" s="19" t="s">
        <v>709</v>
      </c>
      <c r="S33" s="86">
        <f t="shared" ref="S33:S41" si="0">K33/I33</f>
        <v>0.38164977908967918</v>
      </c>
    </row>
    <row r="34" spans="1:19" x14ac:dyDescent="0.25">
      <c r="A34" s="1" t="s">
        <v>29</v>
      </c>
      <c r="B34" s="19">
        <v>45411</v>
      </c>
      <c r="C34" s="1" t="s">
        <v>30</v>
      </c>
      <c r="D34" s="1" t="s">
        <v>31</v>
      </c>
      <c r="E34" s="1" t="s">
        <v>25</v>
      </c>
      <c r="F34" s="1" t="s">
        <v>18</v>
      </c>
      <c r="G34" s="1">
        <v>34</v>
      </c>
      <c r="H34" s="1">
        <v>28.48</v>
      </c>
      <c r="I34" s="1">
        <v>968.32</v>
      </c>
      <c r="J34" s="1">
        <v>73.95</v>
      </c>
      <c r="K34" s="1">
        <v>282.37</v>
      </c>
      <c r="L34" s="1" t="s">
        <v>19</v>
      </c>
      <c r="M34" s="1" t="s">
        <v>32</v>
      </c>
      <c r="N34" s="1" t="s">
        <v>28</v>
      </c>
      <c r="O34" s="1">
        <v>18</v>
      </c>
      <c r="P34" s="1" t="s">
        <v>664</v>
      </c>
      <c r="Q34" s="1" t="s">
        <v>31</v>
      </c>
      <c r="R34" s="19" t="s">
        <v>719</v>
      </c>
      <c r="S34" s="86">
        <f t="shared" si="0"/>
        <v>0.2916081460674157</v>
      </c>
    </row>
    <row r="35" spans="1:19" x14ac:dyDescent="0.25">
      <c r="A35" s="1" t="s">
        <v>33</v>
      </c>
      <c r="B35" s="19">
        <v>45566</v>
      </c>
      <c r="C35" s="1" t="s">
        <v>34</v>
      </c>
      <c r="D35" s="1" t="s">
        <v>35</v>
      </c>
      <c r="E35" s="1" t="s">
        <v>36</v>
      </c>
      <c r="F35" s="1" t="s">
        <v>37</v>
      </c>
      <c r="G35" s="1">
        <v>6</v>
      </c>
      <c r="H35" s="1">
        <v>56.36</v>
      </c>
      <c r="I35" s="1">
        <v>338.16</v>
      </c>
      <c r="J35" s="1">
        <v>11.39</v>
      </c>
      <c r="K35" s="1">
        <v>134.77000000000001</v>
      </c>
      <c r="L35" s="1" t="s">
        <v>38</v>
      </c>
      <c r="M35" s="1" t="s">
        <v>27</v>
      </c>
      <c r="N35" s="1" t="s">
        <v>39</v>
      </c>
      <c r="O35" s="1">
        <v>32</v>
      </c>
      <c r="P35" s="1" t="s">
        <v>660</v>
      </c>
      <c r="Q35" s="1" t="s">
        <v>55</v>
      </c>
      <c r="R35" s="19" t="s">
        <v>713</v>
      </c>
      <c r="S35" s="86">
        <f t="shared" si="0"/>
        <v>0.39853915306363852</v>
      </c>
    </row>
    <row r="36" spans="1:19" x14ac:dyDescent="0.25">
      <c r="A36" s="1" t="s">
        <v>40</v>
      </c>
      <c r="B36" s="19">
        <v>45703</v>
      </c>
      <c r="C36" s="1" t="s">
        <v>41</v>
      </c>
      <c r="D36" s="1" t="s">
        <v>42</v>
      </c>
      <c r="E36" s="1" t="s">
        <v>43</v>
      </c>
      <c r="F36" s="1" t="s">
        <v>44</v>
      </c>
      <c r="G36" s="1">
        <v>17</v>
      </c>
      <c r="H36" s="1">
        <v>69.22</v>
      </c>
      <c r="I36" s="1">
        <v>1176.74</v>
      </c>
      <c r="J36" s="1">
        <v>65.94</v>
      </c>
      <c r="K36" s="1">
        <v>430.8</v>
      </c>
      <c r="L36" s="1" t="s">
        <v>26</v>
      </c>
      <c r="M36" s="1" t="s">
        <v>20</v>
      </c>
      <c r="N36" s="1"/>
      <c r="O36" s="1">
        <v>40</v>
      </c>
      <c r="P36" s="1" t="s">
        <v>679</v>
      </c>
      <c r="Q36" s="1" t="s">
        <v>680</v>
      </c>
      <c r="R36" s="19" t="s">
        <v>709</v>
      </c>
      <c r="S36" s="86">
        <f t="shared" si="0"/>
        <v>0.36609616397844896</v>
      </c>
    </row>
    <row r="37" spans="1:19" x14ac:dyDescent="0.25">
      <c r="A37" s="1" t="s">
        <v>45</v>
      </c>
      <c r="B37" s="19">
        <v>45714</v>
      </c>
      <c r="C37" s="1" t="s">
        <v>46</v>
      </c>
      <c r="D37" s="1" t="s">
        <v>47</v>
      </c>
      <c r="E37" s="1" t="s">
        <v>48</v>
      </c>
      <c r="F37" s="1" t="s">
        <v>37</v>
      </c>
      <c r="G37" s="1">
        <v>13</v>
      </c>
      <c r="H37" s="1">
        <v>27.94</v>
      </c>
      <c r="I37" s="1">
        <v>363.22</v>
      </c>
      <c r="J37" s="1">
        <v>15.36</v>
      </c>
      <c r="K37" s="1">
        <v>87.86</v>
      </c>
      <c r="L37" s="1" t="s">
        <v>26</v>
      </c>
      <c r="M37" s="1" t="s">
        <v>20</v>
      </c>
      <c r="N37" s="1"/>
      <c r="O37" s="1">
        <v>20</v>
      </c>
      <c r="P37" s="1" t="s">
        <v>672</v>
      </c>
      <c r="Q37" s="1" t="s">
        <v>55</v>
      </c>
      <c r="R37" s="19" t="s">
        <v>709</v>
      </c>
      <c r="S37" s="86">
        <f t="shared" si="0"/>
        <v>0.2418919663014151</v>
      </c>
    </row>
    <row r="38" spans="1:19" x14ac:dyDescent="0.25">
      <c r="A38" s="1" t="s">
        <v>49</v>
      </c>
      <c r="B38" s="19">
        <v>45456</v>
      </c>
      <c r="C38" s="1" t="s">
        <v>50</v>
      </c>
      <c r="D38" s="1" t="s">
        <v>24</v>
      </c>
      <c r="E38" s="1" t="s">
        <v>51</v>
      </c>
      <c r="F38" s="1" t="s">
        <v>52</v>
      </c>
      <c r="G38" s="1">
        <v>3</v>
      </c>
      <c r="H38" s="1">
        <v>31.52</v>
      </c>
      <c r="I38" s="1">
        <v>94.56</v>
      </c>
      <c r="J38" s="1">
        <v>6.98</v>
      </c>
      <c r="K38" s="1">
        <v>20.079999999999998</v>
      </c>
      <c r="L38" s="1" t="s">
        <v>19</v>
      </c>
      <c r="M38" s="1" t="s">
        <v>32</v>
      </c>
      <c r="N38" s="1" t="s">
        <v>28</v>
      </c>
      <c r="O38" s="1">
        <v>22.5</v>
      </c>
      <c r="P38" s="1" t="s">
        <v>674</v>
      </c>
      <c r="Q38" s="1" t="s">
        <v>177</v>
      </c>
      <c r="R38" s="19" t="s">
        <v>717</v>
      </c>
      <c r="S38" s="86">
        <f t="shared" si="0"/>
        <v>0.21235194585448391</v>
      </c>
    </row>
    <row r="39" spans="1:19" x14ac:dyDescent="0.25">
      <c r="A39" s="1" t="s">
        <v>53</v>
      </c>
      <c r="B39" s="19">
        <v>45778</v>
      </c>
      <c r="C39" s="1" t="s">
        <v>54</v>
      </c>
      <c r="D39" s="1" t="s">
        <v>55</v>
      </c>
      <c r="E39" s="1" t="s">
        <v>56</v>
      </c>
      <c r="F39" s="1" t="s">
        <v>57</v>
      </c>
      <c r="G39" s="1">
        <v>14</v>
      </c>
      <c r="H39" s="1">
        <v>30.71</v>
      </c>
      <c r="I39" s="1">
        <v>429.94</v>
      </c>
      <c r="J39" s="1">
        <v>13.03</v>
      </c>
      <c r="K39" s="1">
        <v>66.91</v>
      </c>
      <c r="L39" s="1" t="s">
        <v>26</v>
      </c>
      <c r="M39" s="1" t="s">
        <v>20</v>
      </c>
      <c r="N39" s="1" t="s">
        <v>58</v>
      </c>
      <c r="O39" s="1">
        <v>25</v>
      </c>
      <c r="P39" s="1" t="s">
        <v>669</v>
      </c>
      <c r="Q39" s="1" t="s">
        <v>670</v>
      </c>
      <c r="R39" s="19" t="s">
        <v>707</v>
      </c>
      <c r="S39" s="86">
        <f t="shared" si="0"/>
        <v>0.15562636646973996</v>
      </c>
    </row>
    <row r="40" spans="1:19" x14ac:dyDescent="0.25">
      <c r="A40" s="1" t="s">
        <v>59</v>
      </c>
      <c r="B40" s="19">
        <v>45548</v>
      </c>
      <c r="C40" s="1" t="s">
        <v>30</v>
      </c>
      <c r="D40" s="1" t="s">
        <v>16</v>
      </c>
      <c r="E40" s="1" t="s">
        <v>60</v>
      </c>
      <c r="F40" s="1" t="s">
        <v>52</v>
      </c>
      <c r="G40" s="1">
        <v>47</v>
      </c>
      <c r="H40" s="1">
        <v>24.47</v>
      </c>
      <c r="I40" s="1">
        <v>1150.0899999999999</v>
      </c>
      <c r="J40" s="1">
        <v>61.3</v>
      </c>
      <c r="K40" s="1">
        <v>360.29</v>
      </c>
      <c r="L40" s="1" t="s">
        <v>26</v>
      </c>
      <c r="M40" s="1" t="s">
        <v>20</v>
      </c>
      <c r="N40" s="1"/>
      <c r="O40" s="1">
        <v>15.5</v>
      </c>
      <c r="P40" s="1" t="s">
        <v>662</v>
      </c>
      <c r="Q40" s="1" t="s">
        <v>177</v>
      </c>
      <c r="R40" s="19" t="s">
        <v>714</v>
      </c>
      <c r="S40" s="86">
        <f t="shared" si="0"/>
        <v>0.31327113530245465</v>
      </c>
    </row>
    <row r="41" spans="1:19" x14ac:dyDescent="0.25">
      <c r="A41" s="1" t="s">
        <v>61</v>
      </c>
      <c r="B41" s="19">
        <v>45531</v>
      </c>
      <c r="C41" s="1" t="s">
        <v>62</v>
      </c>
      <c r="D41" s="1" t="s">
        <v>31</v>
      </c>
      <c r="E41" s="1" t="s">
        <v>63</v>
      </c>
      <c r="F41" s="1" t="s">
        <v>37</v>
      </c>
      <c r="G41" s="1">
        <v>27</v>
      </c>
      <c r="H41" s="1">
        <v>18.98</v>
      </c>
      <c r="I41" s="1">
        <v>512.46</v>
      </c>
      <c r="J41" s="1">
        <v>28.89</v>
      </c>
      <c r="K41" s="1">
        <v>139.32</v>
      </c>
      <c r="L41" s="1" t="s">
        <v>26</v>
      </c>
      <c r="M41" s="1" t="s">
        <v>32</v>
      </c>
      <c r="N41" s="1" t="s">
        <v>28</v>
      </c>
      <c r="O41" s="1">
        <v>12.75</v>
      </c>
      <c r="P41" s="1" t="s">
        <v>666</v>
      </c>
      <c r="Q41" s="1" t="s">
        <v>667</v>
      </c>
      <c r="R41" s="19" t="s">
        <v>715</v>
      </c>
      <c r="S41" s="86">
        <f t="shared" si="0"/>
        <v>0.27186512118018963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34"/>
  <sheetViews>
    <sheetView zoomScale="80" zoomScaleNormal="80" workbookViewId="0">
      <selection activeCell="C26" sqref="C26"/>
    </sheetView>
  </sheetViews>
  <sheetFormatPr defaultRowHeight="15" x14ac:dyDescent="0.25"/>
  <cols>
    <col min="1" max="1" width="30.7109375" bestFit="1" customWidth="1"/>
    <col min="2" max="2" width="17.28515625" bestFit="1" customWidth="1"/>
    <col min="3" max="3" width="14" bestFit="1" customWidth="1"/>
    <col min="4" max="4" width="11.85546875" customWidth="1"/>
    <col min="5" max="5" width="13.28515625" customWidth="1"/>
    <col min="6" max="6" width="11.7109375" bestFit="1" customWidth="1"/>
  </cols>
  <sheetData>
    <row r="1" spans="1:3" s="107" customFormat="1" ht="15.75" x14ac:dyDescent="0.25">
      <c r="A1" s="125" t="s">
        <v>1052</v>
      </c>
      <c r="B1" s="126" t="s">
        <v>8</v>
      </c>
      <c r="C1" s="127" t="s">
        <v>10</v>
      </c>
    </row>
    <row r="2" spans="1:3" x14ac:dyDescent="0.25">
      <c r="A2" s="128" t="s">
        <v>722</v>
      </c>
      <c r="B2" s="129">
        <v>23642.31</v>
      </c>
      <c r="C2" s="130">
        <v>6054.28</v>
      </c>
    </row>
    <row r="3" spans="1:3" x14ac:dyDescent="0.25">
      <c r="A3" s="128" t="s">
        <v>721</v>
      </c>
      <c r="B3" s="129">
        <v>29912</v>
      </c>
      <c r="C3" s="130">
        <v>9234.0300000000007</v>
      </c>
    </row>
    <row r="4" spans="1:3" x14ac:dyDescent="0.25">
      <c r="A4" s="128" t="s">
        <v>720</v>
      </c>
      <c r="B4" s="129">
        <v>27450.58</v>
      </c>
      <c r="C4" s="130">
        <v>7448.97</v>
      </c>
    </row>
    <row r="5" spans="1:3" x14ac:dyDescent="0.25">
      <c r="A5" s="128" t="s">
        <v>719</v>
      </c>
      <c r="B5" s="129">
        <v>13108.03</v>
      </c>
      <c r="C5" s="130">
        <v>4040.24</v>
      </c>
    </row>
    <row r="6" spans="1:3" x14ac:dyDescent="0.25">
      <c r="A6" s="128" t="s">
        <v>718</v>
      </c>
      <c r="B6" s="129">
        <v>25044.65</v>
      </c>
      <c r="C6" s="130">
        <v>6249.32</v>
      </c>
    </row>
    <row r="7" spans="1:3" x14ac:dyDescent="0.25">
      <c r="A7" s="128" t="s">
        <v>717</v>
      </c>
      <c r="B7" s="129">
        <v>38692.6</v>
      </c>
      <c r="C7" s="130">
        <v>11775.91</v>
      </c>
    </row>
    <row r="8" spans="1:3" x14ac:dyDescent="0.25">
      <c r="A8" s="128" t="s">
        <v>716</v>
      </c>
      <c r="B8" s="129">
        <v>30288.91</v>
      </c>
      <c r="C8" s="130">
        <v>8441.19</v>
      </c>
    </row>
    <row r="9" spans="1:3" x14ac:dyDescent="0.25">
      <c r="A9" s="128" t="s">
        <v>715</v>
      </c>
      <c r="B9" s="129">
        <v>28579.07</v>
      </c>
      <c r="C9" s="130">
        <v>7976.39</v>
      </c>
    </row>
    <row r="10" spans="1:3" x14ac:dyDescent="0.25">
      <c r="A10" s="128" t="s">
        <v>714</v>
      </c>
      <c r="B10" s="129">
        <v>31738.73</v>
      </c>
      <c r="C10" s="130">
        <v>8387.18</v>
      </c>
    </row>
    <row r="11" spans="1:3" x14ac:dyDescent="0.25">
      <c r="A11" s="128" t="s">
        <v>713</v>
      </c>
      <c r="B11" s="129">
        <v>25371.88</v>
      </c>
      <c r="C11" s="130">
        <v>7552.51</v>
      </c>
    </row>
    <row r="12" spans="1:3" x14ac:dyDescent="0.25">
      <c r="A12" s="128" t="s">
        <v>712</v>
      </c>
      <c r="B12" s="129">
        <v>31766.41</v>
      </c>
      <c r="C12" s="130">
        <v>7763.13</v>
      </c>
    </row>
    <row r="13" spans="1:3" x14ac:dyDescent="0.25">
      <c r="A13" s="128" t="s">
        <v>711</v>
      </c>
      <c r="B13" s="129">
        <v>39119.29</v>
      </c>
      <c r="C13" s="130">
        <v>10480.9</v>
      </c>
    </row>
    <row r="14" spans="1:3" x14ac:dyDescent="0.25">
      <c r="A14" s="128" t="s">
        <v>710</v>
      </c>
      <c r="B14" s="129">
        <v>23958.62</v>
      </c>
      <c r="C14" s="130">
        <v>7054.74</v>
      </c>
    </row>
    <row r="15" spans="1:3" x14ac:dyDescent="0.25">
      <c r="A15" s="128" t="s">
        <v>709</v>
      </c>
      <c r="B15" s="129">
        <v>24475.24</v>
      </c>
      <c r="C15" s="130">
        <v>6905.52</v>
      </c>
    </row>
    <row r="16" spans="1:3" x14ac:dyDescent="0.25">
      <c r="A16" s="128" t="s">
        <v>723</v>
      </c>
      <c r="B16" s="129">
        <v>32154.880000000001</v>
      </c>
      <c r="C16" s="130">
        <v>10348.18</v>
      </c>
    </row>
    <row r="17" spans="1:6" x14ac:dyDescent="0.25">
      <c r="A17" s="128" t="s">
        <v>708</v>
      </c>
      <c r="B17" s="129">
        <v>36539.25</v>
      </c>
      <c r="C17" s="130">
        <v>10237.879999999999</v>
      </c>
    </row>
    <row r="18" spans="1:6" x14ac:dyDescent="0.25">
      <c r="A18" s="131" t="s">
        <v>707</v>
      </c>
      <c r="B18" s="132">
        <v>9732.4599999999991</v>
      </c>
      <c r="C18" s="133">
        <v>2579.2199999999998</v>
      </c>
    </row>
    <row r="21" spans="1:6" s="23" customFormat="1" x14ac:dyDescent="0.25"/>
    <row r="28" spans="1:6" s="106" customFormat="1" ht="15.75" x14ac:dyDescent="0.25">
      <c r="A28" s="122" t="s">
        <v>13</v>
      </c>
      <c r="B28" s="123" t="s">
        <v>18</v>
      </c>
      <c r="C28" s="123" t="s">
        <v>44</v>
      </c>
      <c r="D28" s="123" t="s">
        <v>37</v>
      </c>
      <c r="E28" s="123" t="s">
        <v>52</v>
      </c>
      <c r="F28" s="124" t="s">
        <v>57</v>
      </c>
    </row>
    <row r="29" spans="1:6" x14ac:dyDescent="0.25">
      <c r="A29" s="39" t="s">
        <v>21</v>
      </c>
      <c r="B29" s="27">
        <v>24079.71</v>
      </c>
      <c r="C29" s="27">
        <v>9625.9699999999993</v>
      </c>
      <c r="D29" s="27">
        <v>22495.010000000002</v>
      </c>
      <c r="E29" s="27">
        <v>26924.320000000003</v>
      </c>
      <c r="F29" s="40">
        <v>3820.0600000000004</v>
      </c>
    </row>
    <row r="30" spans="1:6" x14ac:dyDescent="0.25">
      <c r="A30" s="39" t="s">
        <v>28</v>
      </c>
      <c r="B30" s="27">
        <v>30642.080000000002</v>
      </c>
      <c r="C30" s="27">
        <v>11433.35</v>
      </c>
      <c r="D30" s="27">
        <v>25086.150000000005</v>
      </c>
      <c r="E30" s="27">
        <v>33685.94</v>
      </c>
      <c r="F30" s="40">
        <v>14367.099999999999</v>
      </c>
    </row>
    <row r="31" spans="1:6" x14ac:dyDescent="0.25">
      <c r="A31" s="39" t="s">
        <v>58</v>
      </c>
      <c r="B31" s="27">
        <v>33225.639999999992</v>
      </c>
      <c r="C31" s="27">
        <v>30263.43</v>
      </c>
      <c r="D31" s="27">
        <v>34174.130000000005</v>
      </c>
      <c r="E31" s="27">
        <v>51860.89</v>
      </c>
      <c r="F31" s="40">
        <v>21644.309999999998</v>
      </c>
    </row>
    <row r="32" spans="1:6" x14ac:dyDescent="0.25">
      <c r="A32" s="39" t="s">
        <v>87</v>
      </c>
      <c r="B32" s="27">
        <v>6956.41</v>
      </c>
      <c r="C32" s="27">
        <v>6721.25</v>
      </c>
      <c r="D32" s="27">
        <v>7452.9400000000005</v>
      </c>
      <c r="E32" s="27">
        <v>8364.44</v>
      </c>
      <c r="F32" s="40">
        <v>0</v>
      </c>
    </row>
    <row r="33" spans="1:6" x14ac:dyDescent="0.25">
      <c r="A33" s="39" t="s">
        <v>39</v>
      </c>
      <c r="B33" s="27">
        <v>8480.99</v>
      </c>
      <c r="C33" s="27">
        <v>2134.23</v>
      </c>
      <c r="D33" s="27">
        <v>16927.670000000002</v>
      </c>
      <c r="E33" s="27">
        <v>2088.92</v>
      </c>
      <c r="F33" s="40">
        <v>5232.22</v>
      </c>
    </row>
    <row r="34" spans="1:6" x14ac:dyDescent="0.25">
      <c r="A34" s="41" t="s">
        <v>130</v>
      </c>
      <c r="B34" s="35">
        <v>6810.06</v>
      </c>
      <c r="C34" s="35">
        <v>12174.14</v>
      </c>
      <c r="D34" s="35">
        <v>8892.01</v>
      </c>
      <c r="E34" s="35">
        <v>6972.93</v>
      </c>
      <c r="F34" s="36">
        <v>2168.3200000000002</v>
      </c>
    </row>
  </sheetData>
  <pageMargins left="0.7" right="0.7" top="0.75" bottom="0.75" header="0.3" footer="0.3"/>
  <pageSetup paperSize="9"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R501"/>
  <sheetViews>
    <sheetView zoomScale="80" zoomScaleNormal="80" workbookViewId="0">
      <selection activeCell="E20" sqref="E20"/>
    </sheetView>
  </sheetViews>
  <sheetFormatPr defaultRowHeight="15" x14ac:dyDescent="0.25"/>
  <cols>
    <col min="1" max="1" width="14.7109375" style="51" bestFit="1" customWidth="1"/>
    <col min="2" max="2" width="16.140625" style="51" bestFit="1" customWidth="1"/>
    <col min="3" max="3" width="11.28515625" style="51" bestFit="1" customWidth="1"/>
    <col min="4" max="4" width="14.28515625" style="51" customWidth="1"/>
    <col min="15" max="15" width="14.7109375" style="8" bestFit="1" customWidth="1"/>
    <col min="16" max="16" width="16.140625" style="8" bestFit="1" customWidth="1"/>
    <col min="17" max="17" width="13.7109375" style="8" bestFit="1" customWidth="1"/>
    <col min="18" max="18" width="18.42578125" style="20" bestFit="1" customWidth="1"/>
  </cols>
  <sheetData>
    <row r="1" spans="1:18" s="20" customFormat="1" ht="15.75" x14ac:dyDescent="0.25">
      <c r="A1" s="13" t="s">
        <v>0</v>
      </c>
      <c r="B1" s="13" t="s">
        <v>4</v>
      </c>
      <c r="C1" s="13" t="s">
        <v>5</v>
      </c>
      <c r="D1" s="13" t="s">
        <v>685</v>
      </c>
      <c r="O1" s="42" t="s">
        <v>0</v>
      </c>
      <c r="P1" s="43" t="s">
        <v>4</v>
      </c>
      <c r="Q1" s="43" t="s">
        <v>5</v>
      </c>
      <c r="R1" s="44" t="s">
        <v>685</v>
      </c>
    </row>
    <row r="2" spans="1:18" x14ac:dyDescent="0.25">
      <c r="A2" s="14" t="s">
        <v>14</v>
      </c>
      <c r="B2" s="14" t="s">
        <v>17</v>
      </c>
      <c r="C2" s="14" t="s">
        <v>18</v>
      </c>
      <c r="D2" s="15">
        <v>0.32147772546178921</v>
      </c>
      <c r="O2" s="45" t="s">
        <v>14</v>
      </c>
      <c r="P2" s="46" t="s">
        <v>17</v>
      </c>
      <c r="Q2" s="46" t="s">
        <v>18</v>
      </c>
      <c r="R2" s="49">
        <v>0.32147772546178921</v>
      </c>
    </row>
    <row r="3" spans="1:18" ht="15.75" thickBot="1" x14ac:dyDescent="0.3">
      <c r="A3" s="14" t="s">
        <v>22</v>
      </c>
      <c r="B3" s="14" t="s">
        <v>25</v>
      </c>
      <c r="C3" s="14" t="s">
        <v>18</v>
      </c>
      <c r="D3" s="15">
        <v>0.38164977908967918</v>
      </c>
      <c r="O3" s="45" t="s">
        <v>22</v>
      </c>
      <c r="P3" s="46" t="s">
        <v>25</v>
      </c>
      <c r="Q3" s="46" t="s">
        <v>18</v>
      </c>
      <c r="R3" s="49">
        <v>0.38164977908967918</v>
      </c>
    </row>
    <row r="4" spans="1:18" x14ac:dyDescent="0.25">
      <c r="A4" s="14" t="s">
        <v>29</v>
      </c>
      <c r="B4" s="14" t="s">
        <v>25</v>
      </c>
      <c r="C4" s="14" t="s">
        <v>18</v>
      </c>
      <c r="D4" s="15">
        <v>0.2916081460674157</v>
      </c>
      <c r="F4" s="135"/>
      <c r="G4" s="136"/>
      <c r="H4" s="136"/>
      <c r="I4" s="136"/>
      <c r="J4" s="136"/>
      <c r="K4" s="136"/>
      <c r="L4" s="136"/>
      <c r="M4" s="137"/>
      <c r="O4" s="45" t="s">
        <v>29</v>
      </c>
      <c r="P4" s="46" t="s">
        <v>25</v>
      </c>
      <c r="Q4" s="46" t="s">
        <v>18</v>
      </c>
      <c r="R4" s="49">
        <v>0.2916081460674157</v>
      </c>
    </row>
    <row r="5" spans="1:18" x14ac:dyDescent="0.25">
      <c r="A5" s="14" t="s">
        <v>33</v>
      </c>
      <c r="B5" s="14" t="s">
        <v>36</v>
      </c>
      <c r="C5" s="14" t="s">
        <v>37</v>
      </c>
      <c r="D5" s="15">
        <v>0.39853915306363852</v>
      </c>
      <c r="F5" s="89"/>
      <c r="G5" s="16"/>
      <c r="H5" s="16"/>
      <c r="I5" s="16"/>
      <c r="J5" s="16"/>
      <c r="K5" s="16"/>
      <c r="L5" s="16"/>
      <c r="M5" s="90"/>
      <c r="O5" s="45" t="s">
        <v>33</v>
      </c>
      <c r="P5" s="46" t="s">
        <v>36</v>
      </c>
      <c r="Q5" s="46" t="s">
        <v>37</v>
      </c>
      <c r="R5" s="49">
        <v>0.39853915306363852</v>
      </c>
    </row>
    <row r="6" spans="1:18" ht="15.6" customHeight="1" x14ac:dyDescent="0.25">
      <c r="A6" s="14" t="s">
        <v>40</v>
      </c>
      <c r="B6" s="14" t="s">
        <v>43</v>
      </c>
      <c r="C6" s="14" t="s">
        <v>44</v>
      </c>
      <c r="D6" s="15">
        <v>0.36609616397844896</v>
      </c>
      <c r="F6" s="138" t="s">
        <v>1084</v>
      </c>
      <c r="G6" s="134"/>
      <c r="H6" s="134"/>
      <c r="I6" s="134"/>
      <c r="J6" s="134"/>
      <c r="K6" s="134"/>
      <c r="L6" s="134"/>
      <c r="M6" s="139"/>
      <c r="O6" s="45" t="s">
        <v>40</v>
      </c>
      <c r="P6" s="46" t="s">
        <v>43</v>
      </c>
      <c r="Q6" s="46" t="s">
        <v>44</v>
      </c>
      <c r="R6" s="49">
        <v>0.36609616397844896</v>
      </c>
    </row>
    <row r="7" spans="1:18" ht="15.6" customHeight="1" thickBot="1" x14ac:dyDescent="0.3">
      <c r="A7" s="14" t="s">
        <v>45</v>
      </c>
      <c r="B7" s="14" t="s">
        <v>48</v>
      </c>
      <c r="C7" s="14" t="s">
        <v>37</v>
      </c>
      <c r="D7" s="15">
        <v>0.2418919663014151</v>
      </c>
      <c r="F7" s="140"/>
      <c r="G7" s="141"/>
      <c r="H7" s="141"/>
      <c r="I7" s="141"/>
      <c r="J7" s="141"/>
      <c r="K7" s="158" t="s">
        <v>1082</v>
      </c>
      <c r="L7" s="158"/>
      <c r="M7" s="159"/>
      <c r="O7" s="45" t="s">
        <v>45</v>
      </c>
      <c r="P7" s="46" t="s">
        <v>48</v>
      </c>
      <c r="Q7" s="46" t="s">
        <v>37</v>
      </c>
      <c r="R7" s="49">
        <v>0.2418919663014151</v>
      </c>
    </row>
    <row r="8" spans="1:18" ht="14.45" customHeight="1" x14ac:dyDescent="0.25">
      <c r="A8" s="14" t="s">
        <v>49</v>
      </c>
      <c r="B8" s="14" t="s">
        <v>51</v>
      </c>
      <c r="C8" s="14" t="s">
        <v>52</v>
      </c>
      <c r="D8" s="15">
        <v>0.21235194585448391</v>
      </c>
      <c r="F8" s="134"/>
      <c r="G8" s="134"/>
      <c r="H8" s="134"/>
      <c r="I8" s="134"/>
      <c r="J8" s="134"/>
      <c r="K8" s="134"/>
      <c r="L8" s="134"/>
      <c r="M8" s="134"/>
      <c r="O8" s="45" t="s">
        <v>49</v>
      </c>
      <c r="P8" s="46" t="s">
        <v>51</v>
      </c>
      <c r="Q8" s="46" t="s">
        <v>52</v>
      </c>
      <c r="R8" s="49">
        <v>0.21235194585448391</v>
      </c>
    </row>
    <row r="9" spans="1:18" ht="14.45" customHeight="1" x14ac:dyDescent="0.25">
      <c r="A9" s="14" t="s">
        <v>53</v>
      </c>
      <c r="B9" s="14" t="s">
        <v>56</v>
      </c>
      <c r="C9" s="14" t="s">
        <v>57</v>
      </c>
      <c r="D9" s="15">
        <v>0.15562636646973996</v>
      </c>
      <c r="F9" s="134"/>
      <c r="G9" s="134"/>
      <c r="H9" s="134"/>
      <c r="I9" s="134"/>
      <c r="J9" s="134"/>
      <c r="K9" s="134"/>
      <c r="L9" s="134"/>
      <c r="M9" s="134"/>
      <c r="O9" s="45" t="s">
        <v>53</v>
      </c>
      <c r="P9" s="46" t="s">
        <v>56</v>
      </c>
      <c r="Q9" s="46" t="s">
        <v>57</v>
      </c>
      <c r="R9" s="49">
        <v>0.15562636646973996</v>
      </c>
    </row>
    <row r="10" spans="1:18" ht="15.75" thickBot="1" x14ac:dyDescent="0.3">
      <c r="A10" s="14" t="s">
        <v>59</v>
      </c>
      <c r="B10" s="14" t="s">
        <v>60</v>
      </c>
      <c r="C10" s="14" t="s">
        <v>52</v>
      </c>
      <c r="D10" s="15">
        <v>0.31327113530245465</v>
      </c>
      <c r="F10" s="134"/>
      <c r="G10" s="134"/>
      <c r="H10" s="134"/>
      <c r="I10" s="134"/>
      <c r="J10" s="134"/>
      <c r="K10" s="134"/>
      <c r="L10" s="134"/>
      <c r="M10" s="134"/>
      <c r="O10" s="45" t="s">
        <v>59</v>
      </c>
      <c r="P10" s="46" t="s">
        <v>60</v>
      </c>
      <c r="Q10" s="46" t="s">
        <v>52</v>
      </c>
      <c r="R10" s="49">
        <v>0.31327113530245465</v>
      </c>
    </row>
    <row r="11" spans="1:18" ht="15.75" x14ac:dyDescent="0.25">
      <c r="A11" s="14" t="s">
        <v>61</v>
      </c>
      <c r="B11" s="14" t="s">
        <v>63</v>
      </c>
      <c r="C11" s="14" t="s">
        <v>37</v>
      </c>
      <c r="D11" s="15">
        <v>0.27186512118018963</v>
      </c>
      <c r="F11" s="169" t="s">
        <v>1055</v>
      </c>
      <c r="G11" s="170"/>
      <c r="H11" s="170"/>
      <c r="I11" s="170"/>
      <c r="J11" s="170"/>
      <c r="K11" s="170"/>
      <c r="L11" s="170"/>
      <c r="M11" s="171"/>
      <c r="O11" s="45" t="s">
        <v>61</v>
      </c>
      <c r="P11" s="46" t="s">
        <v>63</v>
      </c>
      <c r="Q11" s="46" t="s">
        <v>37</v>
      </c>
      <c r="R11" s="49">
        <v>0.27186512118018963</v>
      </c>
    </row>
    <row r="12" spans="1:18" x14ac:dyDescent="0.25">
      <c r="A12" s="14" t="s">
        <v>64</v>
      </c>
      <c r="B12" s="14" t="s">
        <v>17</v>
      </c>
      <c r="C12" s="14" t="s">
        <v>18</v>
      </c>
      <c r="D12" s="15">
        <v>0.36508579702627936</v>
      </c>
      <c r="F12" s="160" t="s">
        <v>1074</v>
      </c>
      <c r="G12" s="161"/>
      <c r="H12" s="161"/>
      <c r="I12" s="161"/>
      <c r="J12" s="161"/>
      <c r="K12" s="161"/>
      <c r="L12" s="161"/>
      <c r="M12" s="162"/>
      <c r="O12" s="45" t="s">
        <v>64</v>
      </c>
      <c r="P12" s="46" t="s">
        <v>17</v>
      </c>
      <c r="Q12" s="46" t="s">
        <v>18</v>
      </c>
      <c r="R12" s="49">
        <v>0.36508579702627936</v>
      </c>
    </row>
    <row r="13" spans="1:18" x14ac:dyDescent="0.25">
      <c r="A13" s="14" t="s">
        <v>66</v>
      </c>
      <c r="B13" s="14" t="s">
        <v>43</v>
      </c>
      <c r="C13" s="14" t="s">
        <v>44</v>
      </c>
      <c r="D13" s="15">
        <v>0.27066426366360735</v>
      </c>
      <c r="F13" s="160" t="s">
        <v>1075</v>
      </c>
      <c r="G13" s="161"/>
      <c r="H13" s="161"/>
      <c r="I13" s="161"/>
      <c r="J13" s="161"/>
      <c r="K13" s="161"/>
      <c r="L13" s="161"/>
      <c r="M13" s="162"/>
      <c r="O13" s="45" t="s">
        <v>66</v>
      </c>
      <c r="P13" s="46" t="s">
        <v>43</v>
      </c>
      <c r="Q13" s="46" t="s">
        <v>44</v>
      </c>
      <c r="R13" s="49">
        <v>0.27066426366360735</v>
      </c>
    </row>
    <row r="14" spans="1:18" x14ac:dyDescent="0.25">
      <c r="A14" s="14" t="s">
        <v>68</v>
      </c>
      <c r="B14" s="14" t="s">
        <v>17</v>
      </c>
      <c r="C14" s="14" t="s">
        <v>18</v>
      </c>
      <c r="D14" s="15">
        <v>0.3277386458350357</v>
      </c>
      <c r="F14" s="163" t="s">
        <v>1083</v>
      </c>
      <c r="G14" s="164"/>
      <c r="H14" s="164"/>
      <c r="I14" s="164"/>
      <c r="J14" s="164"/>
      <c r="K14" s="164"/>
      <c r="L14" s="164"/>
      <c r="M14" s="165"/>
      <c r="O14" s="45" t="s">
        <v>68</v>
      </c>
      <c r="P14" s="46" t="s">
        <v>17</v>
      </c>
      <c r="Q14" s="46" t="s">
        <v>18</v>
      </c>
      <c r="R14" s="49">
        <v>0.3277386458350357</v>
      </c>
    </row>
    <row r="15" spans="1:18" x14ac:dyDescent="0.25">
      <c r="A15" s="14" t="s">
        <v>70</v>
      </c>
      <c r="B15" s="14" t="s">
        <v>56</v>
      </c>
      <c r="C15" s="14" t="s">
        <v>57</v>
      </c>
      <c r="D15" s="15">
        <v>0.4030207134637514</v>
      </c>
      <c r="F15" s="160" t="s">
        <v>1076</v>
      </c>
      <c r="G15" s="161"/>
      <c r="H15" s="161"/>
      <c r="I15" s="161"/>
      <c r="J15" s="161"/>
      <c r="K15" s="161"/>
      <c r="L15" s="161"/>
      <c r="M15" s="162"/>
      <c r="O15" s="45" t="s">
        <v>70</v>
      </c>
      <c r="P15" s="46" t="s">
        <v>56</v>
      </c>
      <c r="Q15" s="46" t="s">
        <v>57</v>
      </c>
      <c r="R15" s="49">
        <v>0.4030207134637514</v>
      </c>
    </row>
    <row r="16" spans="1:18" x14ac:dyDescent="0.25">
      <c r="A16" s="14" t="s">
        <v>72</v>
      </c>
      <c r="B16" s="14" t="s">
        <v>56</v>
      </c>
      <c r="C16" s="14" t="s">
        <v>57</v>
      </c>
      <c r="D16" s="15">
        <v>0.38112873273709152</v>
      </c>
      <c r="F16" s="160" t="s">
        <v>1053</v>
      </c>
      <c r="G16" s="161"/>
      <c r="H16" s="161"/>
      <c r="I16" s="161"/>
      <c r="J16" s="161"/>
      <c r="K16" s="161"/>
      <c r="L16" s="161"/>
      <c r="M16" s="162"/>
      <c r="O16" s="45" t="s">
        <v>72</v>
      </c>
      <c r="P16" s="46" t="s">
        <v>56</v>
      </c>
      <c r="Q16" s="46" t="s">
        <v>57</v>
      </c>
      <c r="R16" s="49">
        <v>0.38112873273709152</v>
      </c>
    </row>
    <row r="17" spans="1:18" x14ac:dyDescent="0.25">
      <c r="A17" s="14" t="s">
        <v>75</v>
      </c>
      <c r="B17" s="14" t="s">
        <v>48</v>
      </c>
      <c r="C17" s="14" t="s">
        <v>37</v>
      </c>
      <c r="D17" s="15">
        <v>0.17054416403785488</v>
      </c>
      <c r="F17" s="160" t="s">
        <v>1077</v>
      </c>
      <c r="G17" s="161"/>
      <c r="H17" s="161"/>
      <c r="I17" s="161"/>
      <c r="J17" s="161"/>
      <c r="K17" s="161"/>
      <c r="L17" s="161"/>
      <c r="M17" s="162"/>
      <c r="O17" s="45" t="s">
        <v>75</v>
      </c>
      <c r="P17" s="46" t="s">
        <v>48</v>
      </c>
      <c r="Q17" s="46" t="s">
        <v>37</v>
      </c>
      <c r="R17" s="49">
        <v>0.17054416403785488</v>
      </c>
    </row>
    <row r="18" spans="1:18" x14ac:dyDescent="0.25">
      <c r="A18" s="14" t="s">
        <v>78</v>
      </c>
      <c r="B18" s="14" t="s">
        <v>25</v>
      </c>
      <c r="C18" s="14" t="s">
        <v>18</v>
      </c>
      <c r="D18" s="15">
        <v>0.33051352399955664</v>
      </c>
      <c r="F18" s="160" t="s">
        <v>1078</v>
      </c>
      <c r="G18" s="161"/>
      <c r="H18" s="161"/>
      <c r="I18" s="161"/>
      <c r="J18" s="161"/>
      <c r="K18" s="161"/>
      <c r="L18" s="161"/>
      <c r="M18" s="162"/>
      <c r="O18" s="45" t="s">
        <v>78</v>
      </c>
      <c r="P18" s="46" t="s">
        <v>25</v>
      </c>
      <c r="Q18" s="46" t="s">
        <v>18</v>
      </c>
      <c r="R18" s="49">
        <v>0.33051352399955664</v>
      </c>
    </row>
    <row r="19" spans="1:18" x14ac:dyDescent="0.25">
      <c r="A19" s="14" t="s">
        <v>79</v>
      </c>
      <c r="B19" s="14" t="s">
        <v>48</v>
      </c>
      <c r="C19" s="14" t="s">
        <v>37</v>
      </c>
      <c r="D19" s="15">
        <v>0.30344005802507512</v>
      </c>
      <c r="F19" s="160" t="s">
        <v>1054</v>
      </c>
      <c r="G19" s="161"/>
      <c r="H19" s="161"/>
      <c r="I19" s="161"/>
      <c r="J19" s="161"/>
      <c r="K19" s="161"/>
      <c r="L19" s="161"/>
      <c r="M19" s="162"/>
      <c r="O19" s="45" t="s">
        <v>79</v>
      </c>
      <c r="P19" s="46" t="s">
        <v>48</v>
      </c>
      <c r="Q19" s="46" t="s">
        <v>37</v>
      </c>
      <c r="R19" s="49">
        <v>0.30344005802507512</v>
      </c>
    </row>
    <row r="20" spans="1:18" x14ac:dyDescent="0.25">
      <c r="A20" s="14" t="s">
        <v>80</v>
      </c>
      <c r="B20" s="14" t="s">
        <v>25</v>
      </c>
      <c r="C20" s="14" t="s">
        <v>18</v>
      </c>
      <c r="D20" s="15">
        <v>0.21920553527844333</v>
      </c>
      <c r="F20" s="163" t="s">
        <v>1079</v>
      </c>
      <c r="G20" s="164"/>
      <c r="H20" s="164"/>
      <c r="I20" s="164"/>
      <c r="J20" s="164"/>
      <c r="K20" s="164"/>
      <c r="L20" s="164"/>
      <c r="M20" s="165"/>
      <c r="O20" s="45" t="s">
        <v>80</v>
      </c>
      <c r="P20" s="46" t="s">
        <v>25</v>
      </c>
      <c r="Q20" s="46" t="s">
        <v>18</v>
      </c>
      <c r="R20" s="49">
        <v>0.21920553527844333</v>
      </c>
    </row>
    <row r="21" spans="1:18" x14ac:dyDescent="0.25">
      <c r="A21" s="14" t="s">
        <v>82</v>
      </c>
      <c r="B21" s="14" t="s">
        <v>83</v>
      </c>
      <c r="C21" s="14" t="s">
        <v>52</v>
      </c>
      <c r="D21" s="15">
        <v>0.21030519867729172</v>
      </c>
      <c r="F21" s="160" t="s">
        <v>1080</v>
      </c>
      <c r="G21" s="161"/>
      <c r="H21" s="161"/>
      <c r="I21" s="161"/>
      <c r="J21" s="161"/>
      <c r="K21" s="161"/>
      <c r="L21" s="161"/>
      <c r="M21" s="162"/>
      <c r="O21" s="45" t="s">
        <v>82</v>
      </c>
      <c r="P21" s="46" t="s">
        <v>83</v>
      </c>
      <c r="Q21" s="46" t="s">
        <v>52</v>
      </c>
      <c r="R21" s="49">
        <v>0.21030519867729172</v>
      </c>
    </row>
    <row r="22" spans="1:18" ht="15.75" thickBot="1" x14ac:dyDescent="0.3">
      <c r="A22" s="14" t="s">
        <v>84</v>
      </c>
      <c r="B22" s="14" t="s">
        <v>43</v>
      </c>
      <c r="C22" s="14" t="s">
        <v>44</v>
      </c>
      <c r="D22" s="15">
        <v>0.37671465270709126</v>
      </c>
      <c r="F22" s="166" t="s">
        <v>1081</v>
      </c>
      <c r="G22" s="167"/>
      <c r="H22" s="167"/>
      <c r="I22" s="167"/>
      <c r="J22" s="167"/>
      <c r="K22" s="167"/>
      <c r="L22" s="167"/>
      <c r="M22" s="168"/>
      <c r="O22" s="45" t="s">
        <v>84</v>
      </c>
      <c r="P22" s="46" t="s">
        <v>43</v>
      </c>
      <c r="Q22" s="46" t="s">
        <v>44</v>
      </c>
      <c r="R22" s="49">
        <v>0.37671465270709126</v>
      </c>
    </row>
    <row r="23" spans="1:18" ht="14.45" customHeight="1" x14ac:dyDescent="0.25">
      <c r="A23" s="14" t="s">
        <v>88</v>
      </c>
      <c r="B23" s="14" t="s">
        <v>63</v>
      </c>
      <c r="C23" s="14" t="s">
        <v>37</v>
      </c>
      <c r="D23" s="15">
        <v>0.2634234234234234</v>
      </c>
      <c r="F23" s="149" t="s">
        <v>1085</v>
      </c>
      <c r="G23" s="150"/>
      <c r="H23" s="150"/>
      <c r="I23" s="150"/>
      <c r="J23" s="150"/>
      <c r="K23" s="150"/>
      <c r="L23" s="150"/>
      <c r="M23" s="151"/>
      <c r="O23" s="45" t="s">
        <v>88</v>
      </c>
      <c r="P23" s="46" t="s">
        <v>63</v>
      </c>
      <c r="Q23" s="46" t="s">
        <v>37</v>
      </c>
      <c r="R23" s="49">
        <v>0.2634234234234234</v>
      </c>
    </row>
    <row r="24" spans="1:18" x14ac:dyDescent="0.25">
      <c r="A24" s="14" t="s">
        <v>90</v>
      </c>
      <c r="B24" s="14" t="s">
        <v>51</v>
      </c>
      <c r="C24" s="14" t="s">
        <v>52</v>
      </c>
      <c r="D24" s="15">
        <v>0.17172065963502431</v>
      </c>
      <c r="F24" s="152"/>
      <c r="G24" s="153"/>
      <c r="H24" s="153"/>
      <c r="I24" s="153"/>
      <c r="J24" s="153"/>
      <c r="K24" s="153"/>
      <c r="L24" s="153"/>
      <c r="M24" s="154"/>
      <c r="O24" s="45" t="s">
        <v>90</v>
      </c>
      <c r="P24" s="46" t="s">
        <v>51</v>
      </c>
      <c r="Q24" s="46" t="s">
        <v>52</v>
      </c>
      <c r="R24" s="49">
        <v>0.17172065963502431</v>
      </c>
    </row>
    <row r="25" spans="1:18" x14ac:dyDescent="0.25">
      <c r="A25" s="14" t="s">
        <v>92</v>
      </c>
      <c r="B25" s="14" t="s">
        <v>51</v>
      </c>
      <c r="C25" s="14" t="s">
        <v>52</v>
      </c>
      <c r="D25" s="15">
        <v>0.2887474438569666</v>
      </c>
      <c r="F25" s="152"/>
      <c r="G25" s="153"/>
      <c r="H25" s="153"/>
      <c r="I25" s="153"/>
      <c r="J25" s="153"/>
      <c r="K25" s="153"/>
      <c r="L25" s="153"/>
      <c r="M25" s="154"/>
      <c r="O25" s="45" t="s">
        <v>92</v>
      </c>
      <c r="P25" s="46" t="s">
        <v>51</v>
      </c>
      <c r="Q25" s="46" t="s">
        <v>52</v>
      </c>
      <c r="R25" s="49">
        <v>0.2887474438569666</v>
      </c>
    </row>
    <row r="26" spans="1:18" x14ac:dyDescent="0.25">
      <c r="A26" s="14" t="s">
        <v>94</v>
      </c>
      <c r="B26" s="14" t="s">
        <v>48</v>
      </c>
      <c r="C26" s="14" t="s">
        <v>37</v>
      </c>
      <c r="D26" s="15">
        <v>0.29493823249920809</v>
      </c>
      <c r="F26" s="152"/>
      <c r="G26" s="153"/>
      <c r="H26" s="153"/>
      <c r="I26" s="153"/>
      <c r="J26" s="153"/>
      <c r="K26" s="153"/>
      <c r="L26" s="153"/>
      <c r="M26" s="154"/>
      <c r="O26" s="45" t="s">
        <v>94</v>
      </c>
      <c r="P26" s="46" t="s">
        <v>48</v>
      </c>
      <c r="Q26" s="46" t="s">
        <v>37</v>
      </c>
      <c r="R26" s="49">
        <v>0.29493823249920809</v>
      </c>
    </row>
    <row r="27" spans="1:18" ht="15.6" customHeight="1" x14ac:dyDescent="0.25">
      <c r="A27" s="14" t="s">
        <v>96</v>
      </c>
      <c r="B27" s="14" t="s">
        <v>60</v>
      </c>
      <c r="C27" s="14" t="s">
        <v>52</v>
      </c>
      <c r="D27" s="15">
        <v>0.39829077864528378</v>
      </c>
      <c r="F27" s="152"/>
      <c r="G27" s="153"/>
      <c r="H27" s="153"/>
      <c r="I27" s="153"/>
      <c r="J27" s="153"/>
      <c r="K27" s="153"/>
      <c r="L27" s="153"/>
      <c r="M27" s="154"/>
      <c r="O27" s="45" t="s">
        <v>96</v>
      </c>
      <c r="P27" s="46" t="s">
        <v>60</v>
      </c>
      <c r="Q27" s="46" t="s">
        <v>52</v>
      </c>
      <c r="R27" s="49">
        <v>0.39829077864528378</v>
      </c>
    </row>
    <row r="28" spans="1:18" x14ac:dyDescent="0.25">
      <c r="A28" s="14" t="s">
        <v>98</v>
      </c>
      <c r="B28" s="14" t="s">
        <v>83</v>
      </c>
      <c r="C28" s="14" t="s">
        <v>52</v>
      </c>
      <c r="D28" s="15">
        <v>0.16098963324331386</v>
      </c>
      <c r="F28" s="152"/>
      <c r="G28" s="153"/>
      <c r="H28" s="153"/>
      <c r="I28" s="153"/>
      <c r="J28" s="153"/>
      <c r="K28" s="153"/>
      <c r="L28" s="153"/>
      <c r="M28" s="154"/>
      <c r="O28" s="45" t="s">
        <v>98</v>
      </c>
      <c r="P28" s="46" t="s">
        <v>83</v>
      </c>
      <c r="Q28" s="46" t="s">
        <v>52</v>
      </c>
      <c r="R28" s="49">
        <v>0.16098963324331386</v>
      </c>
    </row>
    <row r="29" spans="1:18" x14ac:dyDescent="0.25">
      <c r="A29" s="14" t="s">
        <v>99</v>
      </c>
      <c r="B29" s="14" t="s">
        <v>51</v>
      </c>
      <c r="C29" s="14" t="s">
        <v>52</v>
      </c>
      <c r="D29" s="15">
        <v>0.39826730591302884</v>
      </c>
      <c r="F29" s="152"/>
      <c r="G29" s="153"/>
      <c r="H29" s="153"/>
      <c r="I29" s="153"/>
      <c r="J29" s="153"/>
      <c r="K29" s="153"/>
      <c r="L29" s="153"/>
      <c r="M29" s="154"/>
      <c r="O29" s="45" t="s">
        <v>99</v>
      </c>
      <c r="P29" s="46" t="s">
        <v>51</v>
      </c>
      <c r="Q29" s="46" t="s">
        <v>52</v>
      </c>
      <c r="R29" s="49">
        <v>0.39826730591302884</v>
      </c>
    </row>
    <row r="30" spans="1:18" x14ac:dyDescent="0.25">
      <c r="A30" s="14" t="s">
        <v>101</v>
      </c>
      <c r="B30" s="14" t="s">
        <v>43</v>
      </c>
      <c r="C30" s="14" t="s">
        <v>44</v>
      </c>
      <c r="D30" s="15">
        <v>0.35395142949967512</v>
      </c>
      <c r="F30" s="152"/>
      <c r="G30" s="153"/>
      <c r="H30" s="153"/>
      <c r="I30" s="153"/>
      <c r="J30" s="153"/>
      <c r="K30" s="153"/>
      <c r="L30" s="153"/>
      <c r="M30" s="154"/>
      <c r="O30" s="45" t="s">
        <v>101</v>
      </c>
      <c r="P30" s="46" t="s">
        <v>43</v>
      </c>
      <c r="Q30" s="46" t="s">
        <v>44</v>
      </c>
      <c r="R30" s="49">
        <v>0.35395142949967512</v>
      </c>
    </row>
    <row r="31" spans="1:18" ht="15.75" thickBot="1" x14ac:dyDescent="0.3">
      <c r="A31" s="14" t="s">
        <v>103</v>
      </c>
      <c r="B31" s="14" t="s">
        <v>56</v>
      </c>
      <c r="C31" s="14" t="s">
        <v>57</v>
      </c>
      <c r="D31" s="15">
        <v>0.38172521120498004</v>
      </c>
      <c r="F31" s="155"/>
      <c r="G31" s="156"/>
      <c r="H31" s="156"/>
      <c r="I31" s="156"/>
      <c r="J31" s="156"/>
      <c r="K31" s="156"/>
      <c r="L31" s="156"/>
      <c r="M31" s="157"/>
      <c r="O31" s="45" t="s">
        <v>103</v>
      </c>
      <c r="P31" s="46" t="s">
        <v>56</v>
      </c>
      <c r="Q31" s="46" t="s">
        <v>57</v>
      </c>
      <c r="R31" s="49">
        <v>0.38172521120498004</v>
      </c>
    </row>
    <row r="32" spans="1:18" x14ac:dyDescent="0.25">
      <c r="A32" s="14" t="s">
        <v>104</v>
      </c>
      <c r="B32" s="14" t="s">
        <v>83</v>
      </c>
      <c r="C32" s="14" t="s">
        <v>52</v>
      </c>
      <c r="D32" s="15">
        <v>0.22239886945769299</v>
      </c>
      <c r="F32" s="55"/>
      <c r="G32" s="55"/>
      <c r="H32" s="55"/>
      <c r="I32" s="55"/>
      <c r="J32" s="54"/>
      <c r="K32" s="16"/>
      <c r="L32" s="16"/>
      <c r="O32" s="45" t="s">
        <v>104</v>
      </c>
      <c r="P32" s="46" t="s">
        <v>83</v>
      </c>
      <c r="Q32" s="46" t="s">
        <v>52</v>
      </c>
      <c r="R32" s="49">
        <v>0.22239886945769299</v>
      </c>
    </row>
    <row r="33" spans="1:18" x14ac:dyDescent="0.25">
      <c r="A33" s="14" t="s">
        <v>107</v>
      </c>
      <c r="B33" s="14" t="s">
        <v>56</v>
      </c>
      <c r="C33" s="14" t="s">
        <v>57</v>
      </c>
      <c r="D33" s="15">
        <v>0.32885259631490787</v>
      </c>
      <c r="F33" s="55"/>
      <c r="G33" s="55"/>
      <c r="H33" s="55"/>
      <c r="I33" s="55"/>
      <c r="J33" s="54"/>
      <c r="K33" s="16"/>
      <c r="L33" s="16"/>
      <c r="O33" s="45" t="s">
        <v>107</v>
      </c>
      <c r="P33" s="46" t="s">
        <v>56</v>
      </c>
      <c r="Q33" s="46" t="s">
        <v>57</v>
      </c>
      <c r="R33" s="49">
        <v>0.32885259631490787</v>
      </c>
    </row>
    <row r="34" spans="1:18" x14ac:dyDescent="0.25">
      <c r="A34" s="14" t="s">
        <v>109</v>
      </c>
      <c r="B34" s="14" t="s">
        <v>36</v>
      </c>
      <c r="C34" s="14" t="s">
        <v>37</v>
      </c>
      <c r="D34" s="15">
        <v>0.20888272033310201</v>
      </c>
      <c r="F34" s="55"/>
      <c r="G34" s="55"/>
      <c r="H34" s="55"/>
      <c r="I34" s="55"/>
      <c r="J34" s="54"/>
      <c r="K34" s="16"/>
      <c r="L34" s="16"/>
      <c r="O34" s="45" t="s">
        <v>109</v>
      </c>
      <c r="P34" s="46" t="s">
        <v>36</v>
      </c>
      <c r="Q34" s="46" t="s">
        <v>37</v>
      </c>
      <c r="R34" s="49">
        <v>0.20888272033310201</v>
      </c>
    </row>
    <row r="35" spans="1:18" x14ac:dyDescent="0.25">
      <c r="A35" s="14" t="s">
        <v>111</v>
      </c>
      <c r="B35" s="14" t="s">
        <v>43</v>
      </c>
      <c r="C35" s="14" t="s">
        <v>44</v>
      </c>
      <c r="D35" s="15">
        <v>0.32508999982266046</v>
      </c>
      <c r="O35" s="45" t="s">
        <v>111</v>
      </c>
      <c r="P35" s="46" t="s">
        <v>43</v>
      </c>
      <c r="Q35" s="46" t="s">
        <v>44</v>
      </c>
      <c r="R35" s="49">
        <v>0.32508999982266046</v>
      </c>
    </row>
    <row r="36" spans="1:18" x14ac:dyDescent="0.25">
      <c r="A36" s="14" t="s">
        <v>112</v>
      </c>
      <c r="B36" s="14" t="s">
        <v>56</v>
      </c>
      <c r="C36" s="14" t="s">
        <v>57</v>
      </c>
      <c r="D36" s="15">
        <v>0.21324180690876884</v>
      </c>
      <c r="O36" s="45" t="s">
        <v>112</v>
      </c>
      <c r="P36" s="46" t="s">
        <v>56</v>
      </c>
      <c r="Q36" s="46" t="s">
        <v>57</v>
      </c>
      <c r="R36" s="49">
        <v>0.21324180690876884</v>
      </c>
    </row>
    <row r="37" spans="1:18" x14ac:dyDescent="0.25">
      <c r="A37" s="14" t="s">
        <v>114</v>
      </c>
      <c r="B37" s="14" t="s">
        <v>43</v>
      </c>
      <c r="C37" s="14" t="s">
        <v>44</v>
      </c>
      <c r="D37" s="15">
        <v>0.35361175560711527</v>
      </c>
      <c r="O37" s="45" t="s">
        <v>114</v>
      </c>
      <c r="P37" s="46" t="s">
        <v>43</v>
      </c>
      <c r="Q37" s="46" t="s">
        <v>44</v>
      </c>
      <c r="R37" s="49">
        <v>0.35361175560711527</v>
      </c>
    </row>
    <row r="38" spans="1:18" x14ac:dyDescent="0.25">
      <c r="A38" s="14" t="s">
        <v>116</v>
      </c>
      <c r="B38" s="14" t="s">
        <v>51</v>
      </c>
      <c r="C38" s="14" t="s">
        <v>52</v>
      </c>
      <c r="D38" s="15">
        <v>0.17850699142986015</v>
      </c>
      <c r="O38" s="45" t="s">
        <v>116</v>
      </c>
      <c r="P38" s="46" t="s">
        <v>51</v>
      </c>
      <c r="Q38" s="46" t="s">
        <v>52</v>
      </c>
      <c r="R38" s="49">
        <v>0.17850699142986015</v>
      </c>
    </row>
    <row r="39" spans="1:18" x14ac:dyDescent="0.25">
      <c r="A39" s="14" t="s">
        <v>118</v>
      </c>
      <c r="B39" s="14" t="s">
        <v>56</v>
      </c>
      <c r="C39" s="14" t="s">
        <v>57</v>
      </c>
      <c r="D39" s="15">
        <v>0.23175904977375567</v>
      </c>
      <c r="O39" s="45" t="s">
        <v>118</v>
      </c>
      <c r="P39" s="46" t="s">
        <v>56</v>
      </c>
      <c r="Q39" s="46" t="s">
        <v>57</v>
      </c>
      <c r="R39" s="49">
        <v>0.23175904977375567</v>
      </c>
    </row>
    <row r="40" spans="1:18" x14ac:dyDescent="0.25">
      <c r="A40" s="14" t="s">
        <v>120</v>
      </c>
      <c r="B40" s="14" t="s">
        <v>48</v>
      </c>
      <c r="C40" s="14" t="s">
        <v>37</v>
      </c>
      <c r="D40" s="15">
        <v>0.28466854596708191</v>
      </c>
      <c r="O40" s="45" t="s">
        <v>120</v>
      </c>
      <c r="P40" s="46" t="s">
        <v>48</v>
      </c>
      <c r="Q40" s="46" t="s">
        <v>37</v>
      </c>
      <c r="R40" s="49">
        <v>0.28466854596708191</v>
      </c>
    </row>
    <row r="41" spans="1:18" x14ac:dyDescent="0.25">
      <c r="A41" s="14" t="s">
        <v>122</v>
      </c>
      <c r="B41" s="14" t="s">
        <v>17</v>
      </c>
      <c r="C41" s="14" t="s">
        <v>18</v>
      </c>
      <c r="D41" s="15">
        <v>0.3348434584283641</v>
      </c>
      <c r="O41" s="45" t="s">
        <v>122</v>
      </c>
      <c r="P41" s="46" t="s">
        <v>17</v>
      </c>
      <c r="Q41" s="46" t="s">
        <v>18</v>
      </c>
      <c r="R41" s="49">
        <v>0.3348434584283641</v>
      </c>
    </row>
    <row r="42" spans="1:18" x14ac:dyDescent="0.25">
      <c r="A42" s="14" t="s">
        <v>124</v>
      </c>
      <c r="B42" s="14" t="s">
        <v>51</v>
      </c>
      <c r="C42" s="14" t="s">
        <v>52</v>
      </c>
      <c r="D42" s="15">
        <v>0.31316383287580662</v>
      </c>
      <c r="O42" s="45" t="s">
        <v>124</v>
      </c>
      <c r="P42" s="46" t="s">
        <v>51</v>
      </c>
      <c r="Q42" s="46" t="s">
        <v>52</v>
      </c>
      <c r="R42" s="49">
        <v>0.31316383287580662</v>
      </c>
    </row>
    <row r="43" spans="1:18" x14ac:dyDescent="0.25">
      <c r="A43" s="14" t="s">
        <v>126</v>
      </c>
      <c r="B43" s="14" t="s">
        <v>51</v>
      </c>
      <c r="C43" s="14" t="s">
        <v>52</v>
      </c>
      <c r="D43" s="15">
        <v>0.33636481915170435</v>
      </c>
      <c r="O43" s="45" t="s">
        <v>126</v>
      </c>
      <c r="P43" s="46" t="s">
        <v>51</v>
      </c>
      <c r="Q43" s="46" t="s">
        <v>52</v>
      </c>
      <c r="R43" s="49">
        <v>0.33636481915170435</v>
      </c>
    </row>
    <row r="44" spans="1:18" x14ac:dyDescent="0.25">
      <c r="A44" s="14" t="s">
        <v>127</v>
      </c>
      <c r="B44" s="14" t="s">
        <v>56</v>
      </c>
      <c r="C44" s="14" t="s">
        <v>57</v>
      </c>
      <c r="D44" s="15">
        <v>0.26081997495691844</v>
      </c>
      <c r="O44" s="45" t="s">
        <v>127</v>
      </c>
      <c r="P44" s="46" t="s">
        <v>56</v>
      </c>
      <c r="Q44" s="46" t="s">
        <v>57</v>
      </c>
      <c r="R44" s="49">
        <v>0.26081997495691844</v>
      </c>
    </row>
    <row r="45" spans="1:18" x14ac:dyDescent="0.25">
      <c r="A45" s="14" t="s">
        <v>128</v>
      </c>
      <c r="B45" s="14" t="s">
        <v>43</v>
      </c>
      <c r="C45" s="14" t="s">
        <v>44</v>
      </c>
      <c r="D45" s="15">
        <v>0.37337625979843225</v>
      </c>
      <c r="O45" s="45" t="s">
        <v>128</v>
      </c>
      <c r="P45" s="46" t="s">
        <v>43</v>
      </c>
      <c r="Q45" s="46" t="s">
        <v>44</v>
      </c>
      <c r="R45" s="49">
        <v>0.37337625979843225</v>
      </c>
    </row>
    <row r="46" spans="1:18" x14ac:dyDescent="0.25">
      <c r="A46" s="14" t="s">
        <v>131</v>
      </c>
      <c r="B46" s="14" t="s">
        <v>25</v>
      </c>
      <c r="C46" s="14" t="s">
        <v>18</v>
      </c>
      <c r="D46" s="15">
        <v>0.26229279357878205</v>
      </c>
      <c r="O46" s="45" t="s">
        <v>131</v>
      </c>
      <c r="P46" s="46" t="s">
        <v>25</v>
      </c>
      <c r="Q46" s="46" t="s">
        <v>18</v>
      </c>
      <c r="R46" s="49">
        <v>0.26229279357878205</v>
      </c>
    </row>
    <row r="47" spans="1:18" x14ac:dyDescent="0.25">
      <c r="A47" s="14" t="s">
        <v>132</v>
      </c>
      <c r="B47" s="14" t="s">
        <v>60</v>
      </c>
      <c r="C47" s="14" t="s">
        <v>52</v>
      </c>
      <c r="D47" s="15">
        <v>0.35071974698814823</v>
      </c>
      <c r="O47" s="45" t="s">
        <v>132</v>
      </c>
      <c r="P47" s="46" t="s">
        <v>60</v>
      </c>
      <c r="Q47" s="46" t="s">
        <v>52</v>
      </c>
      <c r="R47" s="49">
        <v>0.35071974698814823</v>
      </c>
    </row>
    <row r="48" spans="1:18" x14ac:dyDescent="0.25">
      <c r="A48" s="14" t="s">
        <v>133</v>
      </c>
      <c r="B48" s="14" t="s">
        <v>83</v>
      </c>
      <c r="C48" s="14" t="s">
        <v>52</v>
      </c>
      <c r="D48" s="15">
        <v>0.30217086834733892</v>
      </c>
      <c r="O48" s="45" t="s">
        <v>133</v>
      </c>
      <c r="P48" s="46" t="s">
        <v>83</v>
      </c>
      <c r="Q48" s="46" t="s">
        <v>52</v>
      </c>
      <c r="R48" s="49">
        <v>0.30217086834733892</v>
      </c>
    </row>
    <row r="49" spans="1:18" x14ac:dyDescent="0.25">
      <c r="A49" s="14" t="s">
        <v>134</v>
      </c>
      <c r="B49" s="14" t="s">
        <v>25</v>
      </c>
      <c r="C49" s="14" t="s">
        <v>18</v>
      </c>
      <c r="D49" s="15">
        <v>0.39570519046077485</v>
      </c>
      <c r="O49" s="45" t="s">
        <v>134</v>
      </c>
      <c r="P49" s="46" t="s">
        <v>25</v>
      </c>
      <c r="Q49" s="46" t="s">
        <v>18</v>
      </c>
      <c r="R49" s="49">
        <v>0.39570519046077485</v>
      </c>
    </row>
    <row r="50" spans="1:18" x14ac:dyDescent="0.25">
      <c r="A50" s="14" t="s">
        <v>136</v>
      </c>
      <c r="B50" s="14" t="s">
        <v>17</v>
      </c>
      <c r="C50" s="14" t="s">
        <v>18</v>
      </c>
      <c r="D50" s="15">
        <v>0.25850210337903529</v>
      </c>
      <c r="O50" s="45" t="s">
        <v>136</v>
      </c>
      <c r="P50" s="46" t="s">
        <v>17</v>
      </c>
      <c r="Q50" s="46" t="s">
        <v>18</v>
      </c>
      <c r="R50" s="49">
        <v>0.25850210337903529</v>
      </c>
    </row>
    <row r="51" spans="1:18" x14ac:dyDescent="0.25">
      <c r="A51" s="14" t="s">
        <v>138</v>
      </c>
      <c r="B51" s="14" t="s">
        <v>83</v>
      </c>
      <c r="C51" s="14" t="s">
        <v>52</v>
      </c>
      <c r="D51" s="15">
        <v>0.25426257459505541</v>
      </c>
      <c r="O51" s="45" t="s">
        <v>138</v>
      </c>
      <c r="P51" s="46" t="s">
        <v>83</v>
      </c>
      <c r="Q51" s="46" t="s">
        <v>52</v>
      </c>
      <c r="R51" s="49">
        <v>0.25426257459505541</v>
      </c>
    </row>
    <row r="52" spans="1:18" x14ac:dyDescent="0.25">
      <c r="A52" s="14" t="s">
        <v>140</v>
      </c>
      <c r="B52" s="14" t="s">
        <v>25</v>
      </c>
      <c r="C52" s="14" t="s">
        <v>18</v>
      </c>
      <c r="D52" s="15">
        <v>0.23470053622599038</v>
      </c>
      <c r="O52" s="45" t="s">
        <v>140</v>
      </c>
      <c r="P52" s="46" t="s">
        <v>25</v>
      </c>
      <c r="Q52" s="46" t="s">
        <v>18</v>
      </c>
      <c r="R52" s="49">
        <v>0.23470053622599038</v>
      </c>
    </row>
    <row r="53" spans="1:18" x14ac:dyDescent="0.25">
      <c r="A53" s="14" t="s">
        <v>141</v>
      </c>
      <c r="B53" s="14" t="s">
        <v>83</v>
      </c>
      <c r="C53" s="14" t="s">
        <v>52</v>
      </c>
      <c r="D53" s="15">
        <v>0.27172024455474314</v>
      </c>
      <c r="O53" s="45" t="s">
        <v>141</v>
      </c>
      <c r="P53" s="46" t="s">
        <v>83</v>
      </c>
      <c r="Q53" s="46" t="s">
        <v>52</v>
      </c>
      <c r="R53" s="49">
        <v>0.27172024455474314</v>
      </c>
    </row>
    <row r="54" spans="1:18" x14ac:dyDescent="0.25">
      <c r="A54" s="14" t="s">
        <v>143</v>
      </c>
      <c r="B54" s="14" t="s">
        <v>43</v>
      </c>
      <c r="C54" s="14" t="s">
        <v>44</v>
      </c>
      <c r="D54" s="15">
        <v>0.2029219807197174</v>
      </c>
      <c r="O54" s="45" t="s">
        <v>143</v>
      </c>
      <c r="P54" s="46" t="s">
        <v>43</v>
      </c>
      <c r="Q54" s="46" t="s">
        <v>44</v>
      </c>
      <c r="R54" s="49">
        <v>0.2029219807197174</v>
      </c>
    </row>
    <row r="55" spans="1:18" x14ac:dyDescent="0.25">
      <c r="A55" s="14" t="s">
        <v>144</v>
      </c>
      <c r="B55" s="14" t="s">
        <v>43</v>
      </c>
      <c r="C55" s="14" t="s">
        <v>44</v>
      </c>
      <c r="D55" s="15">
        <v>0.15915296070593887</v>
      </c>
      <c r="O55" s="45" t="s">
        <v>144</v>
      </c>
      <c r="P55" s="46" t="s">
        <v>43</v>
      </c>
      <c r="Q55" s="46" t="s">
        <v>44</v>
      </c>
      <c r="R55" s="49">
        <v>0.15915296070593887</v>
      </c>
    </row>
    <row r="56" spans="1:18" x14ac:dyDescent="0.25">
      <c r="A56" s="14" t="s">
        <v>146</v>
      </c>
      <c r="B56" s="14" t="s">
        <v>60</v>
      </c>
      <c r="C56" s="14" t="s">
        <v>52</v>
      </c>
      <c r="D56" s="15">
        <v>0.38780096308186196</v>
      </c>
      <c r="O56" s="45" t="s">
        <v>146</v>
      </c>
      <c r="P56" s="46" t="s">
        <v>60</v>
      </c>
      <c r="Q56" s="46" t="s">
        <v>52</v>
      </c>
      <c r="R56" s="49">
        <v>0.38780096308186196</v>
      </c>
    </row>
    <row r="57" spans="1:18" x14ac:dyDescent="0.25">
      <c r="A57" s="14" t="s">
        <v>148</v>
      </c>
      <c r="B57" s="14" t="s">
        <v>25</v>
      </c>
      <c r="C57" s="14" t="s">
        <v>18</v>
      </c>
      <c r="D57" s="15">
        <v>0.30151502071823205</v>
      </c>
      <c r="O57" s="45" t="s">
        <v>148</v>
      </c>
      <c r="P57" s="46" t="s">
        <v>25</v>
      </c>
      <c r="Q57" s="46" t="s">
        <v>18</v>
      </c>
      <c r="R57" s="49">
        <v>0.30151502071823205</v>
      </c>
    </row>
    <row r="58" spans="1:18" x14ac:dyDescent="0.25">
      <c r="A58" s="14" t="s">
        <v>150</v>
      </c>
      <c r="B58" s="14" t="s">
        <v>25</v>
      </c>
      <c r="C58" s="14" t="s">
        <v>18</v>
      </c>
      <c r="D58" s="15">
        <v>0.1721066878539555</v>
      </c>
      <c r="O58" s="45" t="s">
        <v>150</v>
      </c>
      <c r="P58" s="46" t="s">
        <v>25</v>
      </c>
      <c r="Q58" s="46" t="s">
        <v>18</v>
      </c>
      <c r="R58" s="49">
        <v>0.1721066878539555</v>
      </c>
    </row>
    <row r="59" spans="1:18" x14ac:dyDescent="0.25">
      <c r="A59" s="14" t="s">
        <v>152</v>
      </c>
      <c r="B59" s="14" t="s">
        <v>17</v>
      </c>
      <c r="C59" s="14" t="s">
        <v>18</v>
      </c>
      <c r="D59" s="15">
        <v>0.22442090301374731</v>
      </c>
      <c r="O59" s="45" t="s">
        <v>152</v>
      </c>
      <c r="P59" s="46" t="s">
        <v>17</v>
      </c>
      <c r="Q59" s="46" t="s">
        <v>18</v>
      </c>
      <c r="R59" s="49">
        <v>0.22442090301374731</v>
      </c>
    </row>
    <row r="60" spans="1:18" x14ac:dyDescent="0.25">
      <c r="A60" s="14" t="s">
        <v>153</v>
      </c>
      <c r="B60" s="14" t="s">
        <v>56</v>
      </c>
      <c r="C60" s="14" t="s">
        <v>57</v>
      </c>
      <c r="D60" s="15">
        <v>0.17574220865540838</v>
      </c>
      <c r="O60" s="45" t="s">
        <v>153</v>
      </c>
      <c r="P60" s="46" t="s">
        <v>56</v>
      </c>
      <c r="Q60" s="46" t="s">
        <v>57</v>
      </c>
      <c r="R60" s="49">
        <v>0.17574220865540838</v>
      </c>
    </row>
    <row r="61" spans="1:18" x14ac:dyDescent="0.25">
      <c r="A61" s="14" t="s">
        <v>155</v>
      </c>
      <c r="B61" s="14" t="s">
        <v>36</v>
      </c>
      <c r="C61" s="14" t="s">
        <v>37</v>
      </c>
      <c r="D61" s="15">
        <v>0.32001228585079516</v>
      </c>
      <c r="O61" s="45" t="s">
        <v>155</v>
      </c>
      <c r="P61" s="46" t="s">
        <v>36</v>
      </c>
      <c r="Q61" s="46" t="s">
        <v>37</v>
      </c>
      <c r="R61" s="49">
        <v>0.32001228585079516</v>
      </c>
    </row>
    <row r="62" spans="1:18" x14ac:dyDescent="0.25">
      <c r="A62" s="14" t="s">
        <v>157</v>
      </c>
      <c r="B62" s="14" t="s">
        <v>43</v>
      </c>
      <c r="C62" s="14" t="s">
        <v>44</v>
      </c>
      <c r="D62" s="15">
        <v>0.3820328858233773</v>
      </c>
      <c r="O62" s="45" t="s">
        <v>157</v>
      </c>
      <c r="P62" s="46" t="s">
        <v>43</v>
      </c>
      <c r="Q62" s="46" t="s">
        <v>44</v>
      </c>
      <c r="R62" s="49">
        <v>0.3820328858233773</v>
      </c>
    </row>
    <row r="63" spans="1:18" x14ac:dyDescent="0.25">
      <c r="A63" s="14" t="s">
        <v>159</v>
      </c>
      <c r="B63" s="14" t="s">
        <v>43</v>
      </c>
      <c r="C63" s="14" t="s">
        <v>44</v>
      </c>
      <c r="D63" s="15">
        <v>0.18004747626186909</v>
      </c>
      <c r="O63" s="45" t="s">
        <v>159</v>
      </c>
      <c r="P63" s="46" t="s">
        <v>43</v>
      </c>
      <c r="Q63" s="46" t="s">
        <v>44</v>
      </c>
      <c r="R63" s="49">
        <v>0.18004747626186909</v>
      </c>
    </row>
    <row r="64" spans="1:18" x14ac:dyDescent="0.25">
      <c r="A64" s="14" t="s">
        <v>160</v>
      </c>
      <c r="B64" s="14" t="s">
        <v>36</v>
      </c>
      <c r="C64" s="14" t="s">
        <v>37</v>
      </c>
      <c r="D64" s="15">
        <v>0.11745792694587875</v>
      </c>
      <c r="O64" s="45" t="s">
        <v>160</v>
      </c>
      <c r="P64" s="46" t="s">
        <v>36</v>
      </c>
      <c r="Q64" s="46" t="s">
        <v>37</v>
      </c>
      <c r="R64" s="49">
        <v>0.11745792694587875</v>
      </c>
    </row>
    <row r="65" spans="1:18" x14ac:dyDescent="0.25">
      <c r="A65" s="14" t="s">
        <v>162</v>
      </c>
      <c r="B65" s="14" t="s">
        <v>56</v>
      </c>
      <c r="C65" s="14" t="s">
        <v>57</v>
      </c>
      <c r="D65" s="15">
        <v>0.28812201743588017</v>
      </c>
      <c r="O65" s="45" t="s">
        <v>162</v>
      </c>
      <c r="P65" s="46" t="s">
        <v>56</v>
      </c>
      <c r="Q65" s="46" t="s">
        <v>57</v>
      </c>
      <c r="R65" s="49">
        <v>0.28812201743588017</v>
      </c>
    </row>
    <row r="66" spans="1:18" x14ac:dyDescent="0.25">
      <c r="A66" s="14" t="s">
        <v>163</v>
      </c>
      <c r="B66" s="14" t="s">
        <v>60</v>
      </c>
      <c r="C66" s="14" t="s">
        <v>52</v>
      </c>
      <c r="D66" s="15">
        <v>0.27414465136422694</v>
      </c>
      <c r="O66" s="45" t="s">
        <v>163</v>
      </c>
      <c r="P66" s="46" t="s">
        <v>60</v>
      </c>
      <c r="Q66" s="46" t="s">
        <v>52</v>
      </c>
      <c r="R66" s="49">
        <v>0.27414465136422694</v>
      </c>
    </row>
    <row r="67" spans="1:18" x14ac:dyDescent="0.25">
      <c r="A67" s="14" t="s">
        <v>164</v>
      </c>
      <c r="B67" s="14" t="s">
        <v>36</v>
      </c>
      <c r="C67" s="14" t="s">
        <v>37</v>
      </c>
      <c r="D67" s="15">
        <v>0.29341486861781668</v>
      </c>
      <c r="O67" s="45" t="s">
        <v>164</v>
      </c>
      <c r="P67" s="46" t="s">
        <v>36</v>
      </c>
      <c r="Q67" s="46" t="s">
        <v>37</v>
      </c>
      <c r="R67" s="49">
        <v>0.29341486861781668</v>
      </c>
    </row>
    <row r="68" spans="1:18" x14ac:dyDescent="0.25">
      <c r="A68" s="14" t="s">
        <v>165</v>
      </c>
      <c r="B68" s="14" t="s">
        <v>36</v>
      </c>
      <c r="C68" s="14" t="s">
        <v>37</v>
      </c>
      <c r="D68" s="15">
        <v>0.39176725421488684</v>
      </c>
      <c r="O68" s="45" t="s">
        <v>165</v>
      </c>
      <c r="P68" s="46" t="s">
        <v>36</v>
      </c>
      <c r="Q68" s="46" t="s">
        <v>37</v>
      </c>
      <c r="R68" s="49">
        <v>0.39176725421488684</v>
      </c>
    </row>
    <row r="69" spans="1:18" x14ac:dyDescent="0.25">
      <c r="A69" s="14" t="s">
        <v>167</v>
      </c>
      <c r="B69" s="14" t="s">
        <v>63</v>
      </c>
      <c r="C69" s="14" t="s">
        <v>37</v>
      </c>
      <c r="D69" s="15">
        <v>0.37579847053531268</v>
      </c>
      <c r="O69" s="45" t="s">
        <v>167</v>
      </c>
      <c r="P69" s="46" t="s">
        <v>63</v>
      </c>
      <c r="Q69" s="46" t="s">
        <v>37</v>
      </c>
      <c r="R69" s="49">
        <v>0.37579847053531268</v>
      </c>
    </row>
    <row r="70" spans="1:18" x14ac:dyDescent="0.25">
      <c r="A70" s="14" t="s">
        <v>169</v>
      </c>
      <c r="B70" s="14" t="s">
        <v>60</v>
      </c>
      <c r="C70" s="14" t="s">
        <v>52</v>
      </c>
      <c r="D70" s="15">
        <v>0.12386895475819032</v>
      </c>
      <c r="O70" s="45" t="s">
        <v>169</v>
      </c>
      <c r="P70" s="46" t="s">
        <v>60</v>
      </c>
      <c r="Q70" s="46" t="s">
        <v>52</v>
      </c>
      <c r="R70" s="49">
        <v>0.12386895475819032</v>
      </c>
    </row>
    <row r="71" spans="1:18" x14ac:dyDescent="0.25">
      <c r="A71" s="14" t="s">
        <v>171</v>
      </c>
      <c r="B71" s="14" t="s">
        <v>83</v>
      </c>
      <c r="C71" s="14" t="s">
        <v>52</v>
      </c>
      <c r="D71" s="15">
        <v>0.36141465808984996</v>
      </c>
      <c r="O71" s="45" t="s">
        <v>171</v>
      </c>
      <c r="P71" s="46" t="s">
        <v>83</v>
      </c>
      <c r="Q71" s="46" t="s">
        <v>52</v>
      </c>
      <c r="R71" s="49">
        <v>0.36141465808984996</v>
      </c>
    </row>
    <row r="72" spans="1:18" x14ac:dyDescent="0.25">
      <c r="A72" s="14" t="s">
        <v>172</v>
      </c>
      <c r="B72" s="14" t="s">
        <v>43</v>
      </c>
      <c r="C72" s="14" t="s">
        <v>44</v>
      </c>
      <c r="D72" s="15">
        <v>0.32083831426348647</v>
      </c>
      <c r="O72" s="45" t="s">
        <v>172</v>
      </c>
      <c r="P72" s="46" t="s">
        <v>43</v>
      </c>
      <c r="Q72" s="46" t="s">
        <v>44</v>
      </c>
      <c r="R72" s="49">
        <v>0.32083831426348647</v>
      </c>
    </row>
    <row r="73" spans="1:18" x14ac:dyDescent="0.25">
      <c r="A73" s="14" t="s">
        <v>174</v>
      </c>
      <c r="B73" s="14" t="s">
        <v>25</v>
      </c>
      <c r="C73" s="14" t="s">
        <v>18</v>
      </c>
      <c r="D73" s="15">
        <v>0.23943747348002667</v>
      </c>
      <c r="O73" s="45" t="s">
        <v>174</v>
      </c>
      <c r="P73" s="46" t="s">
        <v>25</v>
      </c>
      <c r="Q73" s="46" t="s">
        <v>18</v>
      </c>
      <c r="R73" s="49">
        <v>0.23943747348002667</v>
      </c>
    </row>
    <row r="74" spans="1:18" x14ac:dyDescent="0.25">
      <c r="A74" s="14" t="s">
        <v>175</v>
      </c>
      <c r="B74" s="14" t="s">
        <v>56</v>
      </c>
      <c r="C74" s="14" t="s">
        <v>57</v>
      </c>
      <c r="D74" s="15">
        <v>0.28578758337609034</v>
      </c>
      <c r="O74" s="45" t="s">
        <v>175</v>
      </c>
      <c r="P74" s="46" t="s">
        <v>56</v>
      </c>
      <c r="Q74" s="46" t="s">
        <v>57</v>
      </c>
      <c r="R74" s="49">
        <v>0.28578758337609034</v>
      </c>
    </row>
    <row r="75" spans="1:18" x14ac:dyDescent="0.25">
      <c r="A75" s="14" t="s">
        <v>178</v>
      </c>
      <c r="B75" s="14" t="s">
        <v>48</v>
      </c>
      <c r="C75" s="14" t="s">
        <v>37</v>
      </c>
      <c r="D75" s="15">
        <v>0.36234164608397734</v>
      </c>
      <c r="O75" s="45" t="s">
        <v>178</v>
      </c>
      <c r="P75" s="46" t="s">
        <v>48</v>
      </c>
      <c r="Q75" s="46" t="s">
        <v>37</v>
      </c>
      <c r="R75" s="49">
        <v>0.36234164608397734</v>
      </c>
    </row>
    <row r="76" spans="1:18" x14ac:dyDescent="0.25">
      <c r="A76" s="14" t="s">
        <v>180</v>
      </c>
      <c r="B76" s="14" t="s">
        <v>60</v>
      </c>
      <c r="C76" s="14" t="s">
        <v>52</v>
      </c>
      <c r="D76" s="15">
        <v>0.21167381318460934</v>
      </c>
      <c r="O76" s="45" t="s">
        <v>180</v>
      </c>
      <c r="P76" s="46" t="s">
        <v>60</v>
      </c>
      <c r="Q76" s="46" t="s">
        <v>52</v>
      </c>
      <c r="R76" s="49">
        <v>0.21167381318460934</v>
      </c>
    </row>
    <row r="77" spans="1:18" x14ac:dyDescent="0.25">
      <c r="A77" s="14" t="s">
        <v>182</v>
      </c>
      <c r="B77" s="14" t="s">
        <v>25</v>
      </c>
      <c r="C77" s="14" t="s">
        <v>18</v>
      </c>
      <c r="D77" s="15">
        <v>0.2126964746012365</v>
      </c>
      <c r="O77" s="45" t="s">
        <v>182</v>
      </c>
      <c r="P77" s="46" t="s">
        <v>25</v>
      </c>
      <c r="Q77" s="46" t="s">
        <v>18</v>
      </c>
      <c r="R77" s="49">
        <v>0.2126964746012365</v>
      </c>
    </row>
    <row r="78" spans="1:18" x14ac:dyDescent="0.25">
      <c r="A78" s="14" t="s">
        <v>184</v>
      </c>
      <c r="B78" s="14" t="s">
        <v>25</v>
      </c>
      <c r="C78" s="14" t="s">
        <v>18</v>
      </c>
      <c r="D78" s="15">
        <v>0.27772063732654861</v>
      </c>
      <c r="O78" s="45" t="s">
        <v>184</v>
      </c>
      <c r="P78" s="46" t="s">
        <v>25</v>
      </c>
      <c r="Q78" s="46" t="s">
        <v>18</v>
      </c>
      <c r="R78" s="49">
        <v>0.27772063732654861</v>
      </c>
    </row>
    <row r="79" spans="1:18" x14ac:dyDescent="0.25">
      <c r="A79" s="14" t="s">
        <v>185</v>
      </c>
      <c r="B79" s="14" t="s">
        <v>48</v>
      </c>
      <c r="C79" s="14" t="s">
        <v>37</v>
      </c>
      <c r="D79" s="15">
        <v>0.26217961654894045</v>
      </c>
      <c r="O79" s="45" t="s">
        <v>185</v>
      </c>
      <c r="P79" s="46" t="s">
        <v>48</v>
      </c>
      <c r="Q79" s="46" t="s">
        <v>37</v>
      </c>
      <c r="R79" s="49">
        <v>0.26217961654894045</v>
      </c>
    </row>
    <row r="80" spans="1:18" x14ac:dyDescent="0.25">
      <c r="A80" s="14" t="s">
        <v>186</v>
      </c>
      <c r="B80" s="14" t="s">
        <v>60</v>
      </c>
      <c r="C80" s="14" t="s">
        <v>52</v>
      </c>
      <c r="D80" s="15">
        <v>0.19179636835278857</v>
      </c>
      <c r="O80" s="45" t="s">
        <v>186</v>
      </c>
      <c r="P80" s="46" t="s">
        <v>60</v>
      </c>
      <c r="Q80" s="46" t="s">
        <v>52</v>
      </c>
      <c r="R80" s="49">
        <v>0.19179636835278857</v>
      </c>
    </row>
    <row r="81" spans="1:18" x14ac:dyDescent="0.25">
      <c r="A81" s="14" t="s">
        <v>187</v>
      </c>
      <c r="B81" s="14" t="s">
        <v>60</v>
      </c>
      <c r="C81" s="14" t="s">
        <v>52</v>
      </c>
      <c r="D81" s="15">
        <v>0.29392446633825947</v>
      </c>
      <c r="O81" s="45" t="s">
        <v>187</v>
      </c>
      <c r="P81" s="46" t="s">
        <v>60</v>
      </c>
      <c r="Q81" s="46" t="s">
        <v>52</v>
      </c>
      <c r="R81" s="49">
        <v>0.29392446633825947</v>
      </c>
    </row>
    <row r="82" spans="1:18" x14ac:dyDescent="0.25">
      <c r="A82" s="14" t="s">
        <v>188</v>
      </c>
      <c r="B82" s="14" t="s">
        <v>51</v>
      </c>
      <c r="C82" s="14" t="s">
        <v>52</v>
      </c>
      <c r="D82" s="15">
        <v>0.16136851520572451</v>
      </c>
      <c r="O82" s="45" t="s">
        <v>188</v>
      </c>
      <c r="P82" s="46" t="s">
        <v>51</v>
      </c>
      <c r="Q82" s="46" t="s">
        <v>52</v>
      </c>
      <c r="R82" s="49">
        <v>0.16136851520572451</v>
      </c>
    </row>
    <row r="83" spans="1:18" x14ac:dyDescent="0.25">
      <c r="A83" s="14" t="s">
        <v>190</v>
      </c>
      <c r="B83" s="14" t="s">
        <v>83</v>
      </c>
      <c r="C83" s="14" t="s">
        <v>52</v>
      </c>
      <c r="D83" s="15">
        <v>0.26492020047630899</v>
      </c>
      <c r="O83" s="45" t="s">
        <v>190</v>
      </c>
      <c r="P83" s="46" t="s">
        <v>83</v>
      </c>
      <c r="Q83" s="46" t="s">
        <v>52</v>
      </c>
      <c r="R83" s="49">
        <v>0.26492020047630899</v>
      </c>
    </row>
    <row r="84" spans="1:18" x14ac:dyDescent="0.25">
      <c r="A84" s="14" t="s">
        <v>191</v>
      </c>
      <c r="B84" s="14" t="s">
        <v>63</v>
      </c>
      <c r="C84" s="14" t="s">
        <v>37</v>
      </c>
      <c r="D84" s="15">
        <v>0.15949886945687783</v>
      </c>
      <c r="O84" s="45" t="s">
        <v>191</v>
      </c>
      <c r="P84" s="46" t="s">
        <v>63</v>
      </c>
      <c r="Q84" s="46" t="s">
        <v>37</v>
      </c>
      <c r="R84" s="49">
        <v>0.15949886945687783</v>
      </c>
    </row>
    <row r="85" spans="1:18" x14ac:dyDescent="0.25">
      <c r="A85" s="14" t="s">
        <v>192</v>
      </c>
      <c r="B85" s="14" t="s">
        <v>36</v>
      </c>
      <c r="C85" s="14" t="s">
        <v>37</v>
      </c>
      <c r="D85" s="15">
        <v>0.15767162573937982</v>
      </c>
      <c r="O85" s="45" t="s">
        <v>192</v>
      </c>
      <c r="P85" s="46" t="s">
        <v>36</v>
      </c>
      <c r="Q85" s="46" t="s">
        <v>37</v>
      </c>
      <c r="R85" s="49">
        <v>0.15767162573937982</v>
      </c>
    </row>
    <row r="86" spans="1:18" x14ac:dyDescent="0.25">
      <c r="A86" s="14" t="s">
        <v>194</v>
      </c>
      <c r="B86" s="14" t="s">
        <v>63</v>
      </c>
      <c r="C86" s="14" t="s">
        <v>37</v>
      </c>
      <c r="D86" s="15">
        <v>0.13694560279246992</v>
      </c>
      <c r="O86" s="45" t="s">
        <v>194</v>
      </c>
      <c r="P86" s="46" t="s">
        <v>63</v>
      </c>
      <c r="Q86" s="46" t="s">
        <v>37</v>
      </c>
      <c r="R86" s="49">
        <v>0.13694560279246992</v>
      </c>
    </row>
    <row r="87" spans="1:18" x14ac:dyDescent="0.25">
      <c r="A87" s="14" t="s">
        <v>195</v>
      </c>
      <c r="B87" s="14" t="s">
        <v>43</v>
      </c>
      <c r="C87" s="14" t="s">
        <v>44</v>
      </c>
      <c r="D87" s="15">
        <v>0.2080557036247335</v>
      </c>
      <c r="O87" s="45" t="s">
        <v>195</v>
      </c>
      <c r="P87" s="46" t="s">
        <v>43</v>
      </c>
      <c r="Q87" s="46" t="s">
        <v>44</v>
      </c>
      <c r="R87" s="49">
        <v>0.2080557036247335</v>
      </c>
    </row>
    <row r="88" spans="1:18" x14ac:dyDescent="0.25">
      <c r="A88" s="14" t="s">
        <v>196</v>
      </c>
      <c r="B88" s="14" t="s">
        <v>83</v>
      </c>
      <c r="C88" s="14" t="s">
        <v>52</v>
      </c>
      <c r="D88" s="15">
        <v>0.2701015622363937</v>
      </c>
      <c r="O88" s="45" t="s">
        <v>196</v>
      </c>
      <c r="P88" s="46" t="s">
        <v>83</v>
      </c>
      <c r="Q88" s="46" t="s">
        <v>52</v>
      </c>
      <c r="R88" s="49">
        <v>0.2701015622363937</v>
      </c>
    </row>
    <row r="89" spans="1:18" x14ac:dyDescent="0.25">
      <c r="A89" s="14" t="s">
        <v>197</v>
      </c>
      <c r="B89" s="14" t="s">
        <v>17</v>
      </c>
      <c r="C89" s="14" t="s">
        <v>18</v>
      </c>
      <c r="D89" s="15">
        <v>0.15889346136259716</v>
      </c>
      <c r="O89" s="45" t="s">
        <v>197</v>
      </c>
      <c r="P89" s="46" t="s">
        <v>17</v>
      </c>
      <c r="Q89" s="46" t="s">
        <v>18</v>
      </c>
      <c r="R89" s="49">
        <v>0.15889346136259716</v>
      </c>
    </row>
    <row r="90" spans="1:18" x14ac:dyDescent="0.25">
      <c r="A90" s="14" t="s">
        <v>198</v>
      </c>
      <c r="B90" s="14" t="s">
        <v>60</v>
      </c>
      <c r="C90" s="14" t="s">
        <v>52</v>
      </c>
      <c r="D90" s="15">
        <v>0.30964947895520373</v>
      </c>
      <c r="O90" s="45" t="s">
        <v>198</v>
      </c>
      <c r="P90" s="46" t="s">
        <v>60</v>
      </c>
      <c r="Q90" s="46" t="s">
        <v>52</v>
      </c>
      <c r="R90" s="49">
        <v>0.30964947895520373</v>
      </c>
    </row>
    <row r="91" spans="1:18" x14ac:dyDescent="0.25">
      <c r="A91" s="14" t="s">
        <v>200</v>
      </c>
      <c r="B91" s="14" t="s">
        <v>60</v>
      </c>
      <c r="C91" s="14" t="s">
        <v>52</v>
      </c>
      <c r="D91" s="15">
        <v>0.22938656876242922</v>
      </c>
      <c r="O91" s="45" t="s">
        <v>200</v>
      </c>
      <c r="P91" s="46" t="s">
        <v>60</v>
      </c>
      <c r="Q91" s="46" t="s">
        <v>52</v>
      </c>
      <c r="R91" s="49">
        <v>0.22938656876242922</v>
      </c>
    </row>
    <row r="92" spans="1:18" x14ac:dyDescent="0.25">
      <c r="A92" s="14" t="s">
        <v>201</v>
      </c>
      <c r="B92" s="14" t="s">
        <v>17</v>
      </c>
      <c r="C92" s="14" t="s">
        <v>18</v>
      </c>
      <c r="D92" s="15">
        <v>0.37217331775666163</v>
      </c>
      <c r="O92" s="45" t="s">
        <v>201</v>
      </c>
      <c r="P92" s="46" t="s">
        <v>17</v>
      </c>
      <c r="Q92" s="46" t="s">
        <v>18</v>
      </c>
      <c r="R92" s="49">
        <v>0.37217331775666163</v>
      </c>
    </row>
    <row r="93" spans="1:18" x14ac:dyDescent="0.25">
      <c r="A93" s="14" t="s">
        <v>203</v>
      </c>
      <c r="B93" s="14" t="s">
        <v>43</v>
      </c>
      <c r="C93" s="14" t="s">
        <v>44</v>
      </c>
      <c r="D93" s="15">
        <v>0.33623463669612441</v>
      </c>
      <c r="O93" s="45" t="s">
        <v>203</v>
      </c>
      <c r="P93" s="46" t="s">
        <v>43</v>
      </c>
      <c r="Q93" s="46" t="s">
        <v>44</v>
      </c>
      <c r="R93" s="49">
        <v>0.33623463669612441</v>
      </c>
    </row>
    <row r="94" spans="1:18" x14ac:dyDescent="0.25">
      <c r="A94" s="14" t="s">
        <v>205</v>
      </c>
      <c r="B94" s="14" t="s">
        <v>25</v>
      </c>
      <c r="C94" s="14" t="s">
        <v>18</v>
      </c>
      <c r="D94" s="15">
        <v>0.22801432550736175</v>
      </c>
      <c r="O94" s="45" t="s">
        <v>205</v>
      </c>
      <c r="P94" s="46" t="s">
        <v>25</v>
      </c>
      <c r="Q94" s="46" t="s">
        <v>18</v>
      </c>
      <c r="R94" s="49">
        <v>0.22801432550736175</v>
      </c>
    </row>
    <row r="95" spans="1:18" x14ac:dyDescent="0.25">
      <c r="A95" s="14" t="s">
        <v>206</v>
      </c>
      <c r="B95" s="14" t="s">
        <v>60</v>
      </c>
      <c r="C95" s="14" t="s">
        <v>52</v>
      </c>
      <c r="D95" s="15">
        <v>0.14583167607986636</v>
      </c>
      <c r="O95" s="45" t="s">
        <v>206</v>
      </c>
      <c r="P95" s="46" t="s">
        <v>60</v>
      </c>
      <c r="Q95" s="46" t="s">
        <v>52</v>
      </c>
      <c r="R95" s="49">
        <v>0.14583167607986636</v>
      </c>
    </row>
    <row r="96" spans="1:18" x14ac:dyDescent="0.25">
      <c r="A96" s="14" t="s">
        <v>208</v>
      </c>
      <c r="B96" s="14" t="s">
        <v>48</v>
      </c>
      <c r="C96" s="14" t="s">
        <v>37</v>
      </c>
      <c r="D96" s="15">
        <v>0.37591562305329412</v>
      </c>
      <c r="O96" s="45" t="s">
        <v>208</v>
      </c>
      <c r="P96" s="46" t="s">
        <v>48</v>
      </c>
      <c r="Q96" s="46" t="s">
        <v>37</v>
      </c>
      <c r="R96" s="49">
        <v>0.37591562305329412</v>
      </c>
    </row>
    <row r="97" spans="1:18" x14ac:dyDescent="0.25">
      <c r="A97" s="14" t="s">
        <v>210</v>
      </c>
      <c r="B97" s="14" t="s">
        <v>51</v>
      </c>
      <c r="C97" s="14" t="s">
        <v>52</v>
      </c>
      <c r="D97" s="15">
        <v>0.38080338518386081</v>
      </c>
      <c r="O97" s="45" t="s">
        <v>210</v>
      </c>
      <c r="P97" s="46" t="s">
        <v>51</v>
      </c>
      <c r="Q97" s="46" t="s">
        <v>52</v>
      </c>
      <c r="R97" s="49">
        <v>0.38080338518386081</v>
      </c>
    </row>
    <row r="98" spans="1:18" x14ac:dyDescent="0.25">
      <c r="A98" s="14" t="s">
        <v>212</v>
      </c>
      <c r="B98" s="14" t="s">
        <v>17</v>
      </c>
      <c r="C98" s="14" t="s">
        <v>18</v>
      </c>
      <c r="D98" s="15">
        <v>0.24026979212737726</v>
      </c>
      <c r="O98" s="45" t="s">
        <v>212</v>
      </c>
      <c r="P98" s="46" t="s">
        <v>17</v>
      </c>
      <c r="Q98" s="46" t="s">
        <v>18</v>
      </c>
      <c r="R98" s="49">
        <v>0.24026979212737726</v>
      </c>
    </row>
    <row r="99" spans="1:18" x14ac:dyDescent="0.25">
      <c r="A99" s="14" t="s">
        <v>213</v>
      </c>
      <c r="B99" s="14" t="s">
        <v>83</v>
      </c>
      <c r="C99" s="14" t="s">
        <v>52</v>
      </c>
      <c r="D99" s="15">
        <v>0.3616928446771378</v>
      </c>
      <c r="O99" s="45" t="s">
        <v>213</v>
      </c>
      <c r="P99" s="46" t="s">
        <v>83</v>
      </c>
      <c r="Q99" s="46" t="s">
        <v>52</v>
      </c>
      <c r="R99" s="49">
        <v>0.3616928446771378</v>
      </c>
    </row>
    <row r="100" spans="1:18" x14ac:dyDescent="0.25">
      <c r="A100" s="14" t="s">
        <v>214</v>
      </c>
      <c r="B100" s="14" t="s">
        <v>25</v>
      </c>
      <c r="C100" s="14" t="s">
        <v>18</v>
      </c>
      <c r="D100" s="15">
        <v>0.26879271070615035</v>
      </c>
      <c r="O100" s="45" t="s">
        <v>214</v>
      </c>
      <c r="P100" s="46" t="s">
        <v>25</v>
      </c>
      <c r="Q100" s="46" t="s">
        <v>18</v>
      </c>
      <c r="R100" s="49">
        <v>0.26879271070615035</v>
      </c>
    </row>
    <row r="101" spans="1:18" x14ac:dyDescent="0.25">
      <c r="A101" s="14" t="s">
        <v>215</v>
      </c>
      <c r="B101" s="14" t="s">
        <v>56</v>
      </c>
      <c r="C101" s="14" t="s">
        <v>57</v>
      </c>
      <c r="D101" s="15">
        <v>0.25705005032482386</v>
      </c>
      <c r="O101" s="45" t="s">
        <v>215</v>
      </c>
      <c r="P101" s="46" t="s">
        <v>56</v>
      </c>
      <c r="Q101" s="46" t="s">
        <v>57</v>
      </c>
      <c r="R101" s="49">
        <v>0.25705005032482386</v>
      </c>
    </row>
    <row r="102" spans="1:18" x14ac:dyDescent="0.25">
      <c r="A102" s="14" t="s">
        <v>216</v>
      </c>
      <c r="B102" s="14" t="s">
        <v>63</v>
      </c>
      <c r="C102" s="14" t="s">
        <v>37</v>
      </c>
      <c r="D102" s="15">
        <v>0.36157261886943071</v>
      </c>
      <c r="O102" s="45" t="s">
        <v>216</v>
      </c>
      <c r="P102" s="46" t="s">
        <v>63</v>
      </c>
      <c r="Q102" s="46" t="s">
        <v>37</v>
      </c>
      <c r="R102" s="49">
        <v>0.36157261886943071</v>
      </c>
    </row>
    <row r="103" spans="1:18" x14ac:dyDescent="0.25">
      <c r="A103" s="14" t="s">
        <v>217</v>
      </c>
      <c r="B103" s="14" t="s">
        <v>60</v>
      </c>
      <c r="C103" s="14" t="s">
        <v>52</v>
      </c>
      <c r="D103" s="15">
        <v>0.37508693837807761</v>
      </c>
      <c r="O103" s="45" t="s">
        <v>217</v>
      </c>
      <c r="P103" s="46" t="s">
        <v>60</v>
      </c>
      <c r="Q103" s="46" t="s">
        <v>52</v>
      </c>
      <c r="R103" s="49">
        <v>0.37508693837807761</v>
      </c>
    </row>
    <row r="104" spans="1:18" x14ac:dyDescent="0.25">
      <c r="A104" s="14" t="s">
        <v>218</v>
      </c>
      <c r="B104" s="14" t="s">
        <v>60</v>
      </c>
      <c r="C104" s="14" t="s">
        <v>52</v>
      </c>
      <c r="D104" s="15">
        <v>0.2792098382879829</v>
      </c>
      <c r="O104" s="45" t="s">
        <v>218</v>
      </c>
      <c r="P104" s="46" t="s">
        <v>60</v>
      </c>
      <c r="Q104" s="46" t="s">
        <v>52</v>
      </c>
      <c r="R104" s="49">
        <v>0.2792098382879829</v>
      </c>
    </row>
    <row r="105" spans="1:18" x14ac:dyDescent="0.25">
      <c r="A105" s="14" t="s">
        <v>219</v>
      </c>
      <c r="B105" s="14" t="s">
        <v>60</v>
      </c>
      <c r="C105" s="14" t="s">
        <v>52</v>
      </c>
      <c r="D105" s="15">
        <v>0.25572275421796625</v>
      </c>
      <c r="O105" s="45" t="s">
        <v>219</v>
      </c>
      <c r="P105" s="46" t="s">
        <v>60</v>
      </c>
      <c r="Q105" s="46" t="s">
        <v>52</v>
      </c>
      <c r="R105" s="49">
        <v>0.25572275421796625</v>
      </c>
    </row>
    <row r="106" spans="1:18" x14ac:dyDescent="0.25">
      <c r="A106" s="14" t="s">
        <v>220</v>
      </c>
      <c r="B106" s="14" t="s">
        <v>63</v>
      </c>
      <c r="C106" s="14" t="s">
        <v>37</v>
      </c>
      <c r="D106" s="15">
        <v>0.36407231369886273</v>
      </c>
      <c r="O106" s="45" t="s">
        <v>220</v>
      </c>
      <c r="P106" s="46" t="s">
        <v>63</v>
      </c>
      <c r="Q106" s="46" t="s">
        <v>37</v>
      </c>
      <c r="R106" s="49">
        <v>0.36407231369886273</v>
      </c>
    </row>
    <row r="107" spans="1:18" x14ac:dyDescent="0.25">
      <c r="A107" s="14" t="s">
        <v>222</v>
      </c>
      <c r="B107" s="14" t="s">
        <v>43</v>
      </c>
      <c r="C107" s="14" t="s">
        <v>44</v>
      </c>
      <c r="D107" s="15">
        <v>0.24355096957836686</v>
      </c>
      <c r="O107" s="45" t="s">
        <v>222</v>
      </c>
      <c r="P107" s="46" t="s">
        <v>43</v>
      </c>
      <c r="Q107" s="46" t="s">
        <v>44</v>
      </c>
      <c r="R107" s="49">
        <v>0.24355096957836686</v>
      </c>
    </row>
    <row r="108" spans="1:18" x14ac:dyDescent="0.25">
      <c r="A108" s="14" t="s">
        <v>223</v>
      </c>
      <c r="B108" s="14" t="s">
        <v>63</v>
      </c>
      <c r="C108" s="14" t="s">
        <v>37</v>
      </c>
      <c r="D108" s="15">
        <v>0.13555895745014915</v>
      </c>
      <c r="O108" s="45" t="s">
        <v>223</v>
      </c>
      <c r="P108" s="46" t="s">
        <v>63</v>
      </c>
      <c r="Q108" s="46" t="s">
        <v>37</v>
      </c>
      <c r="R108" s="49">
        <v>0.13555895745014915</v>
      </c>
    </row>
    <row r="109" spans="1:18" x14ac:dyDescent="0.25">
      <c r="A109" s="14" t="s">
        <v>224</v>
      </c>
      <c r="B109" s="14" t="s">
        <v>60</v>
      </c>
      <c r="C109" s="14" t="s">
        <v>52</v>
      </c>
      <c r="D109" s="15">
        <v>0.26646394439617721</v>
      </c>
      <c r="O109" s="45" t="s">
        <v>224</v>
      </c>
      <c r="P109" s="46" t="s">
        <v>60</v>
      </c>
      <c r="Q109" s="46" t="s">
        <v>52</v>
      </c>
      <c r="R109" s="49">
        <v>0.26646394439617721</v>
      </c>
    </row>
    <row r="110" spans="1:18" x14ac:dyDescent="0.25">
      <c r="A110" s="14" t="s">
        <v>225</v>
      </c>
      <c r="B110" s="14" t="s">
        <v>63</v>
      </c>
      <c r="C110" s="14" t="s">
        <v>37</v>
      </c>
      <c r="D110" s="15">
        <v>0.18547912992357435</v>
      </c>
      <c r="O110" s="45" t="s">
        <v>225</v>
      </c>
      <c r="P110" s="46" t="s">
        <v>63</v>
      </c>
      <c r="Q110" s="46" t="s">
        <v>37</v>
      </c>
      <c r="R110" s="49">
        <v>0.18547912992357435</v>
      </c>
    </row>
    <row r="111" spans="1:18" x14ac:dyDescent="0.25">
      <c r="A111" s="14" t="s">
        <v>227</v>
      </c>
      <c r="B111" s="14" t="s">
        <v>25</v>
      </c>
      <c r="C111" s="14" t="s">
        <v>18</v>
      </c>
      <c r="D111" s="15">
        <v>0.28251322251605593</v>
      </c>
      <c r="O111" s="45" t="s">
        <v>227</v>
      </c>
      <c r="P111" s="46" t="s">
        <v>25</v>
      </c>
      <c r="Q111" s="46" t="s">
        <v>18</v>
      </c>
      <c r="R111" s="49">
        <v>0.28251322251605593</v>
      </c>
    </row>
    <row r="112" spans="1:18" x14ac:dyDescent="0.25">
      <c r="A112" s="14" t="s">
        <v>228</v>
      </c>
      <c r="B112" s="14" t="s">
        <v>36</v>
      </c>
      <c r="C112" s="14" t="s">
        <v>37</v>
      </c>
      <c r="D112" s="15">
        <v>0.19483846688281614</v>
      </c>
      <c r="O112" s="45" t="s">
        <v>228</v>
      </c>
      <c r="P112" s="46" t="s">
        <v>36</v>
      </c>
      <c r="Q112" s="46" t="s">
        <v>37</v>
      </c>
      <c r="R112" s="49">
        <v>0.19483846688281614</v>
      </c>
    </row>
    <row r="113" spans="1:18" x14ac:dyDescent="0.25">
      <c r="A113" s="14" t="s">
        <v>229</v>
      </c>
      <c r="B113" s="14" t="s">
        <v>60</v>
      </c>
      <c r="C113" s="14" t="s">
        <v>52</v>
      </c>
      <c r="D113" s="15">
        <v>0.153535168755145</v>
      </c>
      <c r="O113" s="45" t="s">
        <v>229</v>
      </c>
      <c r="P113" s="46" t="s">
        <v>60</v>
      </c>
      <c r="Q113" s="46" t="s">
        <v>52</v>
      </c>
      <c r="R113" s="49">
        <v>0.153535168755145</v>
      </c>
    </row>
    <row r="114" spans="1:18" x14ac:dyDescent="0.25">
      <c r="A114" s="14" t="s">
        <v>230</v>
      </c>
      <c r="B114" s="14" t="s">
        <v>43</v>
      </c>
      <c r="C114" s="14" t="s">
        <v>44</v>
      </c>
      <c r="D114" s="15">
        <v>0.31898291925465838</v>
      </c>
      <c r="O114" s="45" t="s">
        <v>230</v>
      </c>
      <c r="P114" s="46" t="s">
        <v>43</v>
      </c>
      <c r="Q114" s="46" t="s">
        <v>44</v>
      </c>
      <c r="R114" s="49">
        <v>0.31898291925465838</v>
      </c>
    </row>
    <row r="115" spans="1:18" x14ac:dyDescent="0.25">
      <c r="A115" s="14" t="s">
        <v>232</v>
      </c>
      <c r="B115" s="14" t="s">
        <v>60</v>
      </c>
      <c r="C115" s="14" t="s">
        <v>52</v>
      </c>
      <c r="D115" s="15">
        <v>0.18194231097456903</v>
      </c>
      <c r="O115" s="45" t="s">
        <v>232</v>
      </c>
      <c r="P115" s="46" t="s">
        <v>60</v>
      </c>
      <c r="Q115" s="46" t="s">
        <v>52</v>
      </c>
      <c r="R115" s="49">
        <v>0.18194231097456903</v>
      </c>
    </row>
    <row r="116" spans="1:18" x14ac:dyDescent="0.25">
      <c r="A116" s="14" t="s">
        <v>234</v>
      </c>
      <c r="B116" s="14" t="s">
        <v>48</v>
      </c>
      <c r="C116" s="14" t="s">
        <v>37</v>
      </c>
      <c r="D116" s="15">
        <v>0.19727020686713587</v>
      </c>
      <c r="O116" s="45" t="s">
        <v>234</v>
      </c>
      <c r="P116" s="46" t="s">
        <v>48</v>
      </c>
      <c r="Q116" s="46" t="s">
        <v>37</v>
      </c>
      <c r="R116" s="49">
        <v>0.19727020686713587</v>
      </c>
    </row>
    <row r="117" spans="1:18" x14ac:dyDescent="0.25">
      <c r="A117" s="14" t="s">
        <v>235</v>
      </c>
      <c r="B117" s="14" t="s">
        <v>36</v>
      </c>
      <c r="C117" s="14" t="s">
        <v>37</v>
      </c>
      <c r="D117" s="15">
        <v>0.30117683242683246</v>
      </c>
      <c r="O117" s="45" t="s">
        <v>235</v>
      </c>
      <c r="P117" s="46" t="s">
        <v>36</v>
      </c>
      <c r="Q117" s="46" t="s">
        <v>37</v>
      </c>
      <c r="R117" s="49">
        <v>0.30117683242683246</v>
      </c>
    </row>
    <row r="118" spans="1:18" x14ac:dyDescent="0.25">
      <c r="A118" s="14" t="s">
        <v>236</v>
      </c>
      <c r="B118" s="14" t="s">
        <v>25</v>
      </c>
      <c r="C118" s="14" t="s">
        <v>18</v>
      </c>
      <c r="D118" s="15">
        <v>0.28469534336219621</v>
      </c>
      <c r="O118" s="45" t="s">
        <v>236</v>
      </c>
      <c r="P118" s="46" t="s">
        <v>25</v>
      </c>
      <c r="Q118" s="46" t="s">
        <v>18</v>
      </c>
      <c r="R118" s="49">
        <v>0.28469534336219621</v>
      </c>
    </row>
    <row r="119" spans="1:18" x14ac:dyDescent="0.25">
      <c r="A119" s="14" t="s">
        <v>237</v>
      </c>
      <c r="B119" s="14" t="s">
        <v>63</v>
      </c>
      <c r="C119" s="14" t="s">
        <v>37</v>
      </c>
      <c r="D119" s="15">
        <v>0.22180876880763631</v>
      </c>
      <c r="O119" s="45" t="s">
        <v>237</v>
      </c>
      <c r="P119" s="46" t="s">
        <v>63</v>
      </c>
      <c r="Q119" s="46" t="s">
        <v>37</v>
      </c>
      <c r="R119" s="49">
        <v>0.22180876880763631</v>
      </c>
    </row>
    <row r="120" spans="1:18" x14ac:dyDescent="0.25">
      <c r="A120" s="14" t="s">
        <v>238</v>
      </c>
      <c r="B120" s="14" t="s">
        <v>17</v>
      </c>
      <c r="C120" s="14" t="s">
        <v>18</v>
      </c>
      <c r="D120" s="15">
        <v>0.25161314413741598</v>
      </c>
      <c r="O120" s="45" t="s">
        <v>238</v>
      </c>
      <c r="P120" s="46" t="s">
        <v>17</v>
      </c>
      <c r="Q120" s="46" t="s">
        <v>18</v>
      </c>
      <c r="R120" s="49">
        <v>0.25161314413741598</v>
      </c>
    </row>
    <row r="121" spans="1:18" x14ac:dyDescent="0.25">
      <c r="A121" s="14" t="s">
        <v>239</v>
      </c>
      <c r="B121" s="14" t="s">
        <v>60</v>
      </c>
      <c r="C121" s="14" t="s">
        <v>52</v>
      </c>
      <c r="D121" s="15">
        <v>0.35705185185185184</v>
      </c>
      <c r="O121" s="45" t="s">
        <v>239</v>
      </c>
      <c r="P121" s="46" t="s">
        <v>60</v>
      </c>
      <c r="Q121" s="46" t="s">
        <v>52</v>
      </c>
      <c r="R121" s="49">
        <v>0.35705185185185184</v>
      </c>
    </row>
    <row r="122" spans="1:18" x14ac:dyDescent="0.25">
      <c r="A122" s="14" t="s">
        <v>241</v>
      </c>
      <c r="B122" s="14" t="s">
        <v>63</v>
      </c>
      <c r="C122" s="14" t="s">
        <v>37</v>
      </c>
      <c r="D122" s="15">
        <v>0.27921052631578946</v>
      </c>
      <c r="O122" s="45" t="s">
        <v>241</v>
      </c>
      <c r="P122" s="46" t="s">
        <v>63</v>
      </c>
      <c r="Q122" s="46" t="s">
        <v>37</v>
      </c>
      <c r="R122" s="49">
        <v>0.27921052631578946</v>
      </c>
    </row>
    <row r="123" spans="1:18" x14ac:dyDescent="0.25">
      <c r="A123" s="14" t="s">
        <v>242</v>
      </c>
      <c r="B123" s="14" t="s">
        <v>60</v>
      </c>
      <c r="C123" s="14" t="s">
        <v>52</v>
      </c>
      <c r="D123" s="15">
        <v>0.36800600826135937</v>
      </c>
      <c r="O123" s="45" t="s">
        <v>242</v>
      </c>
      <c r="P123" s="46" t="s">
        <v>60</v>
      </c>
      <c r="Q123" s="46" t="s">
        <v>52</v>
      </c>
      <c r="R123" s="49">
        <v>0.36800600826135937</v>
      </c>
    </row>
    <row r="124" spans="1:18" x14ac:dyDescent="0.25">
      <c r="A124" s="14" t="s">
        <v>243</v>
      </c>
      <c r="B124" s="14" t="s">
        <v>56</v>
      </c>
      <c r="C124" s="14" t="s">
        <v>57</v>
      </c>
      <c r="D124" s="15">
        <v>0.37762561962840124</v>
      </c>
      <c r="O124" s="45" t="s">
        <v>243</v>
      </c>
      <c r="P124" s="46" t="s">
        <v>56</v>
      </c>
      <c r="Q124" s="46" t="s">
        <v>57</v>
      </c>
      <c r="R124" s="49">
        <v>0.37762561962840124</v>
      </c>
    </row>
    <row r="125" spans="1:18" x14ac:dyDescent="0.25">
      <c r="A125" s="14" t="s">
        <v>244</v>
      </c>
      <c r="B125" s="14" t="s">
        <v>56</v>
      </c>
      <c r="C125" s="14" t="s">
        <v>57</v>
      </c>
      <c r="D125" s="15">
        <v>0.11531199002042054</v>
      </c>
      <c r="O125" s="45" t="s">
        <v>244</v>
      </c>
      <c r="P125" s="46" t="s">
        <v>56</v>
      </c>
      <c r="Q125" s="46" t="s">
        <v>57</v>
      </c>
      <c r="R125" s="49">
        <v>0.11531199002042054</v>
      </c>
    </row>
    <row r="126" spans="1:18" x14ac:dyDescent="0.25">
      <c r="A126" s="14" t="s">
        <v>245</v>
      </c>
      <c r="B126" s="14" t="s">
        <v>51</v>
      </c>
      <c r="C126" s="14" t="s">
        <v>52</v>
      </c>
      <c r="D126" s="15">
        <v>0.25557329926541039</v>
      </c>
      <c r="O126" s="45" t="s">
        <v>245</v>
      </c>
      <c r="P126" s="46" t="s">
        <v>51</v>
      </c>
      <c r="Q126" s="46" t="s">
        <v>52</v>
      </c>
      <c r="R126" s="49">
        <v>0.25557329926541039</v>
      </c>
    </row>
    <row r="127" spans="1:18" x14ac:dyDescent="0.25">
      <c r="A127" s="14" t="s">
        <v>247</v>
      </c>
      <c r="B127" s="14" t="s">
        <v>83</v>
      </c>
      <c r="C127" s="14" t="s">
        <v>52</v>
      </c>
      <c r="D127" s="15">
        <v>0.19436819382692183</v>
      </c>
      <c r="O127" s="45" t="s">
        <v>247</v>
      </c>
      <c r="P127" s="46" t="s">
        <v>83</v>
      </c>
      <c r="Q127" s="46" t="s">
        <v>52</v>
      </c>
      <c r="R127" s="49">
        <v>0.19436819382692183</v>
      </c>
    </row>
    <row r="128" spans="1:18" x14ac:dyDescent="0.25">
      <c r="A128" s="14" t="s">
        <v>248</v>
      </c>
      <c r="B128" s="14" t="s">
        <v>43</v>
      </c>
      <c r="C128" s="14" t="s">
        <v>44</v>
      </c>
      <c r="D128" s="15">
        <v>0.25709333178393662</v>
      </c>
      <c r="O128" s="45" t="s">
        <v>248</v>
      </c>
      <c r="P128" s="46" t="s">
        <v>43</v>
      </c>
      <c r="Q128" s="46" t="s">
        <v>44</v>
      </c>
      <c r="R128" s="49">
        <v>0.25709333178393662</v>
      </c>
    </row>
    <row r="129" spans="1:18" x14ac:dyDescent="0.25">
      <c r="A129" s="14" t="s">
        <v>250</v>
      </c>
      <c r="B129" s="14" t="s">
        <v>83</v>
      </c>
      <c r="C129" s="14" t="s">
        <v>52</v>
      </c>
      <c r="D129" s="15">
        <v>0.23159244936248419</v>
      </c>
      <c r="O129" s="45" t="s">
        <v>250</v>
      </c>
      <c r="P129" s="46" t="s">
        <v>83</v>
      </c>
      <c r="Q129" s="46" t="s">
        <v>52</v>
      </c>
      <c r="R129" s="49">
        <v>0.23159244936248419</v>
      </c>
    </row>
    <row r="130" spans="1:18" x14ac:dyDescent="0.25">
      <c r="A130" s="14" t="s">
        <v>251</v>
      </c>
      <c r="B130" s="14" t="s">
        <v>36</v>
      </c>
      <c r="C130" s="14" t="s">
        <v>37</v>
      </c>
      <c r="D130" s="15">
        <v>0.13961900832129842</v>
      </c>
      <c r="O130" s="45" t="s">
        <v>251</v>
      </c>
      <c r="P130" s="46" t="s">
        <v>36</v>
      </c>
      <c r="Q130" s="46" t="s">
        <v>37</v>
      </c>
      <c r="R130" s="49">
        <v>0.13961900832129842</v>
      </c>
    </row>
    <row r="131" spans="1:18" x14ac:dyDescent="0.25">
      <c r="A131" s="14" t="s">
        <v>252</v>
      </c>
      <c r="B131" s="14" t="s">
        <v>36</v>
      </c>
      <c r="C131" s="14" t="s">
        <v>37</v>
      </c>
      <c r="D131" s="15">
        <v>0.19136675002718279</v>
      </c>
      <c r="O131" s="45" t="s">
        <v>252</v>
      </c>
      <c r="P131" s="46" t="s">
        <v>36</v>
      </c>
      <c r="Q131" s="46" t="s">
        <v>37</v>
      </c>
      <c r="R131" s="49">
        <v>0.19136675002718279</v>
      </c>
    </row>
    <row r="132" spans="1:18" x14ac:dyDescent="0.25">
      <c r="A132" s="14" t="s">
        <v>253</v>
      </c>
      <c r="B132" s="14" t="s">
        <v>17</v>
      </c>
      <c r="C132" s="14" t="s">
        <v>18</v>
      </c>
      <c r="D132" s="15">
        <v>0.38768477898912673</v>
      </c>
      <c r="O132" s="45" t="s">
        <v>253</v>
      </c>
      <c r="P132" s="46" t="s">
        <v>17</v>
      </c>
      <c r="Q132" s="46" t="s">
        <v>18</v>
      </c>
      <c r="R132" s="49">
        <v>0.38768477898912673</v>
      </c>
    </row>
    <row r="133" spans="1:18" x14ac:dyDescent="0.25">
      <c r="A133" s="14" t="s">
        <v>254</v>
      </c>
      <c r="B133" s="14" t="s">
        <v>43</v>
      </c>
      <c r="C133" s="14" t="s">
        <v>44</v>
      </c>
      <c r="D133" s="15">
        <v>0.24707387321138585</v>
      </c>
      <c r="O133" s="45" t="s">
        <v>254</v>
      </c>
      <c r="P133" s="46" t="s">
        <v>43</v>
      </c>
      <c r="Q133" s="46" t="s">
        <v>44</v>
      </c>
      <c r="R133" s="49">
        <v>0.24707387321138585</v>
      </c>
    </row>
    <row r="134" spans="1:18" x14ac:dyDescent="0.25">
      <c r="A134" s="14" t="s">
        <v>255</v>
      </c>
      <c r="B134" s="14" t="s">
        <v>43</v>
      </c>
      <c r="C134" s="14" t="s">
        <v>44</v>
      </c>
      <c r="D134" s="15">
        <v>0.2939086524651135</v>
      </c>
      <c r="O134" s="45" t="s">
        <v>255</v>
      </c>
      <c r="P134" s="46" t="s">
        <v>43</v>
      </c>
      <c r="Q134" s="46" t="s">
        <v>44</v>
      </c>
      <c r="R134" s="49">
        <v>0.2939086524651135</v>
      </c>
    </row>
    <row r="135" spans="1:18" x14ac:dyDescent="0.25">
      <c r="A135" s="14" t="s">
        <v>256</v>
      </c>
      <c r="B135" s="14" t="s">
        <v>56</v>
      </c>
      <c r="C135" s="14" t="s">
        <v>57</v>
      </c>
      <c r="D135" s="15">
        <v>0.34694043552023052</v>
      </c>
      <c r="O135" s="45" t="s">
        <v>256</v>
      </c>
      <c r="P135" s="46" t="s">
        <v>56</v>
      </c>
      <c r="Q135" s="46" t="s">
        <v>57</v>
      </c>
      <c r="R135" s="49">
        <v>0.34694043552023052</v>
      </c>
    </row>
    <row r="136" spans="1:18" x14ac:dyDescent="0.25">
      <c r="A136" s="14" t="s">
        <v>258</v>
      </c>
      <c r="B136" s="14" t="s">
        <v>43</v>
      </c>
      <c r="C136" s="14" t="s">
        <v>44</v>
      </c>
      <c r="D136" s="15">
        <v>0.19091371591371592</v>
      </c>
      <c r="O136" s="45" t="s">
        <v>258</v>
      </c>
      <c r="P136" s="46" t="s">
        <v>43</v>
      </c>
      <c r="Q136" s="46" t="s">
        <v>44</v>
      </c>
      <c r="R136" s="49">
        <v>0.19091371591371592</v>
      </c>
    </row>
    <row r="137" spans="1:18" x14ac:dyDescent="0.25">
      <c r="A137" s="14" t="s">
        <v>259</v>
      </c>
      <c r="B137" s="14" t="s">
        <v>60</v>
      </c>
      <c r="C137" s="14" t="s">
        <v>52</v>
      </c>
      <c r="D137" s="15">
        <v>0.41324117861040377</v>
      </c>
      <c r="O137" s="45" t="s">
        <v>259</v>
      </c>
      <c r="P137" s="46" t="s">
        <v>60</v>
      </c>
      <c r="Q137" s="46" t="s">
        <v>52</v>
      </c>
      <c r="R137" s="49">
        <v>0.41324117861040377</v>
      </c>
    </row>
    <row r="138" spans="1:18" x14ac:dyDescent="0.25">
      <c r="A138" s="14" t="s">
        <v>260</v>
      </c>
      <c r="B138" s="14" t="s">
        <v>36</v>
      </c>
      <c r="C138" s="14" t="s">
        <v>37</v>
      </c>
      <c r="D138" s="15">
        <v>0.17508635368523473</v>
      </c>
      <c r="O138" s="45" t="s">
        <v>260</v>
      </c>
      <c r="P138" s="46" t="s">
        <v>36</v>
      </c>
      <c r="Q138" s="46" t="s">
        <v>37</v>
      </c>
      <c r="R138" s="49">
        <v>0.17508635368523473</v>
      </c>
    </row>
    <row r="139" spans="1:18" x14ac:dyDescent="0.25">
      <c r="A139" s="14" t="s">
        <v>262</v>
      </c>
      <c r="B139" s="14" t="s">
        <v>60</v>
      </c>
      <c r="C139" s="14" t="s">
        <v>52</v>
      </c>
      <c r="D139" s="15">
        <v>0.33433394239972153</v>
      </c>
      <c r="O139" s="45" t="s">
        <v>262</v>
      </c>
      <c r="P139" s="46" t="s">
        <v>60</v>
      </c>
      <c r="Q139" s="46" t="s">
        <v>52</v>
      </c>
      <c r="R139" s="49">
        <v>0.33433394239972153</v>
      </c>
    </row>
    <row r="140" spans="1:18" x14ac:dyDescent="0.25">
      <c r="A140" s="14" t="s">
        <v>263</v>
      </c>
      <c r="B140" s="14" t="s">
        <v>83</v>
      </c>
      <c r="C140" s="14" t="s">
        <v>52</v>
      </c>
      <c r="D140" s="15">
        <v>0.35695496632996626</v>
      </c>
      <c r="O140" s="45" t="s">
        <v>263</v>
      </c>
      <c r="P140" s="46" t="s">
        <v>83</v>
      </c>
      <c r="Q140" s="46" t="s">
        <v>52</v>
      </c>
      <c r="R140" s="49">
        <v>0.35695496632996626</v>
      </c>
    </row>
    <row r="141" spans="1:18" x14ac:dyDescent="0.25">
      <c r="A141" s="14" t="s">
        <v>264</v>
      </c>
      <c r="B141" s="14" t="s">
        <v>56</v>
      </c>
      <c r="C141" s="14" t="s">
        <v>57</v>
      </c>
      <c r="D141" s="15">
        <v>0.14228663227441399</v>
      </c>
      <c r="O141" s="45" t="s">
        <v>264</v>
      </c>
      <c r="P141" s="46" t="s">
        <v>56</v>
      </c>
      <c r="Q141" s="46" t="s">
        <v>57</v>
      </c>
      <c r="R141" s="49">
        <v>0.14228663227441399</v>
      </c>
    </row>
    <row r="142" spans="1:18" x14ac:dyDescent="0.25">
      <c r="A142" s="14" t="s">
        <v>265</v>
      </c>
      <c r="B142" s="14" t="s">
        <v>43</v>
      </c>
      <c r="C142" s="14" t="s">
        <v>44</v>
      </c>
      <c r="D142" s="15">
        <v>0.12798688746297399</v>
      </c>
      <c r="O142" s="45" t="s">
        <v>265</v>
      </c>
      <c r="P142" s="46" t="s">
        <v>43</v>
      </c>
      <c r="Q142" s="46" t="s">
        <v>44</v>
      </c>
      <c r="R142" s="49">
        <v>0.12798688746297399</v>
      </c>
    </row>
    <row r="143" spans="1:18" x14ac:dyDescent="0.25">
      <c r="A143" s="14" t="s">
        <v>266</v>
      </c>
      <c r="B143" s="14" t="s">
        <v>56</v>
      </c>
      <c r="C143" s="14" t="s">
        <v>57</v>
      </c>
      <c r="D143" s="15">
        <v>0.2936961408767329</v>
      </c>
      <c r="O143" s="45" t="s">
        <v>266</v>
      </c>
      <c r="P143" s="46" t="s">
        <v>56</v>
      </c>
      <c r="Q143" s="46" t="s">
        <v>57</v>
      </c>
      <c r="R143" s="49">
        <v>0.2936961408767329</v>
      </c>
    </row>
    <row r="144" spans="1:18" x14ac:dyDescent="0.25">
      <c r="A144" s="14" t="s">
        <v>267</v>
      </c>
      <c r="B144" s="14" t="s">
        <v>56</v>
      </c>
      <c r="C144" s="14" t="s">
        <v>57</v>
      </c>
      <c r="D144" s="15">
        <v>0.3051034248897932</v>
      </c>
      <c r="O144" s="45" t="s">
        <v>267</v>
      </c>
      <c r="P144" s="46" t="s">
        <v>56</v>
      </c>
      <c r="Q144" s="46" t="s">
        <v>57</v>
      </c>
      <c r="R144" s="49">
        <v>0.3051034248897932</v>
      </c>
    </row>
    <row r="145" spans="1:18" x14ac:dyDescent="0.25">
      <c r="A145" s="14" t="s">
        <v>269</v>
      </c>
      <c r="B145" s="14" t="s">
        <v>63</v>
      </c>
      <c r="C145" s="14" t="s">
        <v>37</v>
      </c>
      <c r="D145" s="15">
        <v>0.23916666666666664</v>
      </c>
      <c r="O145" s="45" t="s">
        <v>269</v>
      </c>
      <c r="P145" s="46" t="s">
        <v>63</v>
      </c>
      <c r="Q145" s="46" t="s">
        <v>37</v>
      </c>
      <c r="R145" s="49">
        <v>0.23916666666666664</v>
      </c>
    </row>
    <row r="146" spans="1:18" x14ac:dyDescent="0.25">
      <c r="A146" s="14" t="s">
        <v>270</v>
      </c>
      <c r="B146" s="14" t="s">
        <v>51</v>
      </c>
      <c r="C146" s="14" t="s">
        <v>52</v>
      </c>
      <c r="D146" s="15">
        <v>0.33944551194070821</v>
      </c>
      <c r="O146" s="45" t="s">
        <v>270</v>
      </c>
      <c r="P146" s="46" t="s">
        <v>51</v>
      </c>
      <c r="Q146" s="46" t="s">
        <v>52</v>
      </c>
      <c r="R146" s="49">
        <v>0.33944551194070821</v>
      </c>
    </row>
    <row r="147" spans="1:18" x14ac:dyDescent="0.25">
      <c r="A147" s="14" t="s">
        <v>271</v>
      </c>
      <c r="B147" s="14" t="s">
        <v>51</v>
      </c>
      <c r="C147" s="14" t="s">
        <v>52</v>
      </c>
      <c r="D147" s="15">
        <v>0.38631781038657831</v>
      </c>
      <c r="O147" s="45" t="s">
        <v>271</v>
      </c>
      <c r="P147" s="46" t="s">
        <v>51</v>
      </c>
      <c r="Q147" s="46" t="s">
        <v>52</v>
      </c>
      <c r="R147" s="49">
        <v>0.38631781038657831</v>
      </c>
    </row>
    <row r="148" spans="1:18" x14ac:dyDescent="0.25">
      <c r="A148" s="14" t="s">
        <v>272</v>
      </c>
      <c r="B148" s="14" t="s">
        <v>83</v>
      </c>
      <c r="C148" s="14" t="s">
        <v>52</v>
      </c>
      <c r="D148" s="15">
        <v>0.37694736842105264</v>
      </c>
      <c r="O148" s="45" t="s">
        <v>272</v>
      </c>
      <c r="P148" s="46" t="s">
        <v>83</v>
      </c>
      <c r="Q148" s="46" t="s">
        <v>52</v>
      </c>
      <c r="R148" s="49">
        <v>0.37694736842105264</v>
      </c>
    </row>
    <row r="149" spans="1:18" x14ac:dyDescent="0.25">
      <c r="A149" s="14" t="s">
        <v>273</v>
      </c>
      <c r="B149" s="14" t="s">
        <v>36</v>
      </c>
      <c r="C149" s="14" t="s">
        <v>37</v>
      </c>
      <c r="D149" s="15">
        <v>0.29111119599679131</v>
      </c>
      <c r="O149" s="45" t="s">
        <v>273</v>
      </c>
      <c r="P149" s="46" t="s">
        <v>36</v>
      </c>
      <c r="Q149" s="46" t="s">
        <v>37</v>
      </c>
      <c r="R149" s="49">
        <v>0.29111119599679131</v>
      </c>
    </row>
    <row r="150" spans="1:18" x14ac:dyDescent="0.25">
      <c r="A150" s="14" t="s">
        <v>275</v>
      </c>
      <c r="B150" s="14" t="s">
        <v>83</v>
      </c>
      <c r="C150" s="14" t="s">
        <v>52</v>
      </c>
      <c r="D150" s="15">
        <v>0.27848419992446177</v>
      </c>
      <c r="O150" s="45" t="s">
        <v>275</v>
      </c>
      <c r="P150" s="46" t="s">
        <v>83</v>
      </c>
      <c r="Q150" s="46" t="s">
        <v>52</v>
      </c>
      <c r="R150" s="49">
        <v>0.27848419992446177</v>
      </c>
    </row>
    <row r="151" spans="1:18" x14ac:dyDescent="0.25">
      <c r="A151" s="14" t="s">
        <v>277</v>
      </c>
      <c r="B151" s="14" t="s">
        <v>56</v>
      </c>
      <c r="C151" s="14" t="s">
        <v>57</v>
      </c>
      <c r="D151" s="15">
        <v>0.31930649939013767</v>
      </c>
      <c r="O151" s="45" t="s">
        <v>277</v>
      </c>
      <c r="P151" s="46" t="s">
        <v>56</v>
      </c>
      <c r="Q151" s="46" t="s">
        <v>57</v>
      </c>
      <c r="R151" s="49">
        <v>0.31930649939013767</v>
      </c>
    </row>
    <row r="152" spans="1:18" x14ac:dyDescent="0.25">
      <c r="A152" s="14" t="s">
        <v>279</v>
      </c>
      <c r="B152" s="14" t="s">
        <v>83</v>
      </c>
      <c r="C152" s="14" t="s">
        <v>52</v>
      </c>
      <c r="D152" s="15">
        <v>0.32439196382893409</v>
      </c>
      <c r="O152" s="45" t="s">
        <v>279</v>
      </c>
      <c r="P152" s="46" t="s">
        <v>83</v>
      </c>
      <c r="Q152" s="46" t="s">
        <v>52</v>
      </c>
      <c r="R152" s="49">
        <v>0.32439196382893409</v>
      </c>
    </row>
    <row r="153" spans="1:18" x14ac:dyDescent="0.25">
      <c r="A153" s="14" t="s">
        <v>280</v>
      </c>
      <c r="B153" s="14" t="s">
        <v>36</v>
      </c>
      <c r="C153" s="14" t="s">
        <v>37</v>
      </c>
      <c r="D153" s="15">
        <v>0.34120862576147126</v>
      </c>
      <c r="O153" s="45" t="s">
        <v>280</v>
      </c>
      <c r="P153" s="46" t="s">
        <v>36</v>
      </c>
      <c r="Q153" s="46" t="s">
        <v>37</v>
      </c>
      <c r="R153" s="49">
        <v>0.34120862576147126</v>
      </c>
    </row>
    <row r="154" spans="1:18" x14ac:dyDescent="0.25">
      <c r="A154" s="14" t="s">
        <v>282</v>
      </c>
      <c r="B154" s="14" t="s">
        <v>25</v>
      </c>
      <c r="C154" s="14" t="s">
        <v>18</v>
      </c>
      <c r="D154" s="15">
        <v>0.1811404614802673</v>
      </c>
      <c r="O154" s="45" t="s">
        <v>282</v>
      </c>
      <c r="P154" s="46" t="s">
        <v>25</v>
      </c>
      <c r="Q154" s="46" t="s">
        <v>18</v>
      </c>
      <c r="R154" s="49">
        <v>0.1811404614802673</v>
      </c>
    </row>
    <row r="155" spans="1:18" x14ac:dyDescent="0.25">
      <c r="A155" s="14" t="s">
        <v>283</v>
      </c>
      <c r="B155" s="14" t="s">
        <v>60</v>
      </c>
      <c r="C155" s="14" t="s">
        <v>52</v>
      </c>
      <c r="D155" s="15">
        <v>0.35685912777556178</v>
      </c>
      <c r="O155" s="45" t="s">
        <v>283</v>
      </c>
      <c r="P155" s="46" t="s">
        <v>60</v>
      </c>
      <c r="Q155" s="46" t="s">
        <v>52</v>
      </c>
      <c r="R155" s="49">
        <v>0.35685912777556178</v>
      </c>
    </row>
    <row r="156" spans="1:18" x14ac:dyDescent="0.25">
      <c r="A156" s="14" t="s">
        <v>284</v>
      </c>
      <c r="B156" s="14" t="s">
        <v>25</v>
      </c>
      <c r="C156" s="14" t="s">
        <v>18</v>
      </c>
      <c r="D156" s="15">
        <v>0.33418213708356664</v>
      </c>
      <c r="O156" s="45" t="s">
        <v>284</v>
      </c>
      <c r="P156" s="46" t="s">
        <v>25</v>
      </c>
      <c r="Q156" s="46" t="s">
        <v>18</v>
      </c>
      <c r="R156" s="49">
        <v>0.33418213708356664</v>
      </c>
    </row>
    <row r="157" spans="1:18" x14ac:dyDescent="0.25">
      <c r="A157" s="14" t="s">
        <v>285</v>
      </c>
      <c r="B157" s="14" t="s">
        <v>51</v>
      </c>
      <c r="C157" s="14" t="s">
        <v>52</v>
      </c>
      <c r="D157" s="15">
        <v>0.21169110459433041</v>
      </c>
      <c r="O157" s="45" t="s">
        <v>285</v>
      </c>
      <c r="P157" s="46" t="s">
        <v>51</v>
      </c>
      <c r="Q157" s="46" t="s">
        <v>52</v>
      </c>
      <c r="R157" s="49">
        <v>0.21169110459433041</v>
      </c>
    </row>
    <row r="158" spans="1:18" x14ac:dyDescent="0.25">
      <c r="A158" s="14" t="s">
        <v>287</v>
      </c>
      <c r="B158" s="14" t="s">
        <v>60</v>
      </c>
      <c r="C158" s="14" t="s">
        <v>52</v>
      </c>
      <c r="D158" s="15">
        <v>0.22456255992329818</v>
      </c>
      <c r="O158" s="45" t="s">
        <v>287</v>
      </c>
      <c r="P158" s="46" t="s">
        <v>60</v>
      </c>
      <c r="Q158" s="46" t="s">
        <v>52</v>
      </c>
      <c r="R158" s="49">
        <v>0.22456255992329818</v>
      </c>
    </row>
    <row r="159" spans="1:18" x14ac:dyDescent="0.25">
      <c r="A159" s="14" t="s">
        <v>288</v>
      </c>
      <c r="B159" s="14" t="s">
        <v>48</v>
      </c>
      <c r="C159" s="14" t="s">
        <v>37</v>
      </c>
      <c r="D159" s="15">
        <v>0.12639396812497178</v>
      </c>
      <c r="O159" s="45" t="s">
        <v>288</v>
      </c>
      <c r="P159" s="46" t="s">
        <v>48</v>
      </c>
      <c r="Q159" s="46" t="s">
        <v>37</v>
      </c>
      <c r="R159" s="49">
        <v>0.12639396812497178</v>
      </c>
    </row>
    <row r="160" spans="1:18" x14ac:dyDescent="0.25">
      <c r="A160" s="14" t="s">
        <v>289</v>
      </c>
      <c r="B160" s="14" t="s">
        <v>43</v>
      </c>
      <c r="C160" s="14" t="s">
        <v>44</v>
      </c>
      <c r="D160" s="15">
        <v>0.35362572197370901</v>
      </c>
      <c r="O160" s="45" t="s">
        <v>289</v>
      </c>
      <c r="P160" s="46" t="s">
        <v>43</v>
      </c>
      <c r="Q160" s="46" t="s">
        <v>44</v>
      </c>
      <c r="R160" s="49">
        <v>0.35362572197370901</v>
      </c>
    </row>
    <row r="161" spans="1:18" x14ac:dyDescent="0.25">
      <c r="A161" s="14" t="s">
        <v>290</v>
      </c>
      <c r="B161" s="14" t="s">
        <v>48</v>
      </c>
      <c r="C161" s="14" t="s">
        <v>37</v>
      </c>
      <c r="D161" s="15">
        <v>0.25011061335103146</v>
      </c>
      <c r="O161" s="45" t="s">
        <v>290</v>
      </c>
      <c r="P161" s="46" t="s">
        <v>48</v>
      </c>
      <c r="Q161" s="46" t="s">
        <v>37</v>
      </c>
      <c r="R161" s="49">
        <v>0.25011061335103146</v>
      </c>
    </row>
    <row r="162" spans="1:18" x14ac:dyDescent="0.25">
      <c r="A162" s="14" t="s">
        <v>292</v>
      </c>
      <c r="B162" s="14" t="s">
        <v>48</v>
      </c>
      <c r="C162" s="14" t="s">
        <v>37</v>
      </c>
      <c r="D162" s="15">
        <v>0.21358024691358024</v>
      </c>
      <c r="O162" s="45" t="s">
        <v>292</v>
      </c>
      <c r="P162" s="46" t="s">
        <v>48</v>
      </c>
      <c r="Q162" s="46" t="s">
        <v>37</v>
      </c>
      <c r="R162" s="49">
        <v>0.21358024691358024</v>
      </c>
    </row>
    <row r="163" spans="1:18" x14ac:dyDescent="0.25">
      <c r="A163" s="14" t="s">
        <v>294</v>
      </c>
      <c r="B163" s="14" t="s">
        <v>36</v>
      </c>
      <c r="C163" s="14" t="s">
        <v>37</v>
      </c>
      <c r="D163" s="15">
        <v>0.38183654729109273</v>
      </c>
      <c r="O163" s="45" t="s">
        <v>294</v>
      </c>
      <c r="P163" s="46" t="s">
        <v>36</v>
      </c>
      <c r="Q163" s="46" t="s">
        <v>37</v>
      </c>
      <c r="R163" s="49">
        <v>0.38183654729109273</v>
      </c>
    </row>
    <row r="164" spans="1:18" x14ac:dyDescent="0.25">
      <c r="A164" s="14" t="s">
        <v>295</v>
      </c>
      <c r="B164" s="14" t="s">
        <v>25</v>
      </c>
      <c r="C164" s="14" t="s">
        <v>18</v>
      </c>
      <c r="D164" s="15">
        <v>0.34538893228036677</v>
      </c>
      <c r="O164" s="45" t="s">
        <v>295</v>
      </c>
      <c r="P164" s="46" t="s">
        <v>25</v>
      </c>
      <c r="Q164" s="46" t="s">
        <v>18</v>
      </c>
      <c r="R164" s="49">
        <v>0.34538893228036677</v>
      </c>
    </row>
    <row r="165" spans="1:18" x14ac:dyDescent="0.25">
      <c r="A165" s="14" t="s">
        <v>296</v>
      </c>
      <c r="B165" s="14" t="s">
        <v>60</v>
      </c>
      <c r="C165" s="14" t="s">
        <v>52</v>
      </c>
      <c r="D165" s="15">
        <v>0.23005576208178438</v>
      </c>
      <c r="O165" s="45" t="s">
        <v>296</v>
      </c>
      <c r="P165" s="46" t="s">
        <v>60</v>
      </c>
      <c r="Q165" s="46" t="s">
        <v>52</v>
      </c>
      <c r="R165" s="49">
        <v>0.23005576208178438</v>
      </c>
    </row>
    <row r="166" spans="1:18" x14ac:dyDescent="0.25">
      <c r="A166" s="14" t="s">
        <v>298</v>
      </c>
      <c r="B166" s="14" t="s">
        <v>25</v>
      </c>
      <c r="C166" s="14" t="s">
        <v>18</v>
      </c>
      <c r="D166" s="15">
        <v>0.28876190476190478</v>
      </c>
      <c r="O166" s="45" t="s">
        <v>298</v>
      </c>
      <c r="P166" s="46" t="s">
        <v>25</v>
      </c>
      <c r="Q166" s="46" t="s">
        <v>18</v>
      </c>
      <c r="R166" s="49">
        <v>0.28876190476190478</v>
      </c>
    </row>
    <row r="167" spans="1:18" x14ac:dyDescent="0.25">
      <c r="A167" s="14" t="s">
        <v>299</v>
      </c>
      <c r="B167" s="14" t="s">
        <v>56</v>
      </c>
      <c r="C167" s="14" t="s">
        <v>57</v>
      </c>
      <c r="D167" s="15">
        <v>0.17334815756035576</v>
      </c>
      <c r="O167" s="45" t="s">
        <v>299</v>
      </c>
      <c r="P167" s="46" t="s">
        <v>56</v>
      </c>
      <c r="Q167" s="46" t="s">
        <v>57</v>
      </c>
      <c r="R167" s="49">
        <v>0.17334815756035576</v>
      </c>
    </row>
    <row r="168" spans="1:18" x14ac:dyDescent="0.25">
      <c r="A168" s="14" t="s">
        <v>301</v>
      </c>
      <c r="B168" s="14" t="s">
        <v>48</v>
      </c>
      <c r="C168" s="14" t="s">
        <v>37</v>
      </c>
      <c r="D168" s="15">
        <v>0.29377147170741474</v>
      </c>
      <c r="O168" s="45" t="s">
        <v>301</v>
      </c>
      <c r="P168" s="46" t="s">
        <v>48</v>
      </c>
      <c r="Q168" s="46" t="s">
        <v>37</v>
      </c>
      <c r="R168" s="49">
        <v>0.29377147170741474</v>
      </c>
    </row>
    <row r="169" spans="1:18" x14ac:dyDescent="0.25">
      <c r="A169" s="14" t="s">
        <v>302</v>
      </c>
      <c r="B169" s="14" t="s">
        <v>63</v>
      </c>
      <c r="C169" s="14" t="s">
        <v>37</v>
      </c>
      <c r="D169" s="15">
        <v>0.28502884453820732</v>
      </c>
      <c r="O169" s="45" t="s">
        <v>302</v>
      </c>
      <c r="P169" s="46" t="s">
        <v>63</v>
      </c>
      <c r="Q169" s="46" t="s">
        <v>37</v>
      </c>
      <c r="R169" s="49">
        <v>0.28502884453820732</v>
      </c>
    </row>
    <row r="170" spans="1:18" x14ac:dyDescent="0.25">
      <c r="A170" s="14" t="s">
        <v>304</v>
      </c>
      <c r="B170" s="14" t="s">
        <v>17</v>
      </c>
      <c r="C170" s="14" t="s">
        <v>18</v>
      </c>
      <c r="D170" s="15">
        <v>0.1760313562055022</v>
      </c>
      <c r="O170" s="45" t="s">
        <v>304</v>
      </c>
      <c r="P170" s="46" t="s">
        <v>17</v>
      </c>
      <c r="Q170" s="46" t="s">
        <v>18</v>
      </c>
      <c r="R170" s="49">
        <v>0.1760313562055022</v>
      </c>
    </row>
    <row r="171" spans="1:18" x14ac:dyDescent="0.25">
      <c r="A171" s="14" t="s">
        <v>305</v>
      </c>
      <c r="B171" s="14" t="s">
        <v>60</v>
      </c>
      <c r="C171" s="14" t="s">
        <v>52</v>
      </c>
      <c r="D171" s="15">
        <v>0.1320254506892895</v>
      </c>
      <c r="O171" s="45" t="s">
        <v>305</v>
      </c>
      <c r="P171" s="46" t="s">
        <v>60</v>
      </c>
      <c r="Q171" s="46" t="s">
        <v>52</v>
      </c>
      <c r="R171" s="49">
        <v>0.1320254506892895</v>
      </c>
    </row>
    <row r="172" spans="1:18" x14ac:dyDescent="0.25">
      <c r="A172" s="14" t="s">
        <v>307</v>
      </c>
      <c r="B172" s="14" t="s">
        <v>83</v>
      </c>
      <c r="C172" s="14" t="s">
        <v>52</v>
      </c>
      <c r="D172" s="15">
        <v>0.35804622764936761</v>
      </c>
      <c r="O172" s="45" t="s">
        <v>307</v>
      </c>
      <c r="P172" s="46" t="s">
        <v>83</v>
      </c>
      <c r="Q172" s="46" t="s">
        <v>52</v>
      </c>
      <c r="R172" s="49">
        <v>0.35804622764936761</v>
      </c>
    </row>
    <row r="173" spans="1:18" x14ac:dyDescent="0.25">
      <c r="A173" s="14" t="s">
        <v>308</v>
      </c>
      <c r="B173" s="14" t="s">
        <v>25</v>
      </c>
      <c r="C173" s="14" t="s">
        <v>18</v>
      </c>
      <c r="D173" s="15">
        <v>0.24310064935064934</v>
      </c>
      <c r="O173" s="45" t="s">
        <v>308</v>
      </c>
      <c r="P173" s="46" t="s">
        <v>25</v>
      </c>
      <c r="Q173" s="46" t="s">
        <v>18</v>
      </c>
      <c r="R173" s="49">
        <v>0.24310064935064934</v>
      </c>
    </row>
    <row r="174" spans="1:18" x14ac:dyDescent="0.25">
      <c r="A174" s="14" t="s">
        <v>309</v>
      </c>
      <c r="B174" s="14" t="s">
        <v>60</v>
      </c>
      <c r="C174" s="14" t="s">
        <v>52</v>
      </c>
      <c r="D174" s="15">
        <v>0.27447189402076616</v>
      </c>
      <c r="O174" s="45" t="s">
        <v>309</v>
      </c>
      <c r="P174" s="46" t="s">
        <v>60</v>
      </c>
      <c r="Q174" s="46" t="s">
        <v>52</v>
      </c>
      <c r="R174" s="49">
        <v>0.27447189402076616</v>
      </c>
    </row>
    <row r="175" spans="1:18" x14ac:dyDescent="0.25">
      <c r="A175" s="14" t="s">
        <v>310</v>
      </c>
      <c r="B175" s="14" t="s">
        <v>17</v>
      </c>
      <c r="C175" s="14" t="s">
        <v>18</v>
      </c>
      <c r="D175" s="15">
        <v>0.18264044943820223</v>
      </c>
      <c r="O175" s="45" t="s">
        <v>310</v>
      </c>
      <c r="P175" s="46" t="s">
        <v>17</v>
      </c>
      <c r="Q175" s="46" t="s">
        <v>18</v>
      </c>
      <c r="R175" s="49">
        <v>0.18264044943820223</v>
      </c>
    </row>
    <row r="176" spans="1:18" x14ac:dyDescent="0.25">
      <c r="A176" s="14" t="s">
        <v>311</v>
      </c>
      <c r="B176" s="14" t="s">
        <v>17</v>
      </c>
      <c r="C176" s="14" t="s">
        <v>18</v>
      </c>
      <c r="D176" s="15">
        <v>0.34544521490975544</v>
      </c>
      <c r="O176" s="45" t="s">
        <v>311</v>
      </c>
      <c r="P176" s="46" t="s">
        <v>17</v>
      </c>
      <c r="Q176" s="46" t="s">
        <v>18</v>
      </c>
      <c r="R176" s="49">
        <v>0.34544521490975544</v>
      </c>
    </row>
    <row r="177" spans="1:18" x14ac:dyDescent="0.25">
      <c r="A177" s="14" t="s">
        <v>312</v>
      </c>
      <c r="B177" s="14" t="s">
        <v>60</v>
      </c>
      <c r="C177" s="14" t="s">
        <v>52</v>
      </c>
      <c r="D177" s="15">
        <v>0.3407782450696174</v>
      </c>
      <c r="O177" s="45" t="s">
        <v>312</v>
      </c>
      <c r="P177" s="46" t="s">
        <v>60</v>
      </c>
      <c r="Q177" s="46" t="s">
        <v>52</v>
      </c>
      <c r="R177" s="49">
        <v>0.3407782450696174</v>
      </c>
    </row>
    <row r="178" spans="1:18" x14ac:dyDescent="0.25">
      <c r="A178" s="14" t="s">
        <v>313</v>
      </c>
      <c r="B178" s="14" t="s">
        <v>25</v>
      </c>
      <c r="C178" s="14" t="s">
        <v>18</v>
      </c>
      <c r="D178" s="15">
        <v>0.38147024432743082</v>
      </c>
      <c r="O178" s="45" t="s">
        <v>313</v>
      </c>
      <c r="P178" s="46" t="s">
        <v>25</v>
      </c>
      <c r="Q178" s="46" t="s">
        <v>18</v>
      </c>
      <c r="R178" s="49">
        <v>0.38147024432743082</v>
      </c>
    </row>
    <row r="179" spans="1:18" x14ac:dyDescent="0.25">
      <c r="A179" s="14" t="s">
        <v>314</v>
      </c>
      <c r="B179" s="14" t="s">
        <v>60</v>
      </c>
      <c r="C179" s="14" t="s">
        <v>52</v>
      </c>
      <c r="D179" s="15">
        <v>0.10230452416134814</v>
      </c>
      <c r="O179" s="45" t="s">
        <v>314</v>
      </c>
      <c r="P179" s="46" t="s">
        <v>60</v>
      </c>
      <c r="Q179" s="46" t="s">
        <v>52</v>
      </c>
      <c r="R179" s="49">
        <v>0.10230452416134814</v>
      </c>
    </row>
    <row r="180" spans="1:18" x14ac:dyDescent="0.25">
      <c r="A180" s="14" t="s">
        <v>316</v>
      </c>
      <c r="B180" s="14" t="s">
        <v>60</v>
      </c>
      <c r="C180" s="14" t="s">
        <v>52</v>
      </c>
      <c r="D180" s="15">
        <v>0.31874357314240009</v>
      </c>
      <c r="O180" s="45" t="s">
        <v>316</v>
      </c>
      <c r="P180" s="46" t="s">
        <v>60</v>
      </c>
      <c r="Q180" s="46" t="s">
        <v>52</v>
      </c>
      <c r="R180" s="49">
        <v>0.31874357314240009</v>
      </c>
    </row>
    <row r="181" spans="1:18" x14ac:dyDescent="0.25">
      <c r="A181" s="14" t="s">
        <v>317</v>
      </c>
      <c r="B181" s="14" t="s">
        <v>36</v>
      </c>
      <c r="C181" s="14" t="s">
        <v>37</v>
      </c>
      <c r="D181" s="15">
        <v>0.22477278023770683</v>
      </c>
      <c r="O181" s="45" t="s">
        <v>317</v>
      </c>
      <c r="P181" s="46" t="s">
        <v>36</v>
      </c>
      <c r="Q181" s="46" t="s">
        <v>37</v>
      </c>
      <c r="R181" s="49">
        <v>0.22477278023770683</v>
      </c>
    </row>
    <row r="182" spans="1:18" x14ac:dyDescent="0.25">
      <c r="A182" s="14" t="s">
        <v>318</v>
      </c>
      <c r="B182" s="14" t="s">
        <v>43</v>
      </c>
      <c r="C182" s="14" t="s">
        <v>44</v>
      </c>
      <c r="D182" s="15">
        <v>0.17726282432164783</v>
      </c>
      <c r="O182" s="45" t="s">
        <v>318</v>
      </c>
      <c r="P182" s="46" t="s">
        <v>43</v>
      </c>
      <c r="Q182" s="46" t="s">
        <v>44</v>
      </c>
      <c r="R182" s="49">
        <v>0.17726282432164783</v>
      </c>
    </row>
    <row r="183" spans="1:18" x14ac:dyDescent="0.25">
      <c r="A183" s="14" t="s">
        <v>320</v>
      </c>
      <c r="B183" s="14" t="s">
        <v>17</v>
      </c>
      <c r="C183" s="14" t="s">
        <v>18</v>
      </c>
      <c r="D183" s="15">
        <v>0.11691275319422947</v>
      </c>
      <c r="O183" s="45" t="s">
        <v>320</v>
      </c>
      <c r="P183" s="46" t="s">
        <v>17</v>
      </c>
      <c r="Q183" s="46" t="s">
        <v>18</v>
      </c>
      <c r="R183" s="49">
        <v>0.11691275319422947</v>
      </c>
    </row>
    <row r="184" spans="1:18" x14ac:dyDescent="0.25">
      <c r="A184" s="14" t="s">
        <v>321</v>
      </c>
      <c r="B184" s="14" t="s">
        <v>63</v>
      </c>
      <c r="C184" s="14" t="s">
        <v>37</v>
      </c>
      <c r="D184" s="15">
        <v>0.28142233142233142</v>
      </c>
      <c r="O184" s="45" t="s">
        <v>321</v>
      </c>
      <c r="P184" s="46" t="s">
        <v>63</v>
      </c>
      <c r="Q184" s="46" t="s">
        <v>37</v>
      </c>
      <c r="R184" s="49">
        <v>0.28142233142233142</v>
      </c>
    </row>
    <row r="185" spans="1:18" x14ac:dyDescent="0.25">
      <c r="A185" s="14" t="s">
        <v>322</v>
      </c>
      <c r="B185" s="14" t="s">
        <v>63</v>
      </c>
      <c r="C185" s="14" t="s">
        <v>37</v>
      </c>
      <c r="D185" s="15">
        <v>0.22951273532668881</v>
      </c>
      <c r="O185" s="45" t="s">
        <v>322</v>
      </c>
      <c r="P185" s="46" t="s">
        <v>63</v>
      </c>
      <c r="Q185" s="46" t="s">
        <v>37</v>
      </c>
      <c r="R185" s="49">
        <v>0.22951273532668881</v>
      </c>
    </row>
    <row r="186" spans="1:18" x14ac:dyDescent="0.25">
      <c r="A186" s="14" t="s">
        <v>324</v>
      </c>
      <c r="B186" s="14" t="s">
        <v>17</v>
      </c>
      <c r="C186" s="14" t="s">
        <v>18</v>
      </c>
      <c r="D186" s="15">
        <v>0.3368546501169275</v>
      </c>
      <c r="O186" s="45" t="s">
        <v>324</v>
      </c>
      <c r="P186" s="46" t="s">
        <v>17</v>
      </c>
      <c r="Q186" s="46" t="s">
        <v>18</v>
      </c>
      <c r="R186" s="49">
        <v>0.3368546501169275</v>
      </c>
    </row>
    <row r="187" spans="1:18" x14ac:dyDescent="0.25">
      <c r="A187" s="14" t="s">
        <v>325</v>
      </c>
      <c r="B187" s="14" t="s">
        <v>56</v>
      </c>
      <c r="C187" s="14" t="s">
        <v>57</v>
      </c>
      <c r="D187" s="15">
        <v>0.18473717542748574</v>
      </c>
      <c r="O187" s="45" t="s">
        <v>325</v>
      </c>
      <c r="P187" s="46" t="s">
        <v>56</v>
      </c>
      <c r="Q187" s="46" t="s">
        <v>57</v>
      </c>
      <c r="R187" s="49">
        <v>0.18473717542748574</v>
      </c>
    </row>
    <row r="188" spans="1:18" x14ac:dyDescent="0.25">
      <c r="A188" s="14" t="s">
        <v>326</v>
      </c>
      <c r="B188" s="14" t="s">
        <v>25</v>
      </c>
      <c r="C188" s="14" t="s">
        <v>18</v>
      </c>
      <c r="D188" s="15">
        <v>0.26497937757780277</v>
      </c>
      <c r="O188" s="45" t="s">
        <v>326</v>
      </c>
      <c r="P188" s="46" t="s">
        <v>25</v>
      </c>
      <c r="Q188" s="46" t="s">
        <v>18</v>
      </c>
      <c r="R188" s="49">
        <v>0.26497937757780277</v>
      </c>
    </row>
    <row r="189" spans="1:18" x14ac:dyDescent="0.25">
      <c r="A189" s="14" t="s">
        <v>327</v>
      </c>
      <c r="B189" s="14" t="s">
        <v>60</v>
      </c>
      <c r="C189" s="14" t="s">
        <v>52</v>
      </c>
      <c r="D189" s="15">
        <v>0.19794629650699738</v>
      </c>
      <c r="O189" s="45" t="s">
        <v>327</v>
      </c>
      <c r="P189" s="46" t="s">
        <v>60</v>
      </c>
      <c r="Q189" s="46" t="s">
        <v>52</v>
      </c>
      <c r="R189" s="49">
        <v>0.19794629650699738</v>
      </c>
    </row>
    <row r="190" spans="1:18" x14ac:dyDescent="0.25">
      <c r="A190" s="14" t="s">
        <v>328</v>
      </c>
      <c r="B190" s="14" t="s">
        <v>17</v>
      </c>
      <c r="C190" s="14" t="s">
        <v>18</v>
      </c>
      <c r="D190" s="15">
        <v>0.30143516754034649</v>
      </c>
      <c r="O190" s="45" t="s">
        <v>328</v>
      </c>
      <c r="P190" s="46" t="s">
        <v>17</v>
      </c>
      <c r="Q190" s="46" t="s">
        <v>18</v>
      </c>
      <c r="R190" s="49">
        <v>0.30143516754034649</v>
      </c>
    </row>
    <row r="191" spans="1:18" x14ac:dyDescent="0.25">
      <c r="A191" s="14" t="s">
        <v>329</v>
      </c>
      <c r="B191" s="14" t="s">
        <v>17</v>
      </c>
      <c r="C191" s="14" t="s">
        <v>18</v>
      </c>
      <c r="D191" s="15">
        <v>0.39375584703209426</v>
      </c>
      <c r="O191" s="45" t="s">
        <v>329</v>
      </c>
      <c r="P191" s="46" t="s">
        <v>17</v>
      </c>
      <c r="Q191" s="46" t="s">
        <v>18</v>
      </c>
      <c r="R191" s="49">
        <v>0.39375584703209426</v>
      </c>
    </row>
    <row r="192" spans="1:18" x14ac:dyDescent="0.25">
      <c r="A192" s="14" t="s">
        <v>331</v>
      </c>
      <c r="B192" s="14" t="s">
        <v>51</v>
      </c>
      <c r="C192" s="14" t="s">
        <v>52</v>
      </c>
      <c r="D192" s="15">
        <v>0.37346989757681737</v>
      </c>
      <c r="O192" s="45" t="s">
        <v>331</v>
      </c>
      <c r="P192" s="46" t="s">
        <v>51</v>
      </c>
      <c r="Q192" s="46" t="s">
        <v>52</v>
      </c>
      <c r="R192" s="49">
        <v>0.37346989757681737</v>
      </c>
    </row>
    <row r="193" spans="1:18" x14ac:dyDescent="0.25">
      <c r="A193" s="14" t="s">
        <v>332</v>
      </c>
      <c r="B193" s="14" t="s">
        <v>48</v>
      </c>
      <c r="C193" s="14" t="s">
        <v>37</v>
      </c>
      <c r="D193" s="15">
        <v>0.29451312682316994</v>
      </c>
      <c r="O193" s="45" t="s">
        <v>332</v>
      </c>
      <c r="P193" s="46" t="s">
        <v>48</v>
      </c>
      <c r="Q193" s="46" t="s">
        <v>37</v>
      </c>
      <c r="R193" s="49">
        <v>0.29451312682316994</v>
      </c>
    </row>
    <row r="194" spans="1:18" x14ac:dyDescent="0.25">
      <c r="A194" s="14" t="s">
        <v>333</v>
      </c>
      <c r="B194" s="14" t="s">
        <v>17</v>
      </c>
      <c r="C194" s="14" t="s">
        <v>18</v>
      </c>
      <c r="D194" s="15">
        <v>0.27320414282113031</v>
      </c>
      <c r="O194" s="45" t="s">
        <v>333</v>
      </c>
      <c r="P194" s="46" t="s">
        <v>17</v>
      </c>
      <c r="Q194" s="46" t="s">
        <v>18</v>
      </c>
      <c r="R194" s="49">
        <v>0.27320414282113031</v>
      </c>
    </row>
    <row r="195" spans="1:18" x14ac:dyDescent="0.25">
      <c r="A195" s="14" t="s">
        <v>334</v>
      </c>
      <c r="B195" s="14" t="s">
        <v>63</v>
      </c>
      <c r="C195" s="14" t="s">
        <v>37</v>
      </c>
      <c r="D195" s="15">
        <v>0.18664516329125702</v>
      </c>
      <c r="O195" s="45" t="s">
        <v>334</v>
      </c>
      <c r="P195" s="46" t="s">
        <v>63</v>
      </c>
      <c r="Q195" s="46" t="s">
        <v>37</v>
      </c>
      <c r="R195" s="49">
        <v>0.18664516329125702</v>
      </c>
    </row>
    <row r="196" spans="1:18" x14ac:dyDescent="0.25">
      <c r="A196" s="14" t="s">
        <v>335</v>
      </c>
      <c r="B196" s="14" t="s">
        <v>48</v>
      </c>
      <c r="C196" s="14" t="s">
        <v>37</v>
      </c>
      <c r="D196" s="15">
        <v>0.41063474387527837</v>
      </c>
      <c r="O196" s="45" t="s">
        <v>335</v>
      </c>
      <c r="P196" s="46" t="s">
        <v>48</v>
      </c>
      <c r="Q196" s="46" t="s">
        <v>37</v>
      </c>
      <c r="R196" s="49">
        <v>0.41063474387527837</v>
      </c>
    </row>
    <row r="197" spans="1:18" x14ac:dyDescent="0.25">
      <c r="A197" s="14" t="s">
        <v>336</v>
      </c>
      <c r="B197" s="14" t="s">
        <v>48</v>
      </c>
      <c r="C197" s="14" t="s">
        <v>37</v>
      </c>
      <c r="D197" s="15">
        <v>0.31371587700031378</v>
      </c>
      <c r="O197" s="45" t="s">
        <v>336</v>
      </c>
      <c r="P197" s="46" t="s">
        <v>48</v>
      </c>
      <c r="Q197" s="46" t="s">
        <v>37</v>
      </c>
      <c r="R197" s="49">
        <v>0.31371587700031378</v>
      </c>
    </row>
    <row r="198" spans="1:18" x14ac:dyDescent="0.25">
      <c r="A198" s="14" t="s">
        <v>337</v>
      </c>
      <c r="B198" s="14" t="s">
        <v>43</v>
      </c>
      <c r="C198" s="14" t="s">
        <v>44</v>
      </c>
      <c r="D198" s="15">
        <v>0.37884782608695655</v>
      </c>
      <c r="O198" s="45" t="s">
        <v>337</v>
      </c>
      <c r="P198" s="46" t="s">
        <v>43</v>
      </c>
      <c r="Q198" s="46" t="s">
        <v>44</v>
      </c>
      <c r="R198" s="49">
        <v>0.37884782608695655</v>
      </c>
    </row>
    <row r="199" spans="1:18" x14ac:dyDescent="0.25">
      <c r="A199" s="14" t="s">
        <v>338</v>
      </c>
      <c r="B199" s="14" t="s">
        <v>17</v>
      </c>
      <c r="C199" s="14" t="s">
        <v>18</v>
      </c>
      <c r="D199" s="15">
        <v>0.35393029077604471</v>
      </c>
      <c r="O199" s="45" t="s">
        <v>338</v>
      </c>
      <c r="P199" s="46" t="s">
        <v>17</v>
      </c>
      <c r="Q199" s="46" t="s">
        <v>18</v>
      </c>
      <c r="R199" s="49">
        <v>0.35393029077604471</v>
      </c>
    </row>
    <row r="200" spans="1:18" x14ac:dyDescent="0.25">
      <c r="A200" s="14" t="s">
        <v>339</v>
      </c>
      <c r="B200" s="14" t="s">
        <v>63</v>
      </c>
      <c r="C200" s="14" t="s">
        <v>37</v>
      </c>
      <c r="D200" s="15">
        <v>0.33258827827806314</v>
      </c>
      <c r="O200" s="45" t="s">
        <v>339</v>
      </c>
      <c r="P200" s="46" t="s">
        <v>63</v>
      </c>
      <c r="Q200" s="46" t="s">
        <v>37</v>
      </c>
      <c r="R200" s="49">
        <v>0.33258827827806314</v>
      </c>
    </row>
    <row r="201" spans="1:18" x14ac:dyDescent="0.25">
      <c r="A201" s="14" t="s">
        <v>340</v>
      </c>
      <c r="B201" s="14" t="s">
        <v>25</v>
      </c>
      <c r="C201" s="14" t="s">
        <v>18</v>
      </c>
      <c r="D201" s="15">
        <v>0.13649825783972125</v>
      </c>
      <c r="O201" s="45" t="s">
        <v>340</v>
      </c>
      <c r="P201" s="46" t="s">
        <v>25</v>
      </c>
      <c r="Q201" s="46" t="s">
        <v>18</v>
      </c>
      <c r="R201" s="49">
        <v>0.13649825783972125</v>
      </c>
    </row>
    <row r="202" spans="1:18" x14ac:dyDescent="0.25">
      <c r="A202" s="14" t="s">
        <v>341</v>
      </c>
      <c r="B202" s="14" t="s">
        <v>17</v>
      </c>
      <c r="C202" s="14" t="s">
        <v>18</v>
      </c>
      <c r="D202" s="15">
        <v>0.32108862144420136</v>
      </c>
      <c r="O202" s="45" t="s">
        <v>341</v>
      </c>
      <c r="P202" s="46" t="s">
        <v>17</v>
      </c>
      <c r="Q202" s="46" t="s">
        <v>18</v>
      </c>
      <c r="R202" s="49">
        <v>0.32108862144420136</v>
      </c>
    </row>
    <row r="203" spans="1:18" x14ac:dyDescent="0.25">
      <c r="A203" s="14" t="s">
        <v>343</v>
      </c>
      <c r="B203" s="14" t="s">
        <v>56</v>
      </c>
      <c r="C203" s="14" t="s">
        <v>57</v>
      </c>
      <c r="D203" s="15">
        <v>0.28904748833379079</v>
      </c>
      <c r="O203" s="45" t="s">
        <v>343</v>
      </c>
      <c r="P203" s="46" t="s">
        <v>56</v>
      </c>
      <c r="Q203" s="46" t="s">
        <v>57</v>
      </c>
      <c r="R203" s="49">
        <v>0.28904748833379079</v>
      </c>
    </row>
    <row r="204" spans="1:18" x14ac:dyDescent="0.25">
      <c r="A204" s="14" t="s">
        <v>344</v>
      </c>
      <c r="B204" s="14" t="s">
        <v>63</v>
      </c>
      <c r="C204" s="14" t="s">
        <v>37</v>
      </c>
      <c r="D204" s="15">
        <v>0.29271310482809454</v>
      </c>
      <c r="O204" s="45" t="s">
        <v>344</v>
      </c>
      <c r="P204" s="46" t="s">
        <v>63</v>
      </c>
      <c r="Q204" s="46" t="s">
        <v>37</v>
      </c>
      <c r="R204" s="49">
        <v>0.29271310482809454</v>
      </c>
    </row>
    <row r="205" spans="1:18" x14ac:dyDescent="0.25">
      <c r="A205" s="14" t="s">
        <v>345</v>
      </c>
      <c r="B205" s="14" t="s">
        <v>51</v>
      </c>
      <c r="C205" s="14" t="s">
        <v>52</v>
      </c>
      <c r="D205" s="15">
        <v>0.35144402339869762</v>
      </c>
      <c r="O205" s="45" t="s">
        <v>345</v>
      </c>
      <c r="P205" s="46" t="s">
        <v>51</v>
      </c>
      <c r="Q205" s="46" t="s">
        <v>52</v>
      </c>
      <c r="R205" s="49">
        <v>0.35144402339869762</v>
      </c>
    </row>
    <row r="206" spans="1:18" x14ac:dyDescent="0.25">
      <c r="A206" s="14" t="s">
        <v>346</v>
      </c>
      <c r="B206" s="14" t="s">
        <v>48</v>
      </c>
      <c r="C206" s="14" t="s">
        <v>37</v>
      </c>
      <c r="D206" s="15">
        <v>0.36147114993268836</v>
      </c>
      <c r="O206" s="45" t="s">
        <v>346</v>
      </c>
      <c r="P206" s="46" t="s">
        <v>48</v>
      </c>
      <c r="Q206" s="46" t="s">
        <v>37</v>
      </c>
      <c r="R206" s="49">
        <v>0.36147114993268836</v>
      </c>
    </row>
    <row r="207" spans="1:18" x14ac:dyDescent="0.25">
      <c r="A207" s="14" t="s">
        <v>347</v>
      </c>
      <c r="B207" s="14" t="s">
        <v>36</v>
      </c>
      <c r="C207" s="14" t="s">
        <v>37</v>
      </c>
      <c r="D207" s="15">
        <v>0.14738525206922498</v>
      </c>
      <c r="O207" s="45" t="s">
        <v>347</v>
      </c>
      <c r="P207" s="46" t="s">
        <v>36</v>
      </c>
      <c r="Q207" s="46" t="s">
        <v>37</v>
      </c>
      <c r="R207" s="49">
        <v>0.14738525206922498</v>
      </c>
    </row>
    <row r="208" spans="1:18" x14ac:dyDescent="0.25">
      <c r="A208" s="14" t="s">
        <v>348</v>
      </c>
      <c r="B208" s="14" t="s">
        <v>43</v>
      </c>
      <c r="C208" s="14" t="s">
        <v>44</v>
      </c>
      <c r="D208" s="15">
        <v>0.32340729001584784</v>
      </c>
      <c r="O208" s="45" t="s">
        <v>348</v>
      </c>
      <c r="P208" s="46" t="s">
        <v>43</v>
      </c>
      <c r="Q208" s="46" t="s">
        <v>44</v>
      </c>
      <c r="R208" s="49">
        <v>0.32340729001584784</v>
      </c>
    </row>
    <row r="209" spans="1:18" x14ac:dyDescent="0.25">
      <c r="A209" s="14" t="s">
        <v>349</v>
      </c>
      <c r="B209" s="14" t="s">
        <v>36</v>
      </c>
      <c r="C209" s="14" t="s">
        <v>37</v>
      </c>
      <c r="D209" s="15">
        <v>0.36376285541439807</v>
      </c>
      <c r="O209" s="45" t="s">
        <v>349</v>
      </c>
      <c r="P209" s="46" t="s">
        <v>36</v>
      </c>
      <c r="Q209" s="46" t="s">
        <v>37</v>
      </c>
      <c r="R209" s="49">
        <v>0.36376285541439807</v>
      </c>
    </row>
    <row r="210" spans="1:18" x14ac:dyDescent="0.25">
      <c r="A210" s="14" t="s">
        <v>350</v>
      </c>
      <c r="B210" s="14" t="s">
        <v>60</v>
      </c>
      <c r="C210" s="14" t="s">
        <v>52</v>
      </c>
      <c r="D210" s="15">
        <v>0.19756921523705978</v>
      </c>
      <c r="O210" s="45" t="s">
        <v>350</v>
      </c>
      <c r="P210" s="46" t="s">
        <v>60</v>
      </c>
      <c r="Q210" s="46" t="s">
        <v>52</v>
      </c>
      <c r="R210" s="49">
        <v>0.19756921523705978</v>
      </c>
    </row>
    <row r="211" spans="1:18" x14ac:dyDescent="0.25">
      <c r="A211" s="14" t="s">
        <v>351</v>
      </c>
      <c r="B211" s="14" t="s">
        <v>43</v>
      </c>
      <c r="C211" s="14" t="s">
        <v>44</v>
      </c>
      <c r="D211" s="15">
        <v>0.21634795650543684</v>
      </c>
      <c r="O211" s="45" t="s">
        <v>351</v>
      </c>
      <c r="P211" s="46" t="s">
        <v>43</v>
      </c>
      <c r="Q211" s="46" t="s">
        <v>44</v>
      </c>
      <c r="R211" s="49">
        <v>0.21634795650543684</v>
      </c>
    </row>
    <row r="212" spans="1:18" x14ac:dyDescent="0.25">
      <c r="A212" s="14" t="s">
        <v>352</v>
      </c>
      <c r="B212" s="14" t="s">
        <v>48</v>
      </c>
      <c r="C212" s="14" t="s">
        <v>37</v>
      </c>
      <c r="D212" s="15">
        <v>0.22510470713258734</v>
      </c>
      <c r="O212" s="45" t="s">
        <v>352</v>
      </c>
      <c r="P212" s="46" t="s">
        <v>48</v>
      </c>
      <c r="Q212" s="46" t="s">
        <v>37</v>
      </c>
      <c r="R212" s="49">
        <v>0.22510470713258734</v>
      </c>
    </row>
    <row r="213" spans="1:18" x14ac:dyDescent="0.25">
      <c r="A213" s="14" t="s">
        <v>353</v>
      </c>
      <c r="B213" s="14" t="s">
        <v>25</v>
      </c>
      <c r="C213" s="14" t="s">
        <v>18</v>
      </c>
      <c r="D213" s="15">
        <v>0.21478528069976999</v>
      </c>
      <c r="O213" s="45" t="s">
        <v>353</v>
      </c>
      <c r="P213" s="46" t="s">
        <v>25</v>
      </c>
      <c r="Q213" s="46" t="s">
        <v>18</v>
      </c>
      <c r="R213" s="49">
        <v>0.21478528069976999</v>
      </c>
    </row>
    <row r="214" spans="1:18" x14ac:dyDescent="0.25">
      <c r="A214" s="14" t="s">
        <v>355</v>
      </c>
      <c r="B214" s="14" t="s">
        <v>25</v>
      </c>
      <c r="C214" s="14" t="s">
        <v>18</v>
      </c>
      <c r="D214" s="15">
        <v>0.31334800146681335</v>
      </c>
      <c r="O214" s="45" t="s">
        <v>355</v>
      </c>
      <c r="P214" s="46" t="s">
        <v>25</v>
      </c>
      <c r="Q214" s="46" t="s">
        <v>18</v>
      </c>
      <c r="R214" s="49">
        <v>0.31334800146681335</v>
      </c>
    </row>
    <row r="215" spans="1:18" x14ac:dyDescent="0.25">
      <c r="A215" s="14" t="s">
        <v>356</v>
      </c>
      <c r="B215" s="14" t="s">
        <v>83</v>
      </c>
      <c r="C215" s="14" t="s">
        <v>52</v>
      </c>
      <c r="D215" s="15">
        <v>0.30830088987764187</v>
      </c>
      <c r="O215" s="45" t="s">
        <v>356</v>
      </c>
      <c r="P215" s="46" t="s">
        <v>83</v>
      </c>
      <c r="Q215" s="46" t="s">
        <v>52</v>
      </c>
      <c r="R215" s="49">
        <v>0.30830088987764187</v>
      </c>
    </row>
    <row r="216" spans="1:18" x14ac:dyDescent="0.25">
      <c r="A216" s="14" t="s">
        <v>357</v>
      </c>
      <c r="B216" s="14" t="s">
        <v>48</v>
      </c>
      <c r="C216" s="14" t="s">
        <v>37</v>
      </c>
      <c r="D216" s="15">
        <v>0.28038917604135</v>
      </c>
      <c r="O216" s="45" t="s">
        <v>357</v>
      </c>
      <c r="P216" s="46" t="s">
        <v>48</v>
      </c>
      <c r="Q216" s="46" t="s">
        <v>37</v>
      </c>
      <c r="R216" s="49">
        <v>0.28038917604135</v>
      </c>
    </row>
    <row r="217" spans="1:18" x14ac:dyDescent="0.25">
      <c r="A217" s="14" t="s">
        <v>358</v>
      </c>
      <c r="B217" s="14" t="s">
        <v>60</v>
      </c>
      <c r="C217" s="14" t="s">
        <v>52</v>
      </c>
      <c r="D217" s="15">
        <v>0.36458067262664962</v>
      </c>
      <c r="O217" s="45" t="s">
        <v>358</v>
      </c>
      <c r="P217" s="46" t="s">
        <v>60</v>
      </c>
      <c r="Q217" s="46" t="s">
        <v>52</v>
      </c>
      <c r="R217" s="49">
        <v>0.36458067262664962</v>
      </c>
    </row>
    <row r="218" spans="1:18" x14ac:dyDescent="0.25">
      <c r="A218" s="14" t="s">
        <v>359</v>
      </c>
      <c r="B218" s="14" t="s">
        <v>83</v>
      </c>
      <c r="C218" s="14" t="s">
        <v>52</v>
      </c>
      <c r="D218" s="15">
        <v>0.17299256151058554</v>
      </c>
      <c r="O218" s="45" t="s">
        <v>359</v>
      </c>
      <c r="P218" s="46" t="s">
        <v>83</v>
      </c>
      <c r="Q218" s="46" t="s">
        <v>52</v>
      </c>
      <c r="R218" s="49">
        <v>0.17299256151058554</v>
      </c>
    </row>
    <row r="219" spans="1:18" x14ac:dyDescent="0.25">
      <c r="A219" s="14" t="s">
        <v>361</v>
      </c>
      <c r="B219" s="14" t="s">
        <v>48</v>
      </c>
      <c r="C219" s="14" t="s">
        <v>37</v>
      </c>
      <c r="D219" s="15">
        <v>0.22861948142957253</v>
      </c>
      <c r="O219" s="45" t="s">
        <v>361</v>
      </c>
      <c r="P219" s="46" t="s">
        <v>48</v>
      </c>
      <c r="Q219" s="46" t="s">
        <v>37</v>
      </c>
      <c r="R219" s="49">
        <v>0.22861948142957253</v>
      </c>
    </row>
    <row r="220" spans="1:18" x14ac:dyDescent="0.25">
      <c r="A220" s="14" t="s">
        <v>362</v>
      </c>
      <c r="B220" s="14" t="s">
        <v>56</v>
      </c>
      <c r="C220" s="14" t="s">
        <v>57</v>
      </c>
      <c r="D220" s="15">
        <v>0.27401676337846553</v>
      </c>
      <c r="O220" s="45" t="s">
        <v>362</v>
      </c>
      <c r="P220" s="46" t="s">
        <v>56</v>
      </c>
      <c r="Q220" s="46" t="s">
        <v>57</v>
      </c>
      <c r="R220" s="49">
        <v>0.27401676337846553</v>
      </c>
    </row>
    <row r="221" spans="1:18" x14ac:dyDescent="0.25">
      <c r="A221" s="14" t="s">
        <v>363</v>
      </c>
      <c r="B221" s="14" t="s">
        <v>60</v>
      </c>
      <c r="C221" s="14" t="s">
        <v>52</v>
      </c>
      <c r="D221" s="15">
        <v>0.13635840809753855</v>
      </c>
      <c r="O221" s="45" t="s">
        <v>363</v>
      </c>
      <c r="P221" s="46" t="s">
        <v>60</v>
      </c>
      <c r="Q221" s="46" t="s">
        <v>52</v>
      </c>
      <c r="R221" s="49">
        <v>0.13635840809753855</v>
      </c>
    </row>
    <row r="222" spans="1:18" x14ac:dyDescent="0.25">
      <c r="A222" s="14" t="s">
        <v>365</v>
      </c>
      <c r="B222" s="14" t="s">
        <v>83</v>
      </c>
      <c r="C222" s="14" t="s">
        <v>52</v>
      </c>
      <c r="D222" s="15">
        <v>0.39755050360808059</v>
      </c>
      <c r="O222" s="45" t="s">
        <v>365</v>
      </c>
      <c r="P222" s="46" t="s">
        <v>83</v>
      </c>
      <c r="Q222" s="46" t="s">
        <v>52</v>
      </c>
      <c r="R222" s="49">
        <v>0.39755050360808059</v>
      </c>
    </row>
    <row r="223" spans="1:18" x14ac:dyDescent="0.25">
      <c r="A223" s="14" t="s">
        <v>366</v>
      </c>
      <c r="B223" s="14" t="s">
        <v>83</v>
      </c>
      <c r="C223" s="14" t="s">
        <v>52</v>
      </c>
      <c r="D223" s="15">
        <v>0.37340165402526199</v>
      </c>
      <c r="O223" s="45" t="s">
        <v>366</v>
      </c>
      <c r="P223" s="46" t="s">
        <v>83</v>
      </c>
      <c r="Q223" s="46" t="s">
        <v>52</v>
      </c>
      <c r="R223" s="49">
        <v>0.37340165402526199</v>
      </c>
    </row>
    <row r="224" spans="1:18" x14ac:dyDescent="0.25">
      <c r="A224" s="14" t="s">
        <v>367</v>
      </c>
      <c r="B224" s="14" t="s">
        <v>25</v>
      </c>
      <c r="C224" s="14" t="s">
        <v>18</v>
      </c>
      <c r="D224" s="15">
        <v>0.13339165937591135</v>
      </c>
      <c r="O224" s="45" t="s">
        <v>367</v>
      </c>
      <c r="P224" s="46" t="s">
        <v>25</v>
      </c>
      <c r="Q224" s="46" t="s">
        <v>18</v>
      </c>
      <c r="R224" s="49">
        <v>0.13339165937591135</v>
      </c>
    </row>
    <row r="225" spans="1:18" x14ac:dyDescent="0.25">
      <c r="A225" s="14" t="s">
        <v>368</v>
      </c>
      <c r="B225" s="14" t="s">
        <v>56</v>
      </c>
      <c r="C225" s="14" t="s">
        <v>57</v>
      </c>
      <c r="D225" s="15">
        <v>0.26183656154141799</v>
      </c>
      <c r="O225" s="45" t="s">
        <v>368</v>
      </c>
      <c r="P225" s="46" t="s">
        <v>56</v>
      </c>
      <c r="Q225" s="46" t="s">
        <v>57</v>
      </c>
      <c r="R225" s="49">
        <v>0.26183656154141799</v>
      </c>
    </row>
    <row r="226" spans="1:18" x14ac:dyDescent="0.25">
      <c r="A226" s="14" t="s">
        <v>369</v>
      </c>
      <c r="B226" s="14" t="s">
        <v>17</v>
      </c>
      <c r="C226" s="14" t="s">
        <v>18</v>
      </c>
      <c r="D226" s="15">
        <v>0.32722913402178633</v>
      </c>
      <c r="O226" s="45" t="s">
        <v>369</v>
      </c>
      <c r="P226" s="46" t="s">
        <v>17</v>
      </c>
      <c r="Q226" s="46" t="s">
        <v>18</v>
      </c>
      <c r="R226" s="49">
        <v>0.32722913402178633</v>
      </c>
    </row>
    <row r="227" spans="1:18" x14ac:dyDescent="0.25">
      <c r="A227" s="14" t="s">
        <v>370</v>
      </c>
      <c r="B227" s="14" t="s">
        <v>63</v>
      </c>
      <c r="C227" s="14" t="s">
        <v>37</v>
      </c>
      <c r="D227" s="15">
        <v>0.28884558445874498</v>
      </c>
      <c r="O227" s="45" t="s">
        <v>370</v>
      </c>
      <c r="P227" s="46" t="s">
        <v>63</v>
      </c>
      <c r="Q227" s="46" t="s">
        <v>37</v>
      </c>
      <c r="R227" s="49">
        <v>0.28884558445874498</v>
      </c>
    </row>
    <row r="228" spans="1:18" x14ac:dyDescent="0.25">
      <c r="A228" s="14" t="s">
        <v>372</v>
      </c>
      <c r="B228" s="14" t="s">
        <v>83</v>
      </c>
      <c r="C228" s="14" t="s">
        <v>52</v>
      </c>
      <c r="D228" s="15">
        <v>0.14405257618742565</v>
      </c>
      <c r="O228" s="45" t="s">
        <v>372</v>
      </c>
      <c r="P228" s="46" t="s">
        <v>83</v>
      </c>
      <c r="Q228" s="46" t="s">
        <v>52</v>
      </c>
      <c r="R228" s="49">
        <v>0.14405257618742565</v>
      </c>
    </row>
    <row r="229" spans="1:18" x14ac:dyDescent="0.25">
      <c r="A229" s="14" t="s">
        <v>373</v>
      </c>
      <c r="B229" s="14" t="s">
        <v>56</v>
      </c>
      <c r="C229" s="14" t="s">
        <v>57</v>
      </c>
      <c r="D229" s="15">
        <v>0.16429968893830843</v>
      </c>
      <c r="O229" s="45" t="s">
        <v>373</v>
      </c>
      <c r="P229" s="46" t="s">
        <v>56</v>
      </c>
      <c r="Q229" s="46" t="s">
        <v>57</v>
      </c>
      <c r="R229" s="49">
        <v>0.16429968893830843</v>
      </c>
    </row>
    <row r="230" spans="1:18" x14ac:dyDescent="0.25">
      <c r="A230" s="14" t="s">
        <v>374</v>
      </c>
      <c r="B230" s="14" t="s">
        <v>17</v>
      </c>
      <c r="C230" s="14" t="s">
        <v>18</v>
      </c>
      <c r="D230" s="15">
        <v>0.38984899328859063</v>
      </c>
      <c r="O230" s="45" t="s">
        <v>374</v>
      </c>
      <c r="P230" s="46" t="s">
        <v>17</v>
      </c>
      <c r="Q230" s="46" t="s">
        <v>18</v>
      </c>
      <c r="R230" s="49">
        <v>0.38984899328859063</v>
      </c>
    </row>
    <row r="231" spans="1:18" x14ac:dyDescent="0.25">
      <c r="A231" s="14" t="s">
        <v>375</v>
      </c>
      <c r="B231" s="14" t="s">
        <v>51</v>
      </c>
      <c r="C231" s="14" t="s">
        <v>52</v>
      </c>
      <c r="D231" s="15">
        <v>0.15420780441936999</v>
      </c>
      <c r="O231" s="45" t="s">
        <v>375</v>
      </c>
      <c r="P231" s="46" t="s">
        <v>51</v>
      </c>
      <c r="Q231" s="46" t="s">
        <v>52</v>
      </c>
      <c r="R231" s="49">
        <v>0.15420780441936999</v>
      </c>
    </row>
    <row r="232" spans="1:18" x14ac:dyDescent="0.25">
      <c r="A232" s="14" t="s">
        <v>376</v>
      </c>
      <c r="B232" s="14" t="s">
        <v>63</v>
      </c>
      <c r="C232" s="14" t="s">
        <v>37</v>
      </c>
      <c r="D232" s="15">
        <v>0.39610096184881544</v>
      </c>
      <c r="O232" s="45" t="s">
        <v>376</v>
      </c>
      <c r="P232" s="46" t="s">
        <v>63</v>
      </c>
      <c r="Q232" s="46" t="s">
        <v>37</v>
      </c>
      <c r="R232" s="49">
        <v>0.39610096184881544</v>
      </c>
    </row>
    <row r="233" spans="1:18" x14ac:dyDescent="0.25">
      <c r="A233" s="14" t="s">
        <v>377</v>
      </c>
      <c r="B233" s="14" t="s">
        <v>25</v>
      </c>
      <c r="C233" s="14" t="s">
        <v>18</v>
      </c>
      <c r="D233" s="15">
        <v>0.30966173580221368</v>
      </c>
      <c r="O233" s="45" t="s">
        <v>377</v>
      </c>
      <c r="P233" s="46" t="s">
        <v>25</v>
      </c>
      <c r="Q233" s="46" t="s">
        <v>18</v>
      </c>
      <c r="R233" s="49">
        <v>0.30966173580221368</v>
      </c>
    </row>
    <row r="234" spans="1:18" x14ac:dyDescent="0.25">
      <c r="A234" s="14" t="s">
        <v>378</v>
      </c>
      <c r="B234" s="14" t="s">
        <v>56</v>
      </c>
      <c r="C234" s="14" t="s">
        <v>57</v>
      </c>
      <c r="D234" s="15">
        <v>0.21265702600058428</v>
      </c>
      <c r="O234" s="45" t="s">
        <v>378</v>
      </c>
      <c r="P234" s="46" t="s">
        <v>56</v>
      </c>
      <c r="Q234" s="46" t="s">
        <v>57</v>
      </c>
      <c r="R234" s="49">
        <v>0.21265702600058428</v>
      </c>
    </row>
    <row r="235" spans="1:18" x14ac:dyDescent="0.25">
      <c r="A235" s="14" t="s">
        <v>379</v>
      </c>
      <c r="B235" s="14" t="s">
        <v>43</v>
      </c>
      <c r="C235" s="14" t="s">
        <v>44</v>
      </c>
      <c r="D235" s="15">
        <v>0.16666666666666666</v>
      </c>
      <c r="O235" s="45" t="s">
        <v>379</v>
      </c>
      <c r="P235" s="46" t="s">
        <v>43</v>
      </c>
      <c r="Q235" s="46" t="s">
        <v>44</v>
      </c>
      <c r="R235" s="49">
        <v>0.16666666666666666</v>
      </c>
    </row>
    <row r="236" spans="1:18" x14ac:dyDescent="0.25">
      <c r="A236" s="14" t="s">
        <v>380</v>
      </c>
      <c r="B236" s="14" t="s">
        <v>56</v>
      </c>
      <c r="C236" s="14" t="s">
        <v>57</v>
      </c>
      <c r="D236" s="15">
        <v>0.35183072295405038</v>
      </c>
      <c r="O236" s="45" t="s">
        <v>380</v>
      </c>
      <c r="P236" s="46" t="s">
        <v>56</v>
      </c>
      <c r="Q236" s="46" t="s">
        <v>57</v>
      </c>
      <c r="R236" s="49">
        <v>0.35183072295405038</v>
      </c>
    </row>
    <row r="237" spans="1:18" x14ac:dyDescent="0.25">
      <c r="A237" s="14" t="s">
        <v>381</v>
      </c>
      <c r="B237" s="14" t="s">
        <v>60</v>
      </c>
      <c r="C237" s="14" t="s">
        <v>52</v>
      </c>
      <c r="D237" s="15">
        <v>0.1045486814537773</v>
      </c>
      <c r="O237" s="45" t="s">
        <v>381</v>
      </c>
      <c r="P237" s="46" t="s">
        <v>60</v>
      </c>
      <c r="Q237" s="46" t="s">
        <v>52</v>
      </c>
      <c r="R237" s="49">
        <v>0.1045486814537773</v>
      </c>
    </row>
    <row r="238" spans="1:18" x14ac:dyDescent="0.25">
      <c r="A238" s="14" t="s">
        <v>382</v>
      </c>
      <c r="B238" s="14" t="s">
        <v>48</v>
      </c>
      <c r="C238" s="14" t="s">
        <v>37</v>
      </c>
      <c r="D238" s="15">
        <v>0.22946249421206974</v>
      </c>
      <c r="O238" s="45" t="s">
        <v>382</v>
      </c>
      <c r="P238" s="46" t="s">
        <v>48</v>
      </c>
      <c r="Q238" s="46" t="s">
        <v>37</v>
      </c>
      <c r="R238" s="49">
        <v>0.22946249421206974</v>
      </c>
    </row>
    <row r="239" spans="1:18" x14ac:dyDescent="0.25">
      <c r="A239" s="14" t="s">
        <v>383</v>
      </c>
      <c r="B239" s="14" t="s">
        <v>25</v>
      </c>
      <c r="C239" s="14" t="s">
        <v>18</v>
      </c>
      <c r="D239" s="15">
        <v>0.36577978689053919</v>
      </c>
      <c r="O239" s="45" t="s">
        <v>383</v>
      </c>
      <c r="P239" s="46" t="s">
        <v>25</v>
      </c>
      <c r="Q239" s="46" t="s">
        <v>18</v>
      </c>
      <c r="R239" s="49">
        <v>0.36577978689053919</v>
      </c>
    </row>
    <row r="240" spans="1:18" x14ac:dyDescent="0.25">
      <c r="A240" s="14" t="s">
        <v>384</v>
      </c>
      <c r="B240" s="14" t="s">
        <v>43</v>
      </c>
      <c r="C240" s="14" t="s">
        <v>44</v>
      </c>
      <c r="D240" s="15">
        <v>0.29105623533274744</v>
      </c>
      <c r="O240" s="45" t="s">
        <v>384</v>
      </c>
      <c r="P240" s="46" t="s">
        <v>43</v>
      </c>
      <c r="Q240" s="46" t="s">
        <v>44</v>
      </c>
      <c r="R240" s="49">
        <v>0.29105623533274744</v>
      </c>
    </row>
    <row r="241" spans="1:18" x14ac:dyDescent="0.25">
      <c r="A241" s="14" t="s">
        <v>385</v>
      </c>
      <c r="B241" s="14" t="s">
        <v>48</v>
      </c>
      <c r="C241" s="14" t="s">
        <v>37</v>
      </c>
      <c r="D241" s="15">
        <v>0.29701444622792939</v>
      </c>
      <c r="O241" s="45" t="s">
        <v>385</v>
      </c>
      <c r="P241" s="46" t="s">
        <v>48</v>
      </c>
      <c r="Q241" s="46" t="s">
        <v>37</v>
      </c>
      <c r="R241" s="49">
        <v>0.29701444622792939</v>
      </c>
    </row>
    <row r="242" spans="1:18" x14ac:dyDescent="0.25">
      <c r="A242" s="14" t="s">
        <v>386</v>
      </c>
      <c r="B242" s="14" t="s">
        <v>25</v>
      </c>
      <c r="C242" s="14" t="s">
        <v>18</v>
      </c>
      <c r="D242" s="15">
        <v>0.36709511568123393</v>
      </c>
      <c r="O242" s="45" t="s">
        <v>386</v>
      </c>
      <c r="P242" s="46" t="s">
        <v>25</v>
      </c>
      <c r="Q242" s="46" t="s">
        <v>18</v>
      </c>
      <c r="R242" s="49">
        <v>0.36709511568123393</v>
      </c>
    </row>
    <row r="243" spans="1:18" x14ac:dyDescent="0.25">
      <c r="A243" s="14" t="s">
        <v>387</v>
      </c>
      <c r="B243" s="14" t="s">
        <v>60</v>
      </c>
      <c r="C243" s="14" t="s">
        <v>52</v>
      </c>
      <c r="D243" s="15">
        <v>0.14421348987660237</v>
      </c>
      <c r="O243" s="45" t="s">
        <v>387</v>
      </c>
      <c r="P243" s="46" t="s">
        <v>60</v>
      </c>
      <c r="Q243" s="46" t="s">
        <v>52</v>
      </c>
      <c r="R243" s="49">
        <v>0.14421348987660237</v>
      </c>
    </row>
    <row r="244" spans="1:18" x14ac:dyDescent="0.25">
      <c r="A244" s="14" t="s">
        <v>388</v>
      </c>
      <c r="B244" s="14" t="s">
        <v>36</v>
      </c>
      <c r="C244" s="14" t="s">
        <v>37</v>
      </c>
      <c r="D244" s="15">
        <v>0.37256297273734068</v>
      </c>
      <c r="O244" s="45" t="s">
        <v>388</v>
      </c>
      <c r="P244" s="46" t="s">
        <v>36</v>
      </c>
      <c r="Q244" s="46" t="s">
        <v>37</v>
      </c>
      <c r="R244" s="49">
        <v>0.37256297273734068</v>
      </c>
    </row>
    <row r="245" spans="1:18" x14ac:dyDescent="0.25">
      <c r="A245" s="14" t="s">
        <v>390</v>
      </c>
      <c r="B245" s="14" t="s">
        <v>17</v>
      </c>
      <c r="C245" s="14" t="s">
        <v>18</v>
      </c>
      <c r="D245" s="15">
        <v>0.12401147626499738</v>
      </c>
      <c r="O245" s="45" t="s">
        <v>390</v>
      </c>
      <c r="P245" s="46" t="s">
        <v>17</v>
      </c>
      <c r="Q245" s="46" t="s">
        <v>18</v>
      </c>
      <c r="R245" s="49">
        <v>0.12401147626499738</v>
      </c>
    </row>
    <row r="246" spans="1:18" x14ac:dyDescent="0.25">
      <c r="A246" s="14" t="s">
        <v>391</v>
      </c>
      <c r="B246" s="14" t="s">
        <v>48</v>
      </c>
      <c r="C246" s="14" t="s">
        <v>37</v>
      </c>
      <c r="D246" s="15">
        <v>0.32453802639849155</v>
      </c>
      <c r="O246" s="45" t="s">
        <v>391</v>
      </c>
      <c r="P246" s="46" t="s">
        <v>48</v>
      </c>
      <c r="Q246" s="46" t="s">
        <v>37</v>
      </c>
      <c r="R246" s="49">
        <v>0.32453802639849155</v>
      </c>
    </row>
    <row r="247" spans="1:18" x14ac:dyDescent="0.25">
      <c r="A247" s="14" t="s">
        <v>392</v>
      </c>
      <c r="B247" s="14" t="s">
        <v>56</v>
      </c>
      <c r="C247" s="14" t="s">
        <v>57</v>
      </c>
      <c r="D247" s="15">
        <v>0.27381241992247685</v>
      </c>
      <c r="O247" s="45" t="s">
        <v>392</v>
      </c>
      <c r="P247" s="46" t="s">
        <v>56</v>
      </c>
      <c r="Q247" s="46" t="s">
        <v>57</v>
      </c>
      <c r="R247" s="49">
        <v>0.27381241992247685</v>
      </c>
    </row>
    <row r="248" spans="1:18" x14ac:dyDescent="0.25">
      <c r="A248" s="14" t="s">
        <v>393</v>
      </c>
      <c r="B248" s="14" t="s">
        <v>25</v>
      </c>
      <c r="C248" s="14" t="s">
        <v>18</v>
      </c>
      <c r="D248" s="15">
        <v>0.28980007404664937</v>
      </c>
      <c r="O248" s="45" t="s">
        <v>393</v>
      </c>
      <c r="P248" s="46" t="s">
        <v>25</v>
      </c>
      <c r="Q248" s="46" t="s">
        <v>18</v>
      </c>
      <c r="R248" s="49">
        <v>0.28980007404664937</v>
      </c>
    </row>
    <row r="249" spans="1:18" x14ac:dyDescent="0.25">
      <c r="A249" s="14" t="s">
        <v>394</v>
      </c>
      <c r="B249" s="14" t="s">
        <v>17</v>
      </c>
      <c r="C249" s="14" t="s">
        <v>18</v>
      </c>
      <c r="D249" s="15">
        <v>0.36448863636363632</v>
      </c>
      <c r="O249" s="45" t="s">
        <v>394</v>
      </c>
      <c r="P249" s="46" t="s">
        <v>17</v>
      </c>
      <c r="Q249" s="46" t="s">
        <v>18</v>
      </c>
      <c r="R249" s="49">
        <v>0.36448863636363632</v>
      </c>
    </row>
    <row r="250" spans="1:18" x14ac:dyDescent="0.25">
      <c r="A250" s="14" t="s">
        <v>395</v>
      </c>
      <c r="B250" s="14" t="s">
        <v>56</v>
      </c>
      <c r="C250" s="14" t="s">
        <v>57</v>
      </c>
      <c r="D250" s="15">
        <v>0.38357560375326871</v>
      </c>
      <c r="O250" s="45" t="s">
        <v>395</v>
      </c>
      <c r="P250" s="46" t="s">
        <v>56</v>
      </c>
      <c r="Q250" s="46" t="s">
        <v>57</v>
      </c>
      <c r="R250" s="49">
        <v>0.38357560375326871</v>
      </c>
    </row>
    <row r="251" spans="1:18" x14ac:dyDescent="0.25">
      <c r="A251" s="14" t="s">
        <v>396</v>
      </c>
      <c r="B251" s="14" t="s">
        <v>43</v>
      </c>
      <c r="C251" s="14" t="s">
        <v>44</v>
      </c>
      <c r="D251" s="15">
        <v>0.42019875028231574</v>
      </c>
      <c r="O251" s="45" t="s">
        <v>396</v>
      </c>
      <c r="P251" s="46" t="s">
        <v>43</v>
      </c>
      <c r="Q251" s="46" t="s">
        <v>44</v>
      </c>
      <c r="R251" s="49">
        <v>0.42019875028231574</v>
      </c>
    </row>
    <row r="252" spans="1:18" x14ac:dyDescent="0.25">
      <c r="A252" s="14" t="s">
        <v>397</v>
      </c>
      <c r="B252" s="14" t="s">
        <v>48</v>
      </c>
      <c r="C252" s="14" t="s">
        <v>37</v>
      </c>
      <c r="D252" s="15">
        <v>0.23567216305965877</v>
      </c>
      <c r="O252" s="45" t="s">
        <v>397</v>
      </c>
      <c r="P252" s="46" t="s">
        <v>48</v>
      </c>
      <c r="Q252" s="46" t="s">
        <v>37</v>
      </c>
      <c r="R252" s="49">
        <v>0.23567216305965877</v>
      </c>
    </row>
    <row r="253" spans="1:18" x14ac:dyDescent="0.25">
      <c r="A253" s="14" t="s">
        <v>398</v>
      </c>
      <c r="B253" s="14" t="s">
        <v>51</v>
      </c>
      <c r="C253" s="14" t="s">
        <v>52</v>
      </c>
      <c r="D253" s="15">
        <v>0.1340618655201242</v>
      </c>
      <c r="O253" s="45" t="s">
        <v>398</v>
      </c>
      <c r="P253" s="46" t="s">
        <v>51</v>
      </c>
      <c r="Q253" s="46" t="s">
        <v>52</v>
      </c>
      <c r="R253" s="49">
        <v>0.1340618655201242</v>
      </c>
    </row>
    <row r="254" spans="1:18" x14ac:dyDescent="0.25">
      <c r="A254" s="14" t="s">
        <v>400</v>
      </c>
      <c r="B254" s="14" t="s">
        <v>51</v>
      </c>
      <c r="C254" s="14" t="s">
        <v>52</v>
      </c>
      <c r="D254" s="15">
        <v>0.1417840129822541</v>
      </c>
      <c r="O254" s="45" t="s">
        <v>400</v>
      </c>
      <c r="P254" s="46" t="s">
        <v>51</v>
      </c>
      <c r="Q254" s="46" t="s">
        <v>52</v>
      </c>
      <c r="R254" s="49">
        <v>0.1417840129822541</v>
      </c>
    </row>
    <row r="255" spans="1:18" x14ac:dyDescent="0.25">
      <c r="A255" s="14" t="s">
        <v>401</v>
      </c>
      <c r="B255" s="14" t="s">
        <v>51</v>
      </c>
      <c r="C255" s="14" t="s">
        <v>52</v>
      </c>
      <c r="D255" s="15">
        <v>0.33122227756825351</v>
      </c>
      <c r="O255" s="45" t="s">
        <v>401</v>
      </c>
      <c r="P255" s="46" t="s">
        <v>51</v>
      </c>
      <c r="Q255" s="46" t="s">
        <v>52</v>
      </c>
      <c r="R255" s="49">
        <v>0.33122227756825351</v>
      </c>
    </row>
    <row r="256" spans="1:18" x14ac:dyDescent="0.25">
      <c r="A256" s="14" t="s">
        <v>402</v>
      </c>
      <c r="B256" s="14" t="s">
        <v>60</v>
      </c>
      <c r="C256" s="14" t="s">
        <v>52</v>
      </c>
      <c r="D256" s="15">
        <v>0.37579752074032918</v>
      </c>
      <c r="O256" s="45" t="s">
        <v>402</v>
      </c>
      <c r="P256" s="46" t="s">
        <v>60</v>
      </c>
      <c r="Q256" s="46" t="s">
        <v>52</v>
      </c>
      <c r="R256" s="49">
        <v>0.37579752074032918</v>
      </c>
    </row>
    <row r="257" spans="1:18" x14ac:dyDescent="0.25">
      <c r="A257" s="14" t="s">
        <v>403</v>
      </c>
      <c r="B257" s="14" t="s">
        <v>48</v>
      </c>
      <c r="C257" s="14" t="s">
        <v>37</v>
      </c>
      <c r="D257" s="15">
        <v>0.29157684420842317</v>
      </c>
      <c r="O257" s="45" t="s">
        <v>403</v>
      </c>
      <c r="P257" s="46" t="s">
        <v>48</v>
      </c>
      <c r="Q257" s="46" t="s">
        <v>37</v>
      </c>
      <c r="R257" s="49">
        <v>0.29157684420842317</v>
      </c>
    </row>
    <row r="258" spans="1:18" x14ac:dyDescent="0.25">
      <c r="A258" s="14" t="s">
        <v>404</v>
      </c>
      <c r="B258" s="14" t="s">
        <v>25</v>
      </c>
      <c r="C258" s="14" t="s">
        <v>18</v>
      </c>
      <c r="D258" s="15">
        <v>0.25171952617500953</v>
      </c>
      <c r="O258" s="45" t="s">
        <v>404</v>
      </c>
      <c r="P258" s="46" t="s">
        <v>25</v>
      </c>
      <c r="Q258" s="46" t="s">
        <v>18</v>
      </c>
      <c r="R258" s="49">
        <v>0.25171952617500953</v>
      </c>
    </row>
    <row r="259" spans="1:18" x14ac:dyDescent="0.25">
      <c r="A259" s="14" t="s">
        <v>405</v>
      </c>
      <c r="B259" s="14" t="s">
        <v>51</v>
      </c>
      <c r="C259" s="14" t="s">
        <v>52</v>
      </c>
      <c r="D259" s="15">
        <v>0.35908796330915527</v>
      </c>
      <c r="O259" s="45" t="s">
        <v>405</v>
      </c>
      <c r="P259" s="46" t="s">
        <v>51</v>
      </c>
      <c r="Q259" s="46" t="s">
        <v>52</v>
      </c>
      <c r="R259" s="49">
        <v>0.35908796330915527</v>
      </c>
    </row>
    <row r="260" spans="1:18" x14ac:dyDescent="0.25">
      <c r="A260" s="14" t="s">
        <v>406</v>
      </c>
      <c r="B260" s="14" t="s">
        <v>25</v>
      </c>
      <c r="C260" s="14" t="s">
        <v>18</v>
      </c>
      <c r="D260" s="15">
        <v>0.18624568169036715</v>
      </c>
      <c r="O260" s="45" t="s">
        <v>406</v>
      </c>
      <c r="P260" s="46" t="s">
        <v>25</v>
      </c>
      <c r="Q260" s="46" t="s">
        <v>18</v>
      </c>
      <c r="R260" s="49">
        <v>0.18624568169036715</v>
      </c>
    </row>
    <row r="261" spans="1:18" x14ac:dyDescent="0.25">
      <c r="A261" s="14" t="s">
        <v>407</v>
      </c>
      <c r="B261" s="14" t="s">
        <v>63</v>
      </c>
      <c r="C261" s="14" t="s">
        <v>37</v>
      </c>
      <c r="D261" s="15">
        <v>0.30941114616193482</v>
      </c>
      <c r="O261" s="45" t="s">
        <v>407</v>
      </c>
      <c r="P261" s="46" t="s">
        <v>63</v>
      </c>
      <c r="Q261" s="46" t="s">
        <v>37</v>
      </c>
      <c r="R261" s="49">
        <v>0.30941114616193482</v>
      </c>
    </row>
    <row r="262" spans="1:18" x14ac:dyDescent="0.25">
      <c r="A262" s="14" t="s">
        <v>409</v>
      </c>
      <c r="B262" s="14" t="s">
        <v>43</v>
      </c>
      <c r="C262" s="14" t="s">
        <v>44</v>
      </c>
      <c r="D262" s="15">
        <v>0.40986749365661124</v>
      </c>
      <c r="O262" s="45" t="s">
        <v>409</v>
      </c>
      <c r="P262" s="46" t="s">
        <v>43</v>
      </c>
      <c r="Q262" s="46" t="s">
        <v>44</v>
      </c>
      <c r="R262" s="49">
        <v>0.40986749365661124</v>
      </c>
    </row>
    <row r="263" spans="1:18" x14ac:dyDescent="0.25">
      <c r="A263" s="14" t="s">
        <v>411</v>
      </c>
      <c r="B263" s="14" t="s">
        <v>56</v>
      </c>
      <c r="C263" s="14" t="s">
        <v>57</v>
      </c>
      <c r="D263" s="15">
        <v>0.28786342123056119</v>
      </c>
      <c r="O263" s="45" t="s">
        <v>411</v>
      </c>
      <c r="P263" s="46" t="s">
        <v>56</v>
      </c>
      <c r="Q263" s="46" t="s">
        <v>57</v>
      </c>
      <c r="R263" s="49">
        <v>0.28786342123056119</v>
      </c>
    </row>
    <row r="264" spans="1:18" x14ac:dyDescent="0.25">
      <c r="A264" s="14" t="s">
        <v>412</v>
      </c>
      <c r="B264" s="14" t="s">
        <v>36</v>
      </c>
      <c r="C264" s="14" t="s">
        <v>37</v>
      </c>
      <c r="D264" s="15">
        <v>0.13301546391752578</v>
      </c>
      <c r="O264" s="45" t="s">
        <v>412</v>
      </c>
      <c r="P264" s="46" t="s">
        <v>36</v>
      </c>
      <c r="Q264" s="46" t="s">
        <v>37</v>
      </c>
      <c r="R264" s="49">
        <v>0.13301546391752578</v>
      </c>
    </row>
    <row r="265" spans="1:18" x14ac:dyDescent="0.25">
      <c r="A265" s="14" t="s">
        <v>413</v>
      </c>
      <c r="B265" s="14" t="s">
        <v>56</v>
      </c>
      <c r="C265" s="14" t="s">
        <v>57</v>
      </c>
      <c r="D265" s="15">
        <v>0.23837667454688732</v>
      </c>
      <c r="O265" s="45" t="s">
        <v>413</v>
      </c>
      <c r="P265" s="46" t="s">
        <v>56</v>
      </c>
      <c r="Q265" s="46" t="s">
        <v>57</v>
      </c>
      <c r="R265" s="49">
        <v>0.23837667454688732</v>
      </c>
    </row>
    <row r="266" spans="1:18" x14ac:dyDescent="0.25">
      <c r="A266" s="14" t="s">
        <v>414</v>
      </c>
      <c r="B266" s="14" t="s">
        <v>60</v>
      </c>
      <c r="C266" s="14" t="s">
        <v>52</v>
      </c>
      <c r="D266" s="15">
        <v>0.21382575757575756</v>
      </c>
      <c r="O266" s="45" t="s">
        <v>414</v>
      </c>
      <c r="P266" s="46" t="s">
        <v>60</v>
      </c>
      <c r="Q266" s="46" t="s">
        <v>52</v>
      </c>
      <c r="R266" s="49">
        <v>0.21382575757575756</v>
      </c>
    </row>
    <row r="267" spans="1:18" x14ac:dyDescent="0.25">
      <c r="A267" s="14" t="s">
        <v>415</v>
      </c>
      <c r="B267" s="14" t="s">
        <v>17</v>
      </c>
      <c r="C267" s="14" t="s">
        <v>18</v>
      </c>
      <c r="D267" s="15">
        <v>0.32588134135855545</v>
      </c>
      <c r="O267" s="45" t="s">
        <v>415</v>
      </c>
      <c r="P267" s="46" t="s">
        <v>17</v>
      </c>
      <c r="Q267" s="46" t="s">
        <v>18</v>
      </c>
      <c r="R267" s="49">
        <v>0.32588134135855545</v>
      </c>
    </row>
    <row r="268" spans="1:18" x14ac:dyDescent="0.25">
      <c r="A268" s="14" t="s">
        <v>416</v>
      </c>
      <c r="B268" s="14" t="s">
        <v>36</v>
      </c>
      <c r="C268" s="14" t="s">
        <v>37</v>
      </c>
      <c r="D268" s="15">
        <v>0.24746382724107918</v>
      </c>
      <c r="O268" s="45" t="s">
        <v>416</v>
      </c>
      <c r="P268" s="46" t="s">
        <v>36</v>
      </c>
      <c r="Q268" s="46" t="s">
        <v>37</v>
      </c>
      <c r="R268" s="49">
        <v>0.24746382724107918</v>
      </c>
    </row>
    <row r="269" spans="1:18" x14ac:dyDescent="0.25">
      <c r="A269" s="14" t="s">
        <v>417</v>
      </c>
      <c r="B269" s="14" t="s">
        <v>63</v>
      </c>
      <c r="C269" s="14" t="s">
        <v>37</v>
      </c>
      <c r="D269" s="15">
        <v>0.18910884725391264</v>
      </c>
      <c r="O269" s="45" t="s">
        <v>417</v>
      </c>
      <c r="P269" s="46" t="s">
        <v>63</v>
      </c>
      <c r="Q269" s="46" t="s">
        <v>37</v>
      </c>
      <c r="R269" s="49">
        <v>0.18910884725391264</v>
      </c>
    </row>
    <row r="270" spans="1:18" x14ac:dyDescent="0.25">
      <c r="A270" s="14" t="s">
        <v>418</v>
      </c>
      <c r="B270" s="14" t="s">
        <v>36</v>
      </c>
      <c r="C270" s="14" t="s">
        <v>37</v>
      </c>
      <c r="D270" s="15">
        <v>0.39113674274787424</v>
      </c>
      <c r="O270" s="45" t="s">
        <v>418</v>
      </c>
      <c r="P270" s="46" t="s">
        <v>36</v>
      </c>
      <c r="Q270" s="46" t="s">
        <v>37</v>
      </c>
      <c r="R270" s="49">
        <v>0.39113674274787424</v>
      </c>
    </row>
    <row r="271" spans="1:18" x14ac:dyDescent="0.25">
      <c r="A271" s="14" t="s">
        <v>419</v>
      </c>
      <c r="B271" s="14" t="s">
        <v>63</v>
      </c>
      <c r="C271" s="14" t="s">
        <v>37</v>
      </c>
      <c r="D271" s="15">
        <v>0.3943495400788436</v>
      </c>
      <c r="O271" s="45" t="s">
        <v>419</v>
      </c>
      <c r="P271" s="46" t="s">
        <v>63</v>
      </c>
      <c r="Q271" s="46" t="s">
        <v>37</v>
      </c>
      <c r="R271" s="49">
        <v>0.3943495400788436</v>
      </c>
    </row>
    <row r="272" spans="1:18" x14ac:dyDescent="0.25">
      <c r="A272" s="14" t="s">
        <v>420</v>
      </c>
      <c r="B272" s="14" t="s">
        <v>36</v>
      </c>
      <c r="C272" s="14" t="s">
        <v>37</v>
      </c>
      <c r="D272" s="15">
        <v>0.29216699931289469</v>
      </c>
      <c r="O272" s="45" t="s">
        <v>420</v>
      </c>
      <c r="P272" s="46" t="s">
        <v>36</v>
      </c>
      <c r="Q272" s="46" t="s">
        <v>37</v>
      </c>
      <c r="R272" s="49">
        <v>0.29216699931289469</v>
      </c>
    </row>
    <row r="273" spans="1:18" x14ac:dyDescent="0.25">
      <c r="A273" s="14" t="s">
        <v>422</v>
      </c>
      <c r="B273" s="14" t="s">
        <v>83</v>
      </c>
      <c r="C273" s="14" t="s">
        <v>52</v>
      </c>
      <c r="D273" s="15">
        <v>0.27883404683958701</v>
      </c>
      <c r="O273" s="45" t="s">
        <v>422</v>
      </c>
      <c r="P273" s="46" t="s">
        <v>83</v>
      </c>
      <c r="Q273" s="46" t="s">
        <v>52</v>
      </c>
      <c r="R273" s="49">
        <v>0.27883404683958701</v>
      </c>
    </row>
    <row r="274" spans="1:18" x14ac:dyDescent="0.25">
      <c r="A274" s="14" t="s">
        <v>423</v>
      </c>
      <c r="B274" s="14" t="s">
        <v>51</v>
      </c>
      <c r="C274" s="14" t="s">
        <v>52</v>
      </c>
      <c r="D274" s="15">
        <v>0.22415062585463344</v>
      </c>
      <c r="O274" s="45" t="s">
        <v>423</v>
      </c>
      <c r="P274" s="46" t="s">
        <v>51</v>
      </c>
      <c r="Q274" s="46" t="s">
        <v>52</v>
      </c>
      <c r="R274" s="49">
        <v>0.22415062585463344</v>
      </c>
    </row>
    <row r="275" spans="1:18" x14ac:dyDescent="0.25">
      <c r="A275" s="14" t="s">
        <v>424</v>
      </c>
      <c r="B275" s="14" t="s">
        <v>17</v>
      </c>
      <c r="C275" s="14" t="s">
        <v>18</v>
      </c>
      <c r="D275" s="15">
        <v>0.31618460565828982</v>
      </c>
      <c r="O275" s="45" t="s">
        <v>424</v>
      </c>
      <c r="P275" s="46" t="s">
        <v>17</v>
      </c>
      <c r="Q275" s="46" t="s">
        <v>18</v>
      </c>
      <c r="R275" s="49">
        <v>0.31618460565828982</v>
      </c>
    </row>
    <row r="276" spans="1:18" x14ac:dyDescent="0.25">
      <c r="A276" s="14" t="s">
        <v>425</v>
      </c>
      <c r="B276" s="14" t="s">
        <v>17</v>
      </c>
      <c r="C276" s="14" t="s">
        <v>18</v>
      </c>
      <c r="D276" s="15">
        <v>0.20591697964555422</v>
      </c>
      <c r="O276" s="45" t="s">
        <v>425</v>
      </c>
      <c r="P276" s="46" t="s">
        <v>17</v>
      </c>
      <c r="Q276" s="46" t="s">
        <v>18</v>
      </c>
      <c r="R276" s="49">
        <v>0.20591697964555422</v>
      </c>
    </row>
    <row r="277" spans="1:18" x14ac:dyDescent="0.25">
      <c r="A277" s="14" t="s">
        <v>426</v>
      </c>
      <c r="B277" s="14" t="s">
        <v>48</v>
      </c>
      <c r="C277" s="14" t="s">
        <v>37</v>
      </c>
      <c r="D277" s="15">
        <v>0.133361087982237</v>
      </c>
      <c r="O277" s="45" t="s">
        <v>426</v>
      </c>
      <c r="P277" s="46" t="s">
        <v>48</v>
      </c>
      <c r="Q277" s="46" t="s">
        <v>37</v>
      </c>
      <c r="R277" s="49">
        <v>0.133361087982237</v>
      </c>
    </row>
    <row r="278" spans="1:18" x14ac:dyDescent="0.25">
      <c r="A278" s="14" t="s">
        <v>427</v>
      </c>
      <c r="B278" s="14" t="s">
        <v>63</v>
      </c>
      <c r="C278" s="14" t="s">
        <v>37</v>
      </c>
      <c r="D278" s="15">
        <v>0.13544996803069054</v>
      </c>
      <c r="O278" s="45" t="s">
        <v>427</v>
      </c>
      <c r="P278" s="46" t="s">
        <v>63</v>
      </c>
      <c r="Q278" s="46" t="s">
        <v>37</v>
      </c>
      <c r="R278" s="49">
        <v>0.13544996803069054</v>
      </c>
    </row>
    <row r="279" spans="1:18" x14ac:dyDescent="0.25">
      <c r="A279" s="14" t="s">
        <v>428</v>
      </c>
      <c r="B279" s="14" t="s">
        <v>36</v>
      </c>
      <c r="C279" s="14" t="s">
        <v>37</v>
      </c>
      <c r="D279" s="15">
        <v>0.1992883703038851</v>
      </c>
      <c r="O279" s="45" t="s">
        <v>428</v>
      </c>
      <c r="P279" s="46" t="s">
        <v>36</v>
      </c>
      <c r="Q279" s="46" t="s">
        <v>37</v>
      </c>
      <c r="R279" s="49">
        <v>0.1992883703038851</v>
      </c>
    </row>
    <row r="280" spans="1:18" x14ac:dyDescent="0.25">
      <c r="A280" s="14" t="s">
        <v>429</v>
      </c>
      <c r="B280" s="14" t="s">
        <v>56</v>
      </c>
      <c r="C280" s="14" t="s">
        <v>57</v>
      </c>
      <c r="D280" s="15">
        <v>0.38388307940546751</v>
      </c>
      <c r="O280" s="45" t="s">
        <v>429</v>
      </c>
      <c r="P280" s="46" t="s">
        <v>56</v>
      </c>
      <c r="Q280" s="46" t="s">
        <v>57</v>
      </c>
      <c r="R280" s="49">
        <v>0.38388307940546751</v>
      </c>
    </row>
    <row r="281" spans="1:18" x14ac:dyDescent="0.25">
      <c r="A281" s="14" t="s">
        <v>430</v>
      </c>
      <c r="B281" s="14" t="s">
        <v>60</v>
      </c>
      <c r="C281" s="14" t="s">
        <v>52</v>
      </c>
      <c r="D281" s="15">
        <v>0.20858600103417479</v>
      </c>
      <c r="O281" s="45" t="s">
        <v>430</v>
      </c>
      <c r="P281" s="46" t="s">
        <v>60</v>
      </c>
      <c r="Q281" s="46" t="s">
        <v>52</v>
      </c>
      <c r="R281" s="49">
        <v>0.20858600103417479</v>
      </c>
    </row>
    <row r="282" spans="1:18" x14ac:dyDescent="0.25">
      <c r="A282" s="14" t="s">
        <v>431</v>
      </c>
      <c r="B282" s="14" t="s">
        <v>25</v>
      </c>
      <c r="C282" s="14" t="s">
        <v>18</v>
      </c>
      <c r="D282" s="15">
        <v>0.21862203507687553</v>
      </c>
      <c r="O282" s="45" t="s">
        <v>431</v>
      </c>
      <c r="P282" s="46" t="s">
        <v>25</v>
      </c>
      <c r="Q282" s="46" t="s">
        <v>18</v>
      </c>
      <c r="R282" s="49">
        <v>0.21862203507687553</v>
      </c>
    </row>
    <row r="283" spans="1:18" x14ac:dyDescent="0.25">
      <c r="A283" s="14" t="s">
        <v>432</v>
      </c>
      <c r="B283" s="14" t="s">
        <v>43</v>
      </c>
      <c r="C283" s="14" t="s">
        <v>44</v>
      </c>
      <c r="D283" s="15">
        <v>0.38655888380565967</v>
      </c>
      <c r="O283" s="45" t="s">
        <v>432</v>
      </c>
      <c r="P283" s="46" t="s">
        <v>43</v>
      </c>
      <c r="Q283" s="46" t="s">
        <v>44</v>
      </c>
      <c r="R283" s="49">
        <v>0.38655888380565967</v>
      </c>
    </row>
    <row r="284" spans="1:18" x14ac:dyDescent="0.25">
      <c r="A284" s="14" t="s">
        <v>433</v>
      </c>
      <c r="B284" s="14" t="s">
        <v>48</v>
      </c>
      <c r="C284" s="14" t="s">
        <v>37</v>
      </c>
      <c r="D284" s="15">
        <v>0.21606270035713851</v>
      </c>
      <c r="O284" s="45" t="s">
        <v>433</v>
      </c>
      <c r="P284" s="46" t="s">
        <v>48</v>
      </c>
      <c r="Q284" s="46" t="s">
        <v>37</v>
      </c>
      <c r="R284" s="49">
        <v>0.21606270035713851</v>
      </c>
    </row>
    <row r="285" spans="1:18" x14ac:dyDescent="0.25">
      <c r="A285" s="14" t="s">
        <v>434</v>
      </c>
      <c r="B285" s="14" t="s">
        <v>60</v>
      </c>
      <c r="C285" s="14" t="s">
        <v>52</v>
      </c>
      <c r="D285" s="15">
        <v>0.3949453036589966</v>
      </c>
      <c r="O285" s="45" t="s">
        <v>434</v>
      </c>
      <c r="P285" s="46" t="s">
        <v>60</v>
      </c>
      <c r="Q285" s="46" t="s">
        <v>52</v>
      </c>
      <c r="R285" s="49">
        <v>0.3949453036589966</v>
      </c>
    </row>
    <row r="286" spans="1:18" x14ac:dyDescent="0.25">
      <c r="A286" s="14" t="s">
        <v>435</v>
      </c>
      <c r="B286" s="14" t="s">
        <v>17</v>
      </c>
      <c r="C286" s="14" t="s">
        <v>18</v>
      </c>
      <c r="D286" s="15">
        <v>0.32856896848630962</v>
      </c>
      <c r="O286" s="45" t="s">
        <v>435</v>
      </c>
      <c r="P286" s="46" t="s">
        <v>17</v>
      </c>
      <c r="Q286" s="46" t="s">
        <v>18</v>
      </c>
      <c r="R286" s="49">
        <v>0.32856896848630962</v>
      </c>
    </row>
    <row r="287" spans="1:18" x14ac:dyDescent="0.25">
      <c r="A287" s="14" t="s">
        <v>436</v>
      </c>
      <c r="B287" s="14" t="s">
        <v>36</v>
      </c>
      <c r="C287" s="14" t="s">
        <v>37</v>
      </c>
      <c r="D287" s="15">
        <v>0.2722860267979218</v>
      </c>
      <c r="O287" s="45" t="s">
        <v>436</v>
      </c>
      <c r="P287" s="46" t="s">
        <v>36</v>
      </c>
      <c r="Q287" s="46" t="s">
        <v>37</v>
      </c>
      <c r="R287" s="49">
        <v>0.2722860267979218</v>
      </c>
    </row>
    <row r="288" spans="1:18" x14ac:dyDescent="0.25">
      <c r="A288" s="14" t="s">
        <v>437</v>
      </c>
      <c r="B288" s="14" t="s">
        <v>48</v>
      </c>
      <c r="C288" s="14" t="s">
        <v>37</v>
      </c>
      <c r="D288" s="15">
        <v>0.30868184437268015</v>
      </c>
      <c r="O288" s="45" t="s">
        <v>437</v>
      </c>
      <c r="P288" s="46" t="s">
        <v>48</v>
      </c>
      <c r="Q288" s="46" t="s">
        <v>37</v>
      </c>
      <c r="R288" s="49">
        <v>0.30868184437268015</v>
      </c>
    </row>
    <row r="289" spans="1:18" x14ac:dyDescent="0.25">
      <c r="A289" s="14" t="s">
        <v>438</v>
      </c>
      <c r="B289" s="14" t="s">
        <v>83</v>
      </c>
      <c r="C289" s="14" t="s">
        <v>52</v>
      </c>
      <c r="D289" s="15">
        <v>0.1595569440499858</v>
      </c>
      <c r="O289" s="45" t="s">
        <v>438</v>
      </c>
      <c r="P289" s="46" t="s">
        <v>83</v>
      </c>
      <c r="Q289" s="46" t="s">
        <v>52</v>
      </c>
      <c r="R289" s="49">
        <v>0.1595569440499858</v>
      </c>
    </row>
    <row r="290" spans="1:18" x14ac:dyDescent="0.25">
      <c r="A290" s="14" t="s">
        <v>439</v>
      </c>
      <c r="B290" s="14" t="s">
        <v>83</v>
      </c>
      <c r="C290" s="14" t="s">
        <v>52</v>
      </c>
      <c r="D290" s="15">
        <v>0.33563081153442603</v>
      </c>
      <c r="O290" s="45" t="s">
        <v>439</v>
      </c>
      <c r="P290" s="46" t="s">
        <v>83</v>
      </c>
      <c r="Q290" s="46" t="s">
        <v>52</v>
      </c>
      <c r="R290" s="49">
        <v>0.33563081153442603</v>
      </c>
    </row>
    <row r="291" spans="1:18" x14ac:dyDescent="0.25">
      <c r="A291" s="14" t="s">
        <v>440</v>
      </c>
      <c r="B291" s="14" t="s">
        <v>60</v>
      </c>
      <c r="C291" s="14" t="s">
        <v>52</v>
      </c>
      <c r="D291" s="15">
        <v>0.11675151515151515</v>
      </c>
      <c r="O291" s="45" t="s">
        <v>440</v>
      </c>
      <c r="P291" s="46" t="s">
        <v>60</v>
      </c>
      <c r="Q291" s="46" t="s">
        <v>52</v>
      </c>
      <c r="R291" s="49">
        <v>0.11675151515151515</v>
      </c>
    </row>
    <row r="292" spans="1:18" x14ac:dyDescent="0.25">
      <c r="A292" s="14" t="s">
        <v>441</v>
      </c>
      <c r="B292" s="14" t="s">
        <v>48</v>
      </c>
      <c r="C292" s="14" t="s">
        <v>37</v>
      </c>
      <c r="D292" s="15">
        <v>0.31796452169162215</v>
      </c>
      <c r="O292" s="45" t="s">
        <v>441</v>
      </c>
      <c r="P292" s="46" t="s">
        <v>48</v>
      </c>
      <c r="Q292" s="46" t="s">
        <v>37</v>
      </c>
      <c r="R292" s="49">
        <v>0.31796452169162215</v>
      </c>
    </row>
    <row r="293" spans="1:18" x14ac:dyDescent="0.25">
      <c r="A293" s="14" t="s">
        <v>442</v>
      </c>
      <c r="B293" s="14" t="s">
        <v>48</v>
      </c>
      <c r="C293" s="14" t="s">
        <v>37</v>
      </c>
      <c r="D293" s="15">
        <v>0.36275108699558012</v>
      </c>
      <c r="O293" s="45" t="s">
        <v>442</v>
      </c>
      <c r="P293" s="46" t="s">
        <v>48</v>
      </c>
      <c r="Q293" s="46" t="s">
        <v>37</v>
      </c>
      <c r="R293" s="49">
        <v>0.36275108699558012</v>
      </c>
    </row>
    <row r="294" spans="1:18" x14ac:dyDescent="0.25">
      <c r="A294" s="14" t="s">
        <v>443</v>
      </c>
      <c r="B294" s="14" t="s">
        <v>83</v>
      </c>
      <c r="C294" s="14" t="s">
        <v>52</v>
      </c>
      <c r="D294" s="15">
        <v>0.32250061259495222</v>
      </c>
      <c r="O294" s="45" t="s">
        <v>443</v>
      </c>
      <c r="P294" s="46" t="s">
        <v>83</v>
      </c>
      <c r="Q294" s="46" t="s">
        <v>52</v>
      </c>
      <c r="R294" s="49">
        <v>0.32250061259495222</v>
      </c>
    </row>
    <row r="295" spans="1:18" x14ac:dyDescent="0.25">
      <c r="A295" s="14" t="s">
        <v>444</v>
      </c>
      <c r="B295" s="14" t="s">
        <v>25</v>
      </c>
      <c r="C295" s="14" t="s">
        <v>18</v>
      </c>
      <c r="D295" s="15">
        <v>0.23395236172789666</v>
      </c>
      <c r="O295" s="45" t="s">
        <v>444</v>
      </c>
      <c r="P295" s="46" t="s">
        <v>25</v>
      </c>
      <c r="Q295" s="46" t="s">
        <v>18</v>
      </c>
      <c r="R295" s="49">
        <v>0.23395236172789666</v>
      </c>
    </row>
    <row r="296" spans="1:18" x14ac:dyDescent="0.25">
      <c r="A296" s="14" t="s">
        <v>445</v>
      </c>
      <c r="B296" s="14" t="s">
        <v>43</v>
      </c>
      <c r="C296" s="14" t="s">
        <v>44</v>
      </c>
      <c r="D296" s="15">
        <v>0.2277830723848423</v>
      </c>
      <c r="O296" s="45" t="s">
        <v>445</v>
      </c>
      <c r="P296" s="46" t="s">
        <v>43</v>
      </c>
      <c r="Q296" s="46" t="s">
        <v>44</v>
      </c>
      <c r="R296" s="49">
        <v>0.2277830723848423</v>
      </c>
    </row>
    <row r="297" spans="1:18" x14ac:dyDescent="0.25">
      <c r="A297" s="14" t="s">
        <v>446</v>
      </c>
      <c r="B297" s="14" t="s">
        <v>60</v>
      </c>
      <c r="C297" s="14" t="s">
        <v>52</v>
      </c>
      <c r="D297" s="15">
        <v>0.28862973760932942</v>
      </c>
      <c r="O297" s="45" t="s">
        <v>446</v>
      </c>
      <c r="P297" s="46" t="s">
        <v>60</v>
      </c>
      <c r="Q297" s="46" t="s">
        <v>52</v>
      </c>
      <c r="R297" s="49">
        <v>0.28862973760932942</v>
      </c>
    </row>
    <row r="298" spans="1:18" x14ac:dyDescent="0.25">
      <c r="A298" s="14" t="s">
        <v>447</v>
      </c>
      <c r="B298" s="14" t="s">
        <v>56</v>
      </c>
      <c r="C298" s="14" t="s">
        <v>57</v>
      </c>
      <c r="D298" s="15">
        <v>0.27452070019449848</v>
      </c>
      <c r="O298" s="45" t="s">
        <v>447</v>
      </c>
      <c r="P298" s="46" t="s">
        <v>56</v>
      </c>
      <c r="Q298" s="46" t="s">
        <v>57</v>
      </c>
      <c r="R298" s="49">
        <v>0.27452070019449848</v>
      </c>
    </row>
    <row r="299" spans="1:18" x14ac:dyDescent="0.25">
      <c r="A299" s="14" t="s">
        <v>448</v>
      </c>
      <c r="B299" s="14" t="s">
        <v>48</v>
      </c>
      <c r="C299" s="14" t="s">
        <v>37</v>
      </c>
      <c r="D299" s="15">
        <v>0.15740667976424363</v>
      </c>
      <c r="O299" s="45" t="s">
        <v>448</v>
      </c>
      <c r="P299" s="46" t="s">
        <v>48</v>
      </c>
      <c r="Q299" s="46" t="s">
        <v>37</v>
      </c>
      <c r="R299" s="49">
        <v>0.15740667976424363</v>
      </c>
    </row>
    <row r="300" spans="1:18" x14ac:dyDescent="0.25">
      <c r="A300" s="14" t="s">
        <v>449</v>
      </c>
      <c r="B300" s="14" t="s">
        <v>60</v>
      </c>
      <c r="C300" s="14" t="s">
        <v>52</v>
      </c>
      <c r="D300" s="15">
        <v>0.17622461170848266</v>
      </c>
      <c r="O300" s="45" t="s">
        <v>449</v>
      </c>
      <c r="P300" s="46" t="s">
        <v>60</v>
      </c>
      <c r="Q300" s="46" t="s">
        <v>52</v>
      </c>
      <c r="R300" s="49">
        <v>0.17622461170848266</v>
      </c>
    </row>
    <row r="301" spans="1:18" x14ac:dyDescent="0.25">
      <c r="A301" s="14" t="s">
        <v>450</v>
      </c>
      <c r="B301" s="14" t="s">
        <v>63</v>
      </c>
      <c r="C301" s="14" t="s">
        <v>37</v>
      </c>
      <c r="D301" s="15">
        <v>0.35826242722794449</v>
      </c>
      <c r="O301" s="45" t="s">
        <v>450</v>
      </c>
      <c r="P301" s="46" t="s">
        <v>63</v>
      </c>
      <c r="Q301" s="46" t="s">
        <v>37</v>
      </c>
      <c r="R301" s="49">
        <v>0.35826242722794449</v>
      </c>
    </row>
    <row r="302" spans="1:18" x14ac:dyDescent="0.25">
      <c r="A302" s="14" t="s">
        <v>451</v>
      </c>
      <c r="B302" s="14" t="s">
        <v>36</v>
      </c>
      <c r="C302" s="14" t="s">
        <v>37</v>
      </c>
      <c r="D302" s="15">
        <v>0.14977234852221225</v>
      </c>
      <c r="O302" s="45" t="s">
        <v>451</v>
      </c>
      <c r="P302" s="46" t="s">
        <v>36</v>
      </c>
      <c r="Q302" s="46" t="s">
        <v>37</v>
      </c>
      <c r="R302" s="49">
        <v>0.14977234852221225</v>
      </c>
    </row>
    <row r="303" spans="1:18" x14ac:dyDescent="0.25">
      <c r="A303" s="14" t="s">
        <v>452</v>
      </c>
      <c r="B303" s="14" t="s">
        <v>60</v>
      </c>
      <c r="C303" s="14" t="s">
        <v>52</v>
      </c>
      <c r="D303" s="15">
        <v>0.28373275236020334</v>
      </c>
      <c r="O303" s="45" t="s">
        <v>452</v>
      </c>
      <c r="P303" s="46" t="s">
        <v>60</v>
      </c>
      <c r="Q303" s="46" t="s">
        <v>52</v>
      </c>
      <c r="R303" s="49">
        <v>0.28373275236020334</v>
      </c>
    </row>
    <row r="304" spans="1:18" x14ac:dyDescent="0.25">
      <c r="A304" s="14" t="s">
        <v>453</v>
      </c>
      <c r="B304" s="14" t="s">
        <v>48</v>
      </c>
      <c r="C304" s="14" t="s">
        <v>37</v>
      </c>
      <c r="D304" s="15">
        <v>0.21486291486291487</v>
      </c>
      <c r="O304" s="45" t="s">
        <v>453</v>
      </c>
      <c r="P304" s="46" t="s">
        <v>48</v>
      </c>
      <c r="Q304" s="46" t="s">
        <v>37</v>
      </c>
      <c r="R304" s="49">
        <v>0.21486291486291487</v>
      </c>
    </row>
    <row r="305" spans="1:18" x14ac:dyDescent="0.25">
      <c r="A305" s="14" t="s">
        <v>454</v>
      </c>
      <c r="B305" s="14" t="s">
        <v>43</v>
      </c>
      <c r="C305" s="14" t="s">
        <v>44</v>
      </c>
      <c r="D305" s="15">
        <v>0.35132863956393368</v>
      </c>
      <c r="O305" s="45" t="s">
        <v>454</v>
      </c>
      <c r="P305" s="46" t="s">
        <v>43</v>
      </c>
      <c r="Q305" s="46" t="s">
        <v>44</v>
      </c>
      <c r="R305" s="49">
        <v>0.35132863956393368</v>
      </c>
    </row>
    <row r="306" spans="1:18" x14ac:dyDescent="0.25">
      <c r="A306" s="14" t="s">
        <v>455</v>
      </c>
      <c r="B306" s="14" t="s">
        <v>48</v>
      </c>
      <c r="C306" s="14" t="s">
        <v>37</v>
      </c>
      <c r="D306" s="15">
        <v>0.18285777031796577</v>
      </c>
      <c r="O306" s="45" t="s">
        <v>455</v>
      </c>
      <c r="P306" s="46" t="s">
        <v>48</v>
      </c>
      <c r="Q306" s="46" t="s">
        <v>37</v>
      </c>
      <c r="R306" s="49">
        <v>0.18285777031796577</v>
      </c>
    </row>
    <row r="307" spans="1:18" x14ac:dyDescent="0.25">
      <c r="A307" s="14" t="s">
        <v>456</v>
      </c>
      <c r="B307" s="14" t="s">
        <v>56</v>
      </c>
      <c r="C307" s="14" t="s">
        <v>57</v>
      </c>
      <c r="D307" s="15">
        <v>0.18465736810187994</v>
      </c>
      <c r="O307" s="45" t="s">
        <v>456</v>
      </c>
      <c r="P307" s="46" t="s">
        <v>56</v>
      </c>
      <c r="Q307" s="46" t="s">
        <v>57</v>
      </c>
      <c r="R307" s="49">
        <v>0.18465736810187994</v>
      </c>
    </row>
    <row r="308" spans="1:18" x14ac:dyDescent="0.25">
      <c r="A308" s="14" t="s">
        <v>457</v>
      </c>
      <c r="B308" s="14" t="s">
        <v>63</v>
      </c>
      <c r="C308" s="14" t="s">
        <v>37</v>
      </c>
      <c r="D308" s="15">
        <v>0.34218240141585088</v>
      </c>
      <c r="O308" s="45" t="s">
        <v>457</v>
      </c>
      <c r="P308" s="46" t="s">
        <v>63</v>
      </c>
      <c r="Q308" s="46" t="s">
        <v>37</v>
      </c>
      <c r="R308" s="49">
        <v>0.34218240141585088</v>
      </c>
    </row>
    <row r="309" spans="1:18" x14ac:dyDescent="0.25">
      <c r="A309" s="14" t="s">
        <v>458</v>
      </c>
      <c r="B309" s="14" t="s">
        <v>17</v>
      </c>
      <c r="C309" s="14" t="s">
        <v>18</v>
      </c>
      <c r="D309" s="15">
        <v>0.26174631982254487</v>
      </c>
      <c r="O309" s="45" t="s">
        <v>458</v>
      </c>
      <c r="P309" s="46" t="s">
        <v>17</v>
      </c>
      <c r="Q309" s="46" t="s">
        <v>18</v>
      </c>
      <c r="R309" s="49">
        <v>0.26174631982254487</v>
      </c>
    </row>
    <row r="310" spans="1:18" x14ac:dyDescent="0.25">
      <c r="A310" s="14" t="s">
        <v>459</v>
      </c>
      <c r="B310" s="14" t="s">
        <v>36</v>
      </c>
      <c r="C310" s="14" t="s">
        <v>37</v>
      </c>
      <c r="D310" s="15">
        <v>0.19520520758910853</v>
      </c>
      <c r="O310" s="45" t="s">
        <v>459</v>
      </c>
      <c r="P310" s="46" t="s">
        <v>36</v>
      </c>
      <c r="Q310" s="46" t="s">
        <v>37</v>
      </c>
      <c r="R310" s="49">
        <v>0.19520520758910853</v>
      </c>
    </row>
    <row r="311" spans="1:18" x14ac:dyDescent="0.25">
      <c r="A311" s="14" t="s">
        <v>460</v>
      </c>
      <c r="B311" s="14" t="s">
        <v>17</v>
      </c>
      <c r="C311" s="14" t="s">
        <v>18</v>
      </c>
      <c r="D311" s="15">
        <v>0.22062236286919831</v>
      </c>
      <c r="O311" s="45" t="s">
        <v>460</v>
      </c>
      <c r="P311" s="46" t="s">
        <v>17</v>
      </c>
      <c r="Q311" s="46" t="s">
        <v>18</v>
      </c>
      <c r="R311" s="49">
        <v>0.22062236286919831</v>
      </c>
    </row>
    <row r="312" spans="1:18" x14ac:dyDescent="0.25">
      <c r="A312" s="14" t="s">
        <v>461</v>
      </c>
      <c r="B312" s="14" t="s">
        <v>48</v>
      </c>
      <c r="C312" s="14" t="s">
        <v>37</v>
      </c>
      <c r="D312" s="15">
        <v>0.38165694282380397</v>
      </c>
      <c r="O312" s="45" t="s">
        <v>461</v>
      </c>
      <c r="P312" s="46" t="s">
        <v>48</v>
      </c>
      <c r="Q312" s="46" t="s">
        <v>37</v>
      </c>
      <c r="R312" s="49">
        <v>0.38165694282380397</v>
      </c>
    </row>
    <row r="313" spans="1:18" x14ac:dyDescent="0.25">
      <c r="A313" s="14" t="s">
        <v>462</v>
      </c>
      <c r="B313" s="14" t="s">
        <v>25</v>
      </c>
      <c r="C313" s="14" t="s">
        <v>18</v>
      </c>
      <c r="D313" s="15">
        <v>0.31846886696155158</v>
      </c>
      <c r="O313" s="45" t="s">
        <v>462</v>
      </c>
      <c r="P313" s="46" t="s">
        <v>25</v>
      </c>
      <c r="Q313" s="46" t="s">
        <v>18</v>
      </c>
      <c r="R313" s="49">
        <v>0.31846886696155158</v>
      </c>
    </row>
    <row r="314" spans="1:18" x14ac:dyDescent="0.25">
      <c r="A314" s="14" t="s">
        <v>463</v>
      </c>
      <c r="B314" s="14" t="s">
        <v>25</v>
      </c>
      <c r="C314" s="14" t="s">
        <v>18</v>
      </c>
      <c r="D314" s="15">
        <v>0.33206270958126732</v>
      </c>
      <c r="O314" s="45" t="s">
        <v>463</v>
      </c>
      <c r="P314" s="46" t="s">
        <v>25</v>
      </c>
      <c r="Q314" s="46" t="s">
        <v>18</v>
      </c>
      <c r="R314" s="49">
        <v>0.33206270958126732</v>
      </c>
    </row>
    <row r="315" spans="1:18" x14ac:dyDescent="0.25">
      <c r="A315" s="14" t="s">
        <v>464</v>
      </c>
      <c r="B315" s="14" t="s">
        <v>63</v>
      </c>
      <c r="C315" s="14" t="s">
        <v>37</v>
      </c>
      <c r="D315" s="15">
        <v>0.27937267410951622</v>
      </c>
      <c r="O315" s="45" t="s">
        <v>464</v>
      </c>
      <c r="P315" s="46" t="s">
        <v>63</v>
      </c>
      <c r="Q315" s="46" t="s">
        <v>37</v>
      </c>
      <c r="R315" s="49">
        <v>0.27937267410951622</v>
      </c>
    </row>
    <row r="316" spans="1:18" x14ac:dyDescent="0.25">
      <c r="A316" s="14" t="s">
        <v>466</v>
      </c>
      <c r="B316" s="14" t="s">
        <v>51</v>
      </c>
      <c r="C316" s="14" t="s">
        <v>52</v>
      </c>
      <c r="D316" s="15">
        <v>0.16346153846153846</v>
      </c>
      <c r="O316" s="45" t="s">
        <v>466</v>
      </c>
      <c r="P316" s="46" t="s">
        <v>51</v>
      </c>
      <c r="Q316" s="46" t="s">
        <v>52</v>
      </c>
      <c r="R316" s="49">
        <v>0.16346153846153846</v>
      </c>
    </row>
    <row r="317" spans="1:18" x14ac:dyDescent="0.25">
      <c r="A317" s="14" t="s">
        <v>467</v>
      </c>
      <c r="B317" s="14" t="s">
        <v>51</v>
      </c>
      <c r="C317" s="14" t="s">
        <v>52</v>
      </c>
      <c r="D317" s="15">
        <v>0.1440337514934289</v>
      </c>
      <c r="O317" s="45" t="s">
        <v>467</v>
      </c>
      <c r="P317" s="46" t="s">
        <v>51</v>
      </c>
      <c r="Q317" s="46" t="s">
        <v>52</v>
      </c>
      <c r="R317" s="49">
        <v>0.1440337514934289</v>
      </c>
    </row>
    <row r="318" spans="1:18" x14ac:dyDescent="0.25">
      <c r="A318" s="14" t="s">
        <v>468</v>
      </c>
      <c r="B318" s="14" t="s">
        <v>56</v>
      </c>
      <c r="C318" s="14" t="s">
        <v>57</v>
      </c>
      <c r="D318" s="15">
        <v>0.29117527073134553</v>
      </c>
      <c r="O318" s="45" t="s">
        <v>468</v>
      </c>
      <c r="P318" s="46" t="s">
        <v>56</v>
      </c>
      <c r="Q318" s="46" t="s">
        <v>57</v>
      </c>
      <c r="R318" s="49">
        <v>0.29117527073134553</v>
      </c>
    </row>
    <row r="319" spans="1:18" x14ac:dyDescent="0.25">
      <c r="A319" s="14" t="s">
        <v>469</v>
      </c>
      <c r="B319" s="14" t="s">
        <v>51</v>
      </c>
      <c r="C319" s="14" t="s">
        <v>52</v>
      </c>
      <c r="D319" s="15">
        <v>0.22581022581022583</v>
      </c>
      <c r="O319" s="45" t="s">
        <v>469</v>
      </c>
      <c r="P319" s="46" t="s">
        <v>51</v>
      </c>
      <c r="Q319" s="46" t="s">
        <v>52</v>
      </c>
      <c r="R319" s="49">
        <v>0.22581022581022583</v>
      </c>
    </row>
    <row r="320" spans="1:18" x14ac:dyDescent="0.25">
      <c r="A320" s="14" t="s">
        <v>470</v>
      </c>
      <c r="B320" s="14" t="s">
        <v>48</v>
      </c>
      <c r="C320" s="14" t="s">
        <v>37</v>
      </c>
      <c r="D320" s="15">
        <v>0.2040554179282503</v>
      </c>
      <c r="O320" s="45" t="s">
        <v>470</v>
      </c>
      <c r="P320" s="46" t="s">
        <v>48</v>
      </c>
      <c r="Q320" s="46" t="s">
        <v>37</v>
      </c>
      <c r="R320" s="49">
        <v>0.2040554179282503</v>
      </c>
    </row>
    <row r="321" spans="1:18" x14ac:dyDescent="0.25">
      <c r="A321" s="14" t="s">
        <v>471</v>
      </c>
      <c r="B321" s="14" t="s">
        <v>56</v>
      </c>
      <c r="C321" s="14" t="s">
        <v>57</v>
      </c>
      <c r="D321" s="15">
        <v>9.3578691423519017E-2</v>
      </c>
      <c r="O321" s="45" t="s">
        <v>471</v>
      </c>
      <c r="P321" s="46" t="s">
        <v>56</v>
      </c>
      <c r="Q321" s="46" t="s">
        <v>57</v>
      </c>
      <c r="R321" s="49">
        <v>9.3578691423519017E-2</v>
      </c>
    </row>
    <row r="322" spans="1:18" x14ac:dyDescent="0.25">
      <c r="A322" s="14" t="s">
        <v>472</v>
      </c>
      <c r="B322" s="14" t="s">
        <v>48</v>
      </c>
      <c r="C322" s="14" t="s">
        <v>37</v>
      </c>
      <c r="D322" s="15">
        <v>0.27408424908424911</v>
      </c>
      <c r="O322" s="45" t="s">
        <v>472</v>
      </c>
      <c r="P322" s="46" t="s">
        <v>48</v>
      </c>
      <c r="Q322" s="46" t="s">
        <v>37</v>
      </c>
      <c r="R322" s="49">
        <v>0.27408424908424911</v>
      </c>
    </row>
    <row r="323" spans="1:18" x14ac:dyDescent="0.25">
      <c r="A323" s="14" t="s">
        <v>474</v>
      </c>
      <c r="B323" s="14" t="s">
        <v>48</v>
      </c>
      <c r="C323" s="14" t="s">
        <v>37</v>
      </c>
      <c r="D323" s="15">
        <v>0.20285152409046212</v>
      </c>
      <c r="O323" s="45" t="s">
        <v>474</v>
      </c>
      <c r="P323" s="46" t="s">
        <v>48</v>
      </c>
      <c r="Q323" s="46" t="s">
        <v>37</v>
      </c>
      <c r="R323" s="49">
        <v>0.20285152409046212</v>
      </c>
    </row>
    <row r="324" spans="1:18" x14ac:dyDescent="0.25">
      <c r="A324" s="14" t="s">
        <v>475</v>
      </c>
      <c r="B324" s="14" t="s">
        <v>63</v>
      </c>
      <c r="C324" s="14" t="s">
        <v>37</v>
      </c>
      <c r="D324" s="15">
        <v>0.2594783962631374</v>
      </c>
      <c r="O324" s="45" t="s">
        <v>475</v>
      </c>
      <c r="P324" s="46" t="s">
        <v>63</v>
      </c>
      <c r="Q324" s="46" t="s">
        <v>37</v>
      </c>
      <c r="R324" s="49">
        <v>0.2594783962631374</v>
      </c>
    </row>
    <row r="325" spans="1:18" x14ac:dyDescent="0.25">
      <c r="A325" s="14" t="s">
        <v>476</v>
      </c>
      <c r="B325" s="14" t="s">
        <v>17</v>
      </c>
      <c r="C325" s="14" t="s">
        <v>18</v>
      </c>
      <c r="D325" s="15">
        <v>0.28280770380028791</v>
      </c>
      <c r="O325" s="45" t="s">
        <v>476</v>
      </c>
      <c r="P325" s="46" t="s">
        <v>17</v>
      </c>
      <c r="Q325" s="46" t="s">
        <v>18</v>
      </c>
      <c r="R325" s="49">
        <v>0.28280770380028791</v>
      </c>
    </row>
    <row r="326" spans="1:18" x14ac:dyDescent="0.25">
      <c r="A326" s="14" t="s">
        <v>477</v>
      </c>
      <c r="B326" s="14" t="s">
        <v>83</v>
      </c>
      <c r="C326" s="14" t="s">
        <v>52</v>
      </c>
      <c r="D326" s="15">
        <v>0.32477375565610861</v>
      </c>
      <c r="O326" s="45" t="s">
        <v>477</v>
      </c>
      <c r="P326" s="46" t="s">
        <v>83</v>
      </c>
      <c r="Q326" s="46" t="s">
        <v>52</v>
      </c>
      <c r="R326" s="49">
        <v>0.32477375565610861</v>
      </c>
    </row>
    <row r="327" spans="1:18" x14ac:dyDescent="0.25">
      <c r="A327" s="14" t="s">
        <v>478</v>
      </c>
      <c r="B327" s="14" t="s">
        <v>17</v>
      </c>
      <c r="C327" s="14" t="s">
        <v>18</v>
      </c>
      <c r="D327" s="15">
        <v>0.38605762054037918</v>
      </c>
      <c r="O327" s="45" t="s">
        <v>478</v>
      </c>
      <c r="P327" s="46" t="s">
        <v>17</v>
      </c>
      <c r="Q327" s="46" t="s">
        <v>18</v>
      </c>
      <c r="R327" s="49">
        <v>0.38605762054037918</v>
      </c>
    </row>
    <row r="328" spans="1:18" x14ac:dyDescent="0.25">
      <c r="A328" s="14" t="s">
        <v>479</v>
      </c>
      <c r="B328" s="14" t="s">
        <v>63</v>
      </c>
      <c r="C328" s="14" t="s">
        <v>37</v>
      </c>
      <c r="D328" s="15">
        <v>0.3510821615660325</v>
      </c>
      <c r="O328" s="45" t="s">
        <v>479</v>
      </c>
      <c r="P328" s="46" t="s">
        <v>63</v>
      </c>
      <c r="Q328" s="46" t="s">
        <v>37</v>
      </c>
      <c r="R328" s="49">
        <v>0.3510821615660325</v>
      </c>
    </row>
    <row r="329" spans="1:18" x14ac:dyDescent="0.25">
      <c r="A329" s="14" t="s">
        <v>480</v>
      </c>
      <c r="B329" s="14" t="s">
        <v>83</v>
      </c>
      <c r="C329" s="14" t="s">
        <v>52</v>
      </c>
      <c r="D329" s="15">
        <v>0.28104144394739844</v>
      </c>
      <c r="O329" s="45" t="s">
        <v>480</v>
      </c>
      <c r="P329" s="46" t="s">
        <v>83</v>
      </c>
      <c r="Q329" s="46" t="s">
        <v>52</v>
      </c>
      <c r="R329" s="49">
        <v>0.28104144394739844</v>
      </c>
    </row>
    <row r="330" spans="1:18" x14ac:dyDescent="0.25">
      <c r="A330" s="14" t="s">
        <v>481</v>
      </c>
      <c r="B330" s="14" t="s">
        <v>63</v>
      </c>
      <c r="C330" s="14" t="s">
        <v>37</v>
      </c>
      <c r="D330" s="15">
        <v>0.34462181929663205</v>
      </c>
      <c r="O330" s="45" t="s">
        <v>481</v>
      </c>
      <c r="P330" s="46" t="s">
        <v>63</v>
      </c>
      <c r="Q330" s="46" t="s">
        <v>37</v>
      </c>
      <c r="R330" s="49">
        <v>0.34462181929663205</v>
      </c>
    </row>
    <row r="331" spans="1:18" x14ac:dyDescent="0.25">
      <c r="A331" s="14" t="s">
        <v>482</v>
      </c>
      <c r="B331" s="14" t="s">
        <v>51</v>
      </c>
      <c r="C331" s="14" t="s">
        <v>52</v>
      </c>
      <c r="D331" s="15">
        <v>0.31096863077575243</v>
      </c>
      <c r="O331" s="45" t="s">
        <v>482</v>
      </c>
      <c r="P331" s="46" t="s">
        <v>51</v>
      </c>
      <c r="Q331" s="46" t="s">
        <v>52</v>
      </c>
      <c r="R331" s="49">
        <v>0.31096863077575243</v>
      </c>
    </row>
    <row r="332" spans="1:18" x14ac:dyDescent="0.25">
      <c r="A332" s="14" t="s">
        <v>484</v>
      </c>
      <c r="B332" s="14" t="s">
        <v>17</v>
      </c>
      <c r="C332" s="14" t="s">
        <v>18</v>
      </c>
      <c r="D332" s="15">
        <v>0.12854240615405688</v>
      </c>
      <c r="O332" s="45" t="s">
        <v>484</v>
      </c>
      <c r="P332" s="46" t="s">
        <v>17</v>
      </c>
      <c r="Q332" s="46" t="s">
        <v>18</v>
      </c>
      <c r="R332" s="49">
        <v>0.12854240615405688</v>
      </c>
    </row>
    <row r="333" spans="1:18" x14ac:dyDescent="0.25">
      <c r="A333" s="14" t="s">
        <v>485</v>
      </c>
      <c r="B333" s="14" t="s">
        <v>48</v>
      </c>
      <c r="C333" s="14" t="s">
        <v>37</v>
      </c>
      <c r="D333" s="15">
        <v>0.27522365805168986</v>
      </c>
      <c r="O333" s="45" t="s">
        <v>485</v>
      </c>
      <c r="P333" s="46" t="s">
        <v>48</v>
      </c>
      <c r="Q333" s="46" t="s">
        <v>37</v>
      </c>
      <c r="R333" s="49">
        <v>0.27522365805168986</v>
      </c>
    </row>
    <row r="334" spans="1:18" x14ac:dyDescent="0.25">
      <c r="A334" s="14" t="s">
        <v>486</v>
      </c>
      <c r="B334" s="14" t="s">
        <v>60</v>
      </c>
      <c r="C334" s="14" t="s">
        <v>52</v>
      </c>
      <c r="D334" s="15">
        <v>0.15735400962673693</v>
      </c>
      <c r="O334" s="45" t="s">
        <v>486</v>
      </c>
      <c r="P334" s="46" t="s">
        <v>60</v>
      </c>
      <c r="Q334" s="46" t="s">
        <v>52</v>
      </c>
      <c r="R334" s="49">
        <v>0.15735400962673693</v>
      </c>
    </row>
    <row r="335" spans="1:18" x14ac:dyDescent="0.25">
      <c r="A335" s="14" t="s">
        <v>487</v>
      </c>
      <c r="B335" s="14" t="s">
        <v>48</v>
      </c>
      <c r="C335" s="14" t="s">
        <v>37</v>
      </c>
      <c r="D335" s="15">
        <v>0.23126897389192475</v>
      </c>
      <c r="O335" s="45" t="s">
        <v>487</v>
      </c>
      <c r="P335" s="46" t="s">
        <v>48</v>
      </c>
      <c r="Q335" s="46" t="s">
        <v>37</v>
      </c>
      <c r="R335" s="49">
        <v>0.23126897389192475</v>
      </c>
    </row>
    <row r="336" spans="1:18" x14ac:dyDescent="0.25">
      <c r="A336" s="14" t="s">
        <v>488</v>
      </c>
      <c r="B336" s="14" t="s">
        <v>48</v>
      </c>
      <c r="C336" s="14" t="s">
        <v>37</v>
      </c>
      <c r="D336" s="15">
        <v>0.32129287134193907</v>
      </c>
      <c r="O336" s="45" t="s">
        <v>488</v>
      </c>
      <c r="P336" s="46" t="s">
        <v>48</v>
      </c>
      <c r="Q336" s="46" t="s">
        <v>37</v>
      </c>
      <c r="R336" s="49">
        <v>0.32129287134193907</v>
      </c>
    </row>
    <row r="337" spans="1:18" x14ac:dyDescent="0.25">
      <c r="A337" s="14" t="s">
        <v>489</v>
      </c>
      <c r="B337" s="14" t="s">
        <v>56</v>
      </c>
      <c r="C337" s="14" t="s">
        <v>57</v>
      </c>
      <c r="D337" s="15">
        <v>0.14831097964531248</v>
      </c>
      <c r="O337" s="45" t="s">
        <v>489</v>
      </c>
      <c r="P337" s="46" t="s">
        <v>56</v>
      </c>
      <c r="Q337" s="46" t="s">
        <v>57</v>
      </c>
      <c r="R337" s="49">
        <v>0.14831097964531248</v>
      </c>
    </row>
    <row r="338" spans="1:18" x14ac:dyDescent="0.25">
      <c r="A338" s="14" t="s">
        <v>490</v>
      </c>
      <c r="B338" s="14" t="s">
        <v>25</v>
      </c>
      <c r="C338" s="14" t="s">
        <v>18</v>
      </c>
      <c r="D338" s="15">
        <v>0.37334067316766284</v>
      </c>
      <c r="O338" s="45" t="s">
        <v>490</v>
      </c>
      <c r="P338" s="46" t="s">
        <v>25</v>
      </c>
      <c r="Q338" s="46" t="s">
        <v>18</v>
      </c>
      <c r="R338" s="49">
        <v>0.37334067316766284</v>
      </c>
    </row>
    <row r="339" spans="1:18" x14ac:dyDescent="0.25">
      <c r="A339" s="14" t="s">
        <v>491</v>
      </c>
      <c r="B339" s="14" t="s">
        <v>25</v>
      </c>
      <c r="C339" s="14" t="s">
        <v>18</v>
      </c>
      <c r="D339" s="15">
        <v>0.34778852798894261</v>
      </c>
      <c r="O339" s="45" t="s">
        <v>491</v>
      </c>
      <c r="P339" s="46" t="s">
        <v>25</v>
      </c>
      <c r="Q339" s="46" t="s">
        <v>18</v>
      </c>
      <c r="R339" s="49">
        <v>0.34778852798894261</v>
      </c>
    </row>
    <row r="340" spans="1:18" x14ac:dyDescent="0.25">
      <c r="A340" s="14" t="s">
        <v>492</v>
      </c>
      <c r="B340" s="14" t="s">
        <v>25</v>
      </c>
      <c r="C340" s="14" t="s">
        <v>18</v>
      </c>
      <c r="D340" s="15">
        <v>0.34341161121983038</v>
      </c>
      <c r="O340" s="45" t="s">
        <v>492</v>
      </c>
      <c r="P340" s="46" t="s">
        <v>25</v>
      </c>
      <c r="Q340" s="46" t="s">
        <v>18</v>
      </c>
      <c r="R340" s="49">
        <v>0.34341161121983038</v>
      </c>
    </row>
    <row r="341" spans="1:18" x14ac:dyDescent="0.25">
      <c r="A341" s="14" t="s">
        <v>493</v>
      </c>
      <c r="B341" s="14" t="s">
        <v>36</v>
      </c>
      <c r="C341" s="14" t="s">
        <v>37</v>
      </c>
      <c r="D341" s="15">
        <v>0.36369098640313285</v>
      </c>
      <c r="O341" s="45" t="s">
        <v>493</v>
      </c>
      <c r="P341" s="46" t="s">
        <v>36</v>
      </c>
      <c r="Q341" s="46" t="s">
        <v>37</v>
      </c>
      <c r="R341" s="49">
        <v>0.36369098640313285</v>
      </c>
    </row>
    <row r="342" spans="1:18" x14ac:dyDescent="0.25">
      <c r="A342" s="14" t="s">
        <v>494</v>
      </c>
      <c r="B342" s="14" t="s">
        <v>43</v>
      </c>
      <c r="C342" s="14" t="s">
        <v>44</v>
      </c>
      <c r="D342" s="15">
        <v>0.35039102191900129</v>
      </c>
      <c r="O342" s="45" t="s">
        <v>494</v>
      </c>
      <c r="P342" s="46" t="s">
        <v>43</v>
      </c>
      <c r="Q342" s="46" t="s">
        <v>44</v>
      </c>
      <c r="R342" s="49">
        <v>0.35039102191900129</v>
      </c>
    </row>
    <row r="343" spans="1:18" x14ac:dyDescent="0.25">
      <c r="A343" s="14" t="s">
        <v>495</v>
      </c>
      <c r="B343" s="14" t="s">
        <v>17</v>
      </c>
      <c r="C343" s="14" t="s">
        <v>18</v>
      </c>
      <c r="D343" s="15">
        <v>0.1406888958792073</v>
      </c>
      <c r="O343" s="45" t="s">
        <v>495</v>
      </c>
      <c r="P343" s="46" t="s">
        <v>17</v>
      </c>
      <c r="Q343" s="46" t="s">
        <v>18</v>
      </c>
      <c r="R343" s="49">
        <v>0.1406888958792073</v>
      </c>
    </row>
    <row r="344" spans="1:18" x14ac:dyDescent="0.25">
      <c r="A344" s="14" t="s">
        <v>496</v>
      </c>
      <c r="B344" s="14" t="s">
        <v>83</v>
      </c>
      <c r="C344" s="14" t="s">
        <v>52</v>
      </c>
      <c r="D344" s="15">
        <v>0.12481617647058822</v>
      </c>
      <c r="O344" s="45" t="s">
        <v>496</v>
      </c>
      <c r="P344" s="46" t="s">
        <v>83</v>
      </c>
      <c r="Q344" s="46" t="s">
        <v>52</v>
      </c>
      <c r="R344" s="49">
        <v>0.12481617647058822</v>
      </c>
    </row>
    <row r="345" spans="1:18" x14ac:dyDescent="0.25">
      <c r="A345" s="14" t="s">
        <v>497</v>
      </c>
      <c r="B345" s="14" t="s">
        <v>25</v>
      </c>
      <c r="C345" s="14" t="s">
        <v>18</v>
      </c>
      <c r="D345" s="15">
        <v>0.33008667607337228</v>
      </c>
      <c r="O345" s="45" t="s">
        <v>497</v>
      </c>
      <c r="P345" s="46" t="s">
        <v>25</v>
      </c>
      <c r="Q345" s="46" t="s">
        <v>18</v>
      </c>
      <c r="R345" s="49">
        <v>0.33008667607337228</v>
      </c>
    </row>
    <row r="346" spans="1:18" x14ac:dyDescent="0.25">
      <c r="A346" s="14" t="s">
        <v>498</v>
      </c>
      <c r="B346" s="14" t="s">
        <v>60</v>
      </c>
      <c r="C346" s="14" t="s">
        <v>52</v>
      </c>
      <c r="D346" s="15">
        <v>0.32596654013777593</v>
      </c>
      <c r="O346" s="45" t="s">
        <v>498</v>
      </c>
      <c r="P346" s="46" t="s">
        <v>60</v>
      </c>
      <c r="Q346" s="46" t="s">
        <v>52</v>
      </c>
      <c r="R346" s="49">
        <v>0.32596654013777593</v>
      </c>
    </row>
    <row r="347" spans="1:18" x14ac:dyDescent="0.25">
      <c r="A347" s="14" t="s">
        <v>499</v>
      </c>
      <c r="B347" s="14" t="s">
        <v>36</v>
      </c>
      <c r="C347" s="14" t="s">
        <v>37</v>
      </c>
      <c r="D347" s="15">
        <v>0.28060830342902715</v>
      </c>
      <c r="O347" s="45" t="s">
        <v>499</v>
      </c>
      <c r="P347" s="46" t="s">
        <v>36</v>
      </c>
      <c r="Q347" s="46" t="s">
        <v>37</v>
      </c>
      <c r="R347" s="49">
        <v>0.28060830342902715</v>
      </c>
    </row>
    <row r="348" spans="1:18" x14ac:dyDescent="0.25">
      <c r="A348" s="14" t="s">
        <v>500</v>
      </c>
      <c r="B348" s="14" t="s">
        <v>17</v>
      </c>
      <c r="C348" s="14" t="s">
        <v>18</v>
      </c>
      <c r="D348" s="15">
        <v>0.28153570026361546</v>
      </c>
      <c r="O348" s="45" t="s">
        <v>500</v>
      </c>
      <c r="P348" s="46" t="s">
        <v>17</v>
      </c>
      <c r="Q348" s="46" t="s">
        <v>18</v>
      </c>
      <c r="R348" s="49">
        <v>0.28153570026361546</v>
      </c>
    </row>
    <row r="349" spans="1:18" x14ac:dyDescent="0.25">
      <c r="A349" s="14" t="s">
        <v>501</v>
      </c>
      <c r="B349" s="14" t="s">
        <v>48</v>
      </c>
      <c r="C349" s="14" t="s">
        <v>37</v>
      </c>
      <c r="D349" s="15">
        <v>0.32675159235668788</v>
      </c>
      <c r="O349" s="45" t="s">
        <v>501</v>
      </c>
      <c r="P349" s="46" t="s">
        <v>48</v>
      </c>
      <c r="Q349" s="46" t="s">
        <v>37</v>
      </c>
      <c r="R349" s="49">
        <v>0.32675159235668788</v>
      </c>
    </row>
    <row r="350" spans="1:18" x14ac:dyDescent="0.25">
      <c r="A350" s="14" t="s">
        <v>502</v>
      </c>
      <c r="B350" s="14" t="s">
        <v>63</v>
      </c>
      <c r="C350" s="14" t="s">
        <v>37</v>
      </c>
      <c r="D350" s="15">
        <v>0.28709751786674864</v>
      </c>
      <c r="O350" s="45" t="s">
        <v>502</v>
      </c>
      <c r="P350" s="46" t="s">
        <v>63</v>
      </c>
      <c r="Q350" s="46" t="s">
        <v>37</v>
      </c>
      <c r="R350" s="49">
        <v>0.28709751786674864</v>
      </c>
    </row>
    <row r="351" spans="1:18" x14ac:dyDescent="0.25">
      <c r="A351" s="14" t="s">
        <v>503</v>
      </c>
      <c r="B351" s="14" t="s">
        <v>60</v>
      </c>
      <c r="C351" s="14" t="s">
        <v>52</v>
      </c>
      <c r="D351" s="15">
        <v>0.21671829622458857</v>
      </c>
      <c r="O351" s="45" t="s">
        <v>503</v>
      </c>
      <c r="P351" s="46" t="s">
        <v>60</v>
      </c>
      <c r="Q351" s="46" t="s">
        <v>52</v>
      </c>
      <c r="R351" s="49">
        <v>0.21671829622458857</v>
      </c>
    </row>
    <row r="352" spans="1:18" x14ac:dyDescent="0.25">
      <c r="A352" s="14" t="s">
        <v>505</v>
      </c>
      <c r="B352" s="14" t="s">
        <v>17</v>
      </c>
      <c r="C352" s="14" t="s">
        <v>18</v>
      </c>
      <c r="D352" s="15">
        <v>0.17798155298155299</v>
      </c>
      <c r="O352" s="45" t="s">
        <v>505</v>
      </c>
      <c r="P352" s="46" t="s">
        <v>17</v>
      </c>
      <c r="Q352" s="46" t="s">
        <v>18</v>
      </c>
      <c r="R352" s="49">
        <v>0.17798155298155299</v>
      </c>
    </row>
    <row r="353" spans="1:18" x14ac:dyDescent="0.25">
      <c r="A353" s="14" t="s">
        <v>506</v>
      </c>
      <c r="B353" s="14" t="s">
        <v>60</v>
      </c>
      <c r="C353" s="14" t="s">
        <v>52</v>
      </c>
      <c r="D353" s="15">
        <v>0.26499126361574782</v>
      </c>
      <c r="O353" s="45" t="s">
        <v>506</v>
      </c>
      <c r="P353" s="46" t="s">
        <v>60</v>
      </c>
      <c r="Q353" s="46" t="s">
        <v>52</v>
      </c>
      <c r="R353" s="49">
        <v>0.26499126361574782</v>
      </c>
    </row>
    <row r="354" spans="1:18" x14ac:dyDescent="0.25">
      <c r="A354" s="14" t="s">
        <v>507</v>
      </c>
      <c r="B354" s="14" t="s">
        <v>60</v>
      </c>
      <c r="C354" s="14" t="s">
        <v>52</v>
      </c>
      <c r="D354" s="15">
        <v>0.37581209395302345</v>
      </c>
      <c r="O354" s="45" t="s">
        <v>507</v>
      </c>
      <c r="P354" s="46" t="s">
        <v>60</v>
      </c>
      <c r="Q354" s="46" t="s">
        <v>52</v>
      </c>
      <c r="R354" s="49">
        <v>0.37581209395302345</v>
      </c>
    </row>
    <row r="355" spans="1:18" x14ac:dyDescent="0.25">
      <c r="A355" s="14" t="s">
        <v>508</v>
      </c>
      <c r="B355" s="14" t="s">
        <v>56</v>
      </c>
      <c r="C355" s="14" t="s">
        <v>57</v>
      </c>
      <c r="D355" s="15">
        <v>0.34809473766152887</v>
      </c>
      <c r="O355" s="45" t="s">
        <v>508</v>
      </c>
      <c r="P355" s="46" t="s">
        <v>56</v>
      </c>
      <c r="Q355" s="46" t="s">
        <v>57</v>
      </c>
      <c r="R355" s="49">
        <v>0.34809473766152887</v>
      </c>
    </row>
    <row r="356" spans="1:18" x14ac:dyDescent="0.25">
      <c r="A356" s="14" t="s">
        <v>509</v>
      </c>
      <c r="B356" s="14" t="s">
        <v>51</v>
      </c>
      <c r="C356" s="14" t="s">
        <v>52</v>
      </c>
      <c r="D356" s="15">
        <v>0.3007379248658319</v>
      </c>
      <c r="O356" s="45" t="s">
        <v>509</v>
      </c>
      <c r="P356" s="46" t="s">
        <v>51</v>
      </c>
      <c r="Q356" s="46" t="s">
        <v>52</v>
      </c>
      <c r="R356" s="49">
        <v>0.3007379248658319</v>
      </c>
    </row>
    <row r="357" spans="1:18" x14ac:dyDescent="0.25">
      <c r="A357" s="14" t="s">
        <v>510</v>
      </c>
      <c r="B357" s="14" t="s">
        <v>17</v>
      </c>
      <c r="C357" s="14" t="s">
        <v>18</v>
      </c>
      <c r="D357" s="15">
        <v>0.19855628178573631</v>
      </c>
      <c r="O357" s="45" t="s">
        <v>510</v>
      </c>
      <c r="P357" s="46" t="s">
        <v>17</v>
      </c>
      <c r="Q357" s="46" t="s">
        <v>18</v>
      </c>
      <c r="R357" s="49">
        <v>0.19855628178573631</v>
      </c>
    </row>
    <row r="358" spans="1:18" x14ac:dyDescent="0.25">
      <c r="A358" s="14" t="s">
        <v>511</v>
      </c>
      <c r="B358" s="14" t="s">
        <v>60</v>
      </c>
      <c r="C358" s="14" t="s">
        <v>52</v>
      </c>
      <c r="D358" s="15">
        <v>0.14621131270010676</v>
      </c>
      <c r="O358" s="45" t="s">
        <v>511</v>
      </c>
      <c r="P358" s="46" t="s">
        <v>60</v>
      </c>
      <c r="Q358" s="46" t="s">
        <v>52</v>
      </c>
      <c r="R358" s="49">
        <v>0.14621131270010676</v>
      </c>
    </row>
    <row r="359" spans="1:18" x14ac:dyDescent="0.25">
      <c r="A359" s="14" t="s">
        <v>512</v>
      </c>
      <c r="B359" s="14" t="s">
        <v>51</v>
      </c>
      <c r="C359" s="14" t="s">
        <v>52</v>
      </c>
      <c r="D359" s="15">
        <v>0.32391834900795474</v>
      </c>
      <c r="O359" s="45" t="s">
        <v>512</v>
      </c>
      <c r="P359" s="46" t="s">
        <v>51</v>
      </c>
      <c r="Q359" s="46" t="s">
        <v>52</v>
      </c>
      <c r="R359" s="49">
        <v>0.32391834900795474</v>
      </c>
    </row>
    <row r="360" spans="1:18" x14ac:dyDescent="0.25">
      <c r="A360" s="14" t="s">
        <v>513</v>
      </c>
      <c r="B360" s="14" t="s">
        <v>63</v>
      </c>
      <c r="C360" s="14" t="s">
        <v>37</v>
      </c>
      <c r="D360" s="15">
        <v>0.29600261587509197</v>
      </c>
      <c r="O360" s="45" t="s">
        <v>513</v>
      </c>
      <c r="P360" s="46" t="s">
        <v>63</v>
      </c>
      <c r="Q360" s="46" t="s">
        <v>37</v>
      </c>
      <c r="R360" s="49">
        <v>0.29600261587509197</v>
      </c>
    </row>
    <row r="361" spans="1:18" x14ac:dyDescent="0.25">
      <c r="A361" s="14" t="s">
        <v>514</v>
      </c>
      <c r="B361" s="14" t="s">
        <v>83</v>
      </c>
      <c r="C361" s="14" t="s">
        <v>52</v>
      </c>
      <c r="D361" s="15">
        <v>0.30467192608948551</v>
      </c>
      <c r="O361" s="45" t="s">
        <v>514</v>
      </c>
      <c r="P361" s="46" t="s">
        <v>83</v>
      </c>
      <c r="Q361" s="46" t="s">
        <v>52</v>
      </c>
      <c r="R361" s="49">
        <v>0.30467192608948551</v>
      </c>
    </row>
    <row r="362" spans="1:18" x14ac:dyDescent="0.25">
      <c r="A362" s="14" t="s">
        <v>515</v>
      </c>
      <c r="B362" s="14" t="s">
        <v>83</v>
      </c>
      <c r="C362" s="14" t="s">
        <v>52</v>
      </c>
      <c r="D362" s="15">
        <v>0.26814582840935947</v>
      </c>
      <c r="O362" s="45" t="s">
        <v>515</v>
      </c>
      <c r="P362" s="46" t="s">
        <v>83</v>
      </c>
      <c r="Q362" s="46" t="s">
        <v>52</v>
      </c>
      <c r="R362" s="49">
        <v>0.26814582840935947</v>
      </c>
    </row>
    <row r="363" spans="1:18" x14ac:dyDescent="0.25">
      <c r="A363" s="14" t="s">
        <v>516</v>
      </c>
      <c r="B363" s="14" t="s">
        <v>36</v>
      </c>
      <c r="C363" s="14" t="s">
        <v>37</v>
      </c>
      <c r="D363" s="15">
        <v>0.36815398075240596</v>
      </c>
      <c r="O363" s="45" t="s">
        <v>516</v>
      </c>
      <c r="P363" s="46" t="s">
        <v>36</v>
      </c>
      <c r="Q363" s="46" t="s">
        <v>37</v>
      </c>
      <c r="R363" s="49">
        <v>0.36815398075240596</v>
      </c>
    </row>
    <row r="364" spans="1:18" x14ac:dyDescent="0.25">
      <c r="A364" s="14" t="s">
        <v>517</v>
      </c>
      <c r="B364" s="14" t="s">
        <v>48</v>
      </c>
      <c r="C364" s="14" t="s">
        <v>37</v>
      </c>
      <c r="D364" s="15">
        <v>0.26742146742146744</v>
      </c>
      <c r="O364" s="45" t="s">
        <v>517</v>
      </c>
      <c r="P364" s="46" t="s">
        <v>48</v>
      </c>
      <c r="Q364" s="46" t="s">
        <v>37</v>
      </c>
      <c r="R364" s="49">
        <v>0.26742146742146744</v>
      </c>
    </row>
    <row r="365" spans="1:18" x14ac:dyDescent="0.25">
      <c r="A365" s="14" t="s">
        <v>518</v>
      </c>
      <c r="B365" s="14" t="s">
        <v>48</v>
      </c>
      <c r="C365" s="14" t="s">
        <v>37</v>
      </c>
      <c r="D365" s="15">
        <v>0.29533322549336782</v>
      </c>
      <c r="O365" s="45" t="s">
        <v>518</v>
      </c>
      <c r="P365" s="46" t="s">
        <v>48</v>
      </c>
      <c r="Q365" s="46" t="s">
        <v>37</v>
      </c>
      <c r="R365" s="49">
        <v>0.29533322549336782</v>
      </c>
    </row>
    <row r="366" spans="1:18" x14ac:dyDescent="0.25">
      <c r="A366" s="14" t="s">
        <v>519</v>
      </c>
      <c r="B366" s="14" t="s">
        <v>51</v>
      </c>
      <c r="C366" s="14" t="s">
        <v>52</v>
      </c>
      <c r="D366" s="15">
        <v>0.25500931966449208</v>
      </c>
      <c r="O366" s="45" t="s">
        <v>519</v>
      </c>
      <c r="P366" s="46" t="s">
        <v>51</v>
      </c>
      <c r="Q366" s="46" t="s">
        <v>52</v>
      </c>
      <c r="R366" s="49">
        <v>0.25500931966449208</v>
      </c>
    </row>
    <row r="367" spans="1:18" x14ac:dyDescent="0.25">
      <c r="A367" s="14" t="s">
        <v>520</v>
      </c>
      <c r="B367" s="14" t="s">
        <v>43</v>
      </c>
      <c r="C367" s="14" t="s">
        <v>44</v>
      </c>
      <c r="D367" s="15">
        <v>0.3128769173213618</v>
      </c>
      <c r="O367" s="45" t="s">
        <v>520</v>
      </c>
      <c r="P367" s="46" t="s">
        <v>43</v>
      </c>
      <c r="Q367" s="46" t="s">
        <v>44</v>
      </c>
      <c r="R367" s="49">
        <v>0.3128769173213618</v>
      </c>
    </row>
    <row r="368" spans="1:18" x14ac:dyDescent="0.25">
      <c r="A368" s="14" t="s">
        <v>521</v>
      </c>
      <c r="B368" s="14" t="s">
        <v>43</v>
      </c>
      <c r="C368" s="14" t="s">
        <v>44</v>
      </c>
      <c r="D368" s="15">
        <v>0.37442436700288412</v>
      </c>
      <c r="O368" s="45" t="s">
        <v>521</v>
      </c>
      <c r="P368" s="46" t="s">
        <v>43</v>
      </c>
      <c r="Q368" s="46" t="s">
        <v>44</v>
      </c>
      <c r="R368" s="49">
        <v>0.37442436700288412</v>
      </c>
    </row>
    <row r="369" spans="1:18" x14ac:dyDescent="0.25">
      <c r="A369" s="14" t="s">
        <v>522</v>
      </c>
      <c r="B369" s="14" t="s">
        <v>17</v>
      </c>
      <c r="C369" s="14" t="s">
        <v>18</v>
      </c>
      <c r="D369" s="15">
        <v>0.27549075662283212</v>
      </c>
      <c r="O369" s="45" t="s">
        <v>522</v>
      </c>
      <c r="P369" s="46" t="s">
        <v>17</v>
      </c>
      <c r="Q369" s="46" t="s">
        <v>18</v>
      </c>
      <c r="R369" s="49">
        <v>0.27549075662283212</v>
      </c>
    </row>
    <row r="370" spans="1:18" x14ac:dyDescent="0.25">
      <c r="A370" s="14" t="s">
        <v>523</v>
      </c>
      <c r="B370" s="14" t="s">
        <v>83</v>
      </c>
      <c r="C370" s="14" t="s">
        <v>52</v>
      </c>
      <c r="D370" s="15">
        <v>0.15652966523036127</v>
      </c>
      <c r="O370" s="45" t="s">
        <v>523</v>
      </c>
      <c r="P370" s="46" t="s">
        <v>83</v>
      </c>
      <c r="Q370" s="46" t="s">
        <v>52</v>
      </c>
      <c r="R370" s="49">
        <v>0.15652966523036127</v>
      </c>
    </row>
    <row r="371" spans="1:18" x14ac:dyDescent="0.25">
      <c r="A371" s="14" t="s">
        <v>524</v>
      </c>
      <c r="B371" s="14" t="s">
        <v>48</v>
      </c>
      <c r="C371" s="14" t="s">
        <v>37</v>
      </c>
      <c r="D371" s="15">
        <v>0.14019509596235077</v>
      </c>
      <c r="O371" s="45" t="s">
        <v>524</v>
      </c>
      <c r="P371" s="46" t="s">
        <v>48</v>
      </c>
      <c r="Q371" s="46" t="s">
        <v>37</v>
      </c>
      <c r="R371" s="49">
        <v>0.14019509596235077</v>
      </c>
    </row>
    <row r="372" spans="1:18" x14ac:dyDescent="0.25">
      <c r="A372" s="14" t="s">
        <v>525</v>
      </c>
      <c r="B372" s="14" t="s">
        <v>48</v>
      </c>
      <c r="C372" s="14" t="s">
        <v>37</v>
      </c>
      <c r="D372" s="15">
        <v>0.34450104493207939</v>
      </c>
      <c r="O372" s="45" t="s">
        <v>525</v>
      </c>
      <c r="P372" s="46" t="s">
        <v>48</v>
      </c>
      <c r="Q372" s="46" t="s">
        <v>37</v>
      </c>
      <c r="R372" s="49">
        <v>0.34450104493207939</v>
      </c>
    </row>
    <row r="373" spans="1:18" x14ac:dyDescent="0.25">
      <c r="A373" s="14" t="s">
        <v>526</v>
      </c>
      <c r="B373" s="14" t="s">
        <v>83</v>
      </c>
      <c r="C373" s="14" t="s">
        <v>52</v>
      </c>
      <c r="D373" s="15">
        <v>0.11379954755581782</v>
      </c>
      <c r="O373" s="45" t="s">
        <v>526</v>
      </c>
      <c r="P373" s="46" t="s">
        <v>83</v>
      </c>
      <c r="Q373" s="46" t="s">
        <v>52</v>
      </c>
      <c r="R373" s="49">
        <v>0.11379954755581782</v>
      </c>
    </row>
    <row r="374" spans="1:18" x14ac:dyDescent="0.25">
      <c r="A374" s="14" t="s">
        <v>527</v>
      </c>
      <c r="B374" s="14" t="s">
        <v>25</v>
      </c>
      <c r="C374" s="14" t="s">
        <v>18</v>
      </c>
      <c r="D374" s="15">
        <v>0.12820512820512819</v>
      </c>
      <c r="O374" s="45" t="s">
        <v>527</v>
      </c>
      <c r="P374" s="46" t="s">
        <v>25</v>
      </c>
      <c r="Q374" s="46" t="s">
        <v>18</v>
      </c>
      <c r="R374" s="49">
        <v>0.12820512820512819</v>
      </c>
    </row>
    <row r="375" spans="1:18" x14ac:dyDescent="0.25">
      <c r="A375" s="14" t="s">
        <v>528</v>
      </c>
      <c r="B375" s="14" t="s">
        <v>51</v>
      </c>
      <c r="C375" s="14" t="s">
        <v>52</v>
      </c>
      <c r="D375" s="15">
        <v>0.34971793507184673</v>
      </c>
      <c r="O375" s="45" t="s">
        <v>528</v>
      </c>
      <c r="P375" s="46" t="s">
        <v>51</v>
      </c>
      <c r="Q375" s="46" t="s">
        <v>52</v>
      </c>
      <c r="R375" s="49">
        <v>0.34971793507184673</v>
      </c>
    </row>
    <row r="376" spans="1:18" x14ac:dyDescent="0.25">
      <c r="A376" s="14" t="s">
        <v>529</v>
      </c>
      <c r="B376" s="14" t="s">
        <v>48</v>
      </c>
      <c r="C376" s="14" t="s">
        <v>37</v>
      </c>
      <c r="D376" s="15">
        <v>0.16150990099009901</v>
      </c>
      <c r="O376" s="45" t="s">
        <v>529</v>
      </c>
      <c r="P376" s="46" t="s">
        <v>48</v>
      </c>
      <c r="Q376" s="46" t="s">
        <v>37</v>
      </c>
      <c r="R376" s="49">
        <v>0.16150990099009901</v>
      </c>
    </row>
    <row r="377" spans="1:18" x14ac:dyDescent="0.25">
      <c r="A377" s="14" t="s">
        <v>530</v>
      </c>
      <c r="B377" s="14" t="s">
        <v>60</v>
      </c>
      <c r="C377" s="14" t="s">
        <v>52</v>
      </c>
      <c r="D377" s="15">
        <v>0.3672434523498353</v>
      </c>
      <c r="O377" s="45" t="s">
        <v>530</v>
      </c>
      <c r="P377" s="46" t="s">
        <v>60</v>
      </c>
      <c r="Q377" s="46" t="s">
        <v>52</v>
      </c>
      <c r="R377" s="49">
        <v>0.3672434523498353</v>
      </c>
    </row>
    <row r="378" spans="1:18" x14ac:dyDescent="0.25">
      <c r="A378" s="14" t="s">
        <v>531</v>
      </c>
      <c r="B378" s="14" t="s">
        <v>48</v>
      </c>
      <c r="C378" s="14" t="s">
        <v>37</v>
      </c>
      <c r="D378" s="15">
        <v>0.14307931570762053</v>
      </c>
      <c r="O378" s="45" t="s">
        <v>531</v>
      </c>
      <c r="P378" s="46" t="s">
        <v>48</v>
      </c>
      <c r="Q378" s="46" t="s">
        <v>37</v>
      </c>
      <c r="R378" s="49">
        <v>0.14307931570762053</v>
      </c>
    </row>
    <row r="379" spans="1:18" x14ac:dyDescent="0.25">
      <c r="A379" s="14" t="s">
        <v>532</v>
      </c>
      <c r="B379" s="14" t="s">
        <v>83</v>
      </c>
      <c r="C379" s="14" t="s">
        <v>52</v>
      </c>
      <c r="D379" s="15">
        <v>0.32543393552957844</v>
      </c>
      <c r="O379" s="45" t="s">
        <v>532</v>
      </c>
      <c r="P379" s="46" t="s">
        <v>83</v>
      </c>
      <c r="Q379" s="46" t="s">
        <v>52</v>
      </c>
      <c r="R379" s="49">
        <v>0.32543393552957844</v>
      </c>
    </row>
    <row r="380" spans="1:18" x14ac:dyDescent="0.25">
      <c r="A380" s="14" t="s">
        <v>533</v>
      </c>
      <c r="B380" s="14" t="s">
        <v>48</v>
      </c>
      <c r="C380" s="14" t="s">
        <v>37</v>
      </c>
      <c r="D380" s="15">
        <v>0.31102482743264309</v>
      </c>
      <c r="O380" s="45" t="s">
        <v>533</v>
      </c>
      <c r="P380" s="46" t="s">
        <v>48</v>
      </c>
      <c r="Q380" s="46" t="s">
        <v>37</v>
      </c>
      <c r="R380" s="49">
        <v>0.31102482743264309</v>
      </c>
    </row>
    <row r="381" spans="1:18" x14ac:dyDescent="0.25">
      <c r="A381" s="14" t="s">
        <v>534</v>
      </c>
      <c r="B381" s="14" t="s">
        <v>51</v>
      </c>
      <c r="C381" s="14" t="s">
        <v>52</v>
      </c>
      <c r="D381" s="15">
        <v>0.33886864723467863</v>
      </c>
      <c r="O381" s="45" t="s">
        <v>534</v>
      </c>
      <c r="P381" s="46" t="s">
        <v>51</v>
      </c>
      <c r="Q381" s="46" t="s">
        <v>52</v>
      </c>
      <c r="R381" s="49">
        <v>0.33886864723467863</v>
      </c>
    </row>
    <row r="382" spans="1:18" x14ac:dyDescent="0.25">
      <c r="A382" s="14" t="s">
        <v>535</v>
      </c>
      <c r="B382" s="14" t="s">
        <v>36</v>
      </c>
      <c r="C382" s="14" t="s">
        <v>37</v>
      </c>
      <c r="D382" s="15">
        <v>0.27955528521221951</v>
      </c>
      <c r="O382" s="45" t="s">
        <v>535</v>
      </c>
      <c r="P382" s="46" t="s">
        <v>36</v>
      </c>
      <c r="Q382" s="46" t="s">
        <v>37</v>
      </c>
      <c r="R382" s="49">
        <v>0.27955528521221951</v>
      </c>
    </row>
    <row r="383" spans="1:18" x14ac:dyDescent="0.25">
      <c r="A383" s="14" t="s">
        <v>536</v>
      </c>
      <c r="B383" s="14" t="s">
        <v>83</v>
      </c>
      <c r="C383" s="14" t="s">
        <v>52</v>
      </c>
      <c r="D383" s="15">
        <v>0.17753794133836598</v>
      </c>
      <c r="O383" s="45" t="s">
        <v>536</v>
      </c>
      <c r="P383" s="46" t="s">
        <v>83</v>
      </c>
      <c r="Q383" s="46" t="s">
        <v>52</v>
      </c>
      <c r="R383" s="49">
        <v>0.17753794133836598</v>
      </c>
    </row>
    <row r="384" spans="1:18" x14ac:dyDescent="0.25">
      <c r="A384" s="14" t="s">
        <v>537</v>
      </c>
      <c r="B384" s="14" t="s">
        <v>56</v>
      </c>
      <c r="C384" s="14" t="s">
        <v>57</v>
      </c>
      <c r="D384" s="15">
        <v>0.26477851629200005</v>
      </c>
      <c r="O384" s="45" t="s">
        <v>537</v>
      </c>
      <c r="P384" s="46" t="s">
        <v>56</v>
      </c>
      <c r="Q384" s="46" t="s">
        <v>57</v>
      </c>
      <c r="R384" s="49">
        <v>0.26477851629200005</v>
      </c>
    </row>
    <row r="385" spans="1:18" x14ac:dyDescent="0.25">
      <c r="A385" s="14" t="s">
        <v>538</v>
      </c>
      <c r="B385" s="14" t="s">
        <v>60</v>
      </c>
      <c r="C385" s="14" t="s">
        <v>52</v>
      </c>
      <c r="D385" s="15">
        <v>0.30556411837237979</v>
      </c>
      <c r="O385" s="45" t="s">
        <v>538</v>
      </c>
      <c r="P385" s="46" t="s">
        <v>60</v>
      </c>
      <c r="Q385" s="46" t="s">
        <v>52</v>
      </c>
      <c r="R385" s="49">
        <v>0.30556411837237979</v>
      </c>
    </row>
    <row r="386" spans="1:18" x14ac:dyDescent="0.25">
      <c r="A386" s="14" t="s">
        <v>539</v>
      </c>
      <c r="B386" s="14" t="s">
        <v>60</v>
      </c>
      <c r="C386" s="14" t="s">
        <v>52</v>
      </c>
      <c r="D386" s="15">
        <v>0.26758303411131057</v>
      </c>
      <c r="O386" s="45" t="s">
        <v>539</v>
      </c>
      <c r="P386" s="46" t="s">
        <v>60</v>
      </c>
      <c r="Q386" s="46" t="s">
        <v>52</v>
      </c>
      <c r="R386" s="49">
        <v>0.26758303411131057</v>
      </c>
    </row>
    <row r="387" spans="1:18" x14ac:dyDescent="0.25">
      <c r="A387" s="14" t="s">
        <v>540</v>
      </c>
      <c r="B387" s="14" t="s">
        <v>63</v>
      </c>
      <c r="C387" s="14" t="s">
        <v>37</v>
      </c>
      <c r="D387" s="15">
        <v>0.35989559342852756</v>
      </c>
      <c r="O387" s="45" t="s">
        <v>540</v>
      </c>
      <c r="P387" s="46" t="s">
        <v>63</v>
      </c>
      <c r="Q387" s="46" t="s">
        <v>37</v>
      </c>
      <c r="R387" s="49">
        <v>0.35989559342852756</v>
      </c>
    </row>
    <row r="388" spans="1:18" x14ac:dyDescent="0.25">
      <c r="A388" s="14" t="s">
        <v>541</v>
      </c>
      <c r="B388" s="14" t="s">
        <v>56</v>
      </c>
      <c r="C388" s="14" t="s">
        <v>57</v>
      </c>
      <c r="D388" s="15">
        <v>0.15123109108464758</v>
      </c>
      <c r="O388" s="45" t="s">
        <v>541</v>
      </c>
      <c r="P388" s="46" t="s">
        <v>56</v>
      </c>
      <c r="Q388" s="46" t="s">
        <v>57</v>
      </c>
      <c r="R388" s="49">
        <v>0.15123109108464758</v>
      </c>
    </row>
    <row r="389" spans="1:18" x14ac:dyDescent="0.25">
      <c r="A389" s="14" t="s">
        <v>542</v>
      </c>
      <c r="B389" s="14" t="s">
        <v>63</v>
      </c>
      <c r="C389" s="14" t="s">
        <v>37</v>
      </c>
      <c r="D389" s="15">
        <v>0.3497297979062976</v>
      </c>
      <c r="O389" s="45" t="s">
        <v>542</v>
      </c>
      <c r="P389" s="46" t="s">
        <v>63</v>
      </c>
      <c r="Q389" s="46" t="s">
        <v>37</v>
      </c>
      <c r="R389" s="49">
        <v>0.3497297979062976</v>
      </c>
    </row>
    <row r="390" spans="1:18" x14ac:dyDescent="0.25">
      <c r="A390" s="14" t="s">
        <v>543</v>
      </c>
      <c r="B390" s="14" t="s">
        <v>63</v>
      </c>
      <c r="C390" s="14" t="s">
        <v>37</v>
      </c>
      <c r="D390" s="15">
        <v>0.38394991693342517</v>
      </c>
      <c r="O390" s="45" t="s">
        <v>543</v>
      </c>
      <c r="P390" s="46" t="s">
        <v>63</v>
      </c>
      <c r="Q390" s="46" t="s">
        <v>37</v>
      </c>
      <c r="R390" s="49">
        <v>0.38394991693342517</v>
      </c>
    </row>
    <row r="391" spans="1:18" x14ac:dyDescent="0.25">
      <c r="A391" s="14" t="s">
        <v>544</v>
      </c>
      <c r="B391" s="14" t="s">
        <v>83</v>
      </c>
      <c r="C391" s="14" t="s">
        <v>52</v>
      </c>
      <c r="D391" s="15">
        <v>0.34882755366831802</v>
      </c>
      <c r="O391" s="45" t="s">
        <v>544</v>
      </c>
      <c r="P391" s="46" t="s">
        <v>83</v>
      </c>
      <c r="Q391" s="46" t="s">
        <v>52</v>
      </c>
      <c r="R391" s="49">
        <v>0.34882755366831802</v>
      </c>
    </row>
    <row r="392" spans="1:18" x14ac:dyDescent="0.25">
      <c r="A392" s="14" t="s">
        <v>545</v>
      </c>
      <c r="B392" s="14" t="s">
        <v>17</v>
      </c>
      <c r="C392" s="14" t="s">
        <v>18</v>
      </c>
      <c r="D392" s="15">
        <v>0.32278806584362141</v>
      </c>
      <c r="O392" s="45" t="s">
        <v>545</v>
      </c>
      <c r="P392" s="46" t="s">
        <v>17</v>
      </c>
      <c r="Q392" s="46" t="s">
        <v>18</v>
      </c>
      <c r="R392" s="49">
        <v>0.32278806584362141</v>
      </c>
    </row>
    <row r="393" spans="1:18" x14ac:dyDescent="0.25">
      <c r="A393" s="14" t="s">
        <v>546</v>
      </c>
      <c r="B393" s="14" t="s">
        <v>17</v>
      </c>
      <c r="C393" s="14" t="s">
        <v>18</v>
      </c>
      <c r="D393" s="15">
        <v>0.35187795155505541</v>
      </c>
      <c r="O393" s="45" t="s">
        <v>546</v>
      </c>
      <c r="P393" s="46" t="s">
        <v>17</v>
      </c>
      <c r="Q393" s="46" t="s">
        <v>18</v>
      </c>
      <c r="R393" s="49">
        <v>0.35187795155505541</v>
      </c>
    </row>
    <row r="394" spans="1:18" x14ac:dyDescent="0.25">
      <c r="A394" s="14" t="s">
        <v>547</v>
      </c>
      <c r="B394" s="14" t="s">
        <v>56</v>
      </c>
      <c r="C394" s="14" t="s">
        <v>57</v>
      </c>
      <c r="D394" s="15">
        <v>0.37512528473804102</v>
      </c>
      <c r="O394" s="45" t="s">
        <v>547</v>
      </c>
      <c r="P394" s="46" t="s">
        <v>56</v>
      </c>
      <c r="Q394" s="46" t="s">
        <v>57</v>
      </c>
      <c r="R394" s="49">
        <v>0.37512528473804102</v>
      </c>
    </row>
    <row r="395" spans="1:18" x14ac:dyDescent="0.25">
      <c r="A395" s="14" t="s">
        <v>548</v>
      </c>
      <c r="B395" s="14" t="s">
        <v>63</v>
      </c>
      <c r="C395" s="14" t="s">
        <v>37</v>
      </c>
      <c r="D395" s="15">
        <v>0.32963955187530442</v>
      </c>
      <c r="O395" s="45" t="s">
        <v>548</v>
      </c>
      <c r="P395" s="46" t="s">
        <v>63</v>
      </c>
      <c r="Q395" s="46" t="s">
        <v>37</v>
      </c>
      <c r="R395" s="49">
        <v>0.32963955187530442</v>
      </c>
    </row>
    <row r="396" spans="1:18" x14ac:dyDescent="0.25">
      <c r="A396" s="14" t="s">
        <v>549</v>
      </c>
      <c r="B396" s="14" t="s">
        <v>48</v>
      </c>
      <c r="C396" s="14" t="s">
        <v>37</v>
      </c>
      <c r="D396" s="15">
        <v>0.1649122807017544</v>
      </c>
      <c r="O396" s="45" t="s">
        <v>549</v>
      </c>
      <c r="P396" s="46" t="s">
        <v>48</v>
      </c>
      <c r="Q396" s="46" t="s">
        <v>37</v>
      </c>
      <c r="R396" s="49">
        <v>0.1649122807017544</v>
      </c>
    </row>
    <row r="397" spans="1:18" x14ac:dyDescent="0.25">
      <c r="A397" s="14" t="s">
        <v>550</v>
      </c>
      <c r="B397" s="14" t="s">
        <v>63</v>
      </c>
      <c r="C397" s="14" t="s">
        <v>37</v>
      </c>
      <c r="D397" s="15">
        <v>0.29327622656014052</v>
      </c>
      <c r="O397" s="45" t="s">
        <v>550</v>
      </c>
      <c r="P397" s="46" t="s">
        <v>63</v>
      </c>
      <c r="Q397" s="46" t="s">
        <v>37</v>
      </c>
      <c r="R397" s="49">
        <v>0.29327622656014052</v>
      </c>
    </row>
    <row r="398" spans="1:18" x14ac:dyDescent="0.25">
      <c r="A398" s="14" t="s">
        <v>551</v>
      </c>
      <c r="B398" s="14" t="s">
        <v>43</v>
      </c>
      <c r="C398" s="14" t="s">
        <v>44</v>
      </c>
      <c r="D398" s="15">
        <v>0.22784008683068019</v>
      </c>
      <c r="O398" s="45" t="s">
        <v>551</v>
      </c>
      <c r="P398" s="46" t="s">
        <v>43</v>
      </c>
      <c r="Q398" s="46" t="s">
        <v>44</v>
      </c>
      <c r="R398" s="49">
        <v>0.22784008683068019</v>
      </c>
    </row>
    <row r="399" spans="1:18" x14ac:dyDescent="0.25">
      <c r="A399" s="14" t="s">
        <v>552</v>
      </c>
      <c r="B399" s="14" t="s">
        <v>56</v>
      </c>
      <c r="C399" s="14" t="s">
        <v>57</v>
      </c>
      <c r="D399" s="15">
        <v>0.40111731324276462</v>
      </c>
      <c r="O399" s="45" t="s">
        <v>552</v>
      </c>
      <c r="P399" s="46" t="s">
        <v>56</v>
      </c>
      <c r="Q399" s="46" t="s">
        <v>57</v>
      </c>
      <c r="R399" s="49">
        <v>0.40111731324276462</v>
      </c>
    </row>
    <row r="400" spans="1:18" x14ac:dyDescent="0.25">
      <c r="A400" s="14" t="s">
        <v>553</v>
      </c>
      <c r="B400" s="14" t="s">
        <v>56</v>
      </c>
      <c r="C400" s="14" t="s">
        <v>57</v>
      </c>
      <c r="D400" s="15">
        <v>0.35564877694995717</v>
      </c>
      <c r="O400" s="45" t="s">
        <v>553</v>
      </c>
      <c r="P400" s="46" t="s">
        <v>56</v>
      </c>
      <c r="Q400" s="46" t="s">
        <v>57</v>
      </c>
      <c r="R400" s="49">
        <v>0.35564877694995717</v>
      </c>
    </row>
    <row r="401" spans="1:18" x14ac:dyDescent="0.25">
      <c r="A401" s="14" t="s">
        <v>554</v>
      </c>
      <c r="B401" s="14" t="s">
        <v>60</v>
      </c>
      <c r="C401" s="14" t="s">
        <v>52</v>
      </c>
      <c r="D401" s="15">
        <v>0.38715288088713162</v>
      </c>
      <c r="O401" s="45" t="s">
        <v>554</v>
      </c>
      <c r="P401" s="46" t="s">
        <v>60</v>
      </c>
      <c r="Q401" s="46" t="s">
        <v>52</v>
      </c>
      <c r="R401" s="49">
        <v>0.38715288088713162</v>
      </c>
    </row>
    <row r="402" spans="1:18" x14ac:dyDescent="0.25">
      <c r="A402" s="14" t="s">
        <v>555</v>
      </c>
      <c r="B402" s="14" t="s">
        <v>48</v>
      </c>
      <c r="C402" s="14" t="s">
        <v>37</v>
      </c>
      <c r="D402" s="15">
        <v>0.31101938262742279</v>
      </c>
      <c r="O402" s="45" t="s">
        <v>555</v>
      </c>
      <c r="P402" s="46" t="s">
        <v>48</v>
      </c>
      <c r="Q402" s="46" t="s">
        <v>37</v>
      </c>
      <c r="R402" s="49">
        <v>0.31101938262742279</v>
      </c>
    </row>
    <row r="403" spans="1:18" x14ac:dyDescent="0.25">
      <c r="A403" s="14" t="s">
        <v>556</v>
      </c>
      <c r="B403" s="14" t="s">
        <v>56</v>
      </c>
      <c r="C403" s="14" t="s">
        <v>57</v>
      </c>
      <c r="D403" s="15">
        <v>0.262163849914966</v>
      </c>
      <c r="O403" s="45" t="s">
        <v>556</v>
      </c>
      <c r="P403" s="46" t="s">
        <v>56</v>
      </c>
      <c r="Q403" s="46" t="s">
        <v>57</v>
      </c>
      <c r="R403" s="49">
        <v>0.262163849914966</v>
      </c>
    </row>
    <row r="404" spans="1:18" x14ac:dyDescent="0.25">
      <c r="A404" s="14" t="s">
        <v>557</v>
      </c>
      <c r="B404" s="14" t="s">
        <v>51</v>
      </c>
      <c r="C404" s="14" t="s">
        <v>52</v>
      </c>
      <c r="D404" s="15">
        <v>0.19386995982740665</v>
      </c>
      <c r="O404" s="45" t="s">
        <v>557</v>
      </c>
      <c r="P404" s="46" t="s">
        <v>51</v>
      </c>
      <c r="Q404" s="46" t="s">
        <v>52</v>
      </c>
      <c r="R404" s="49">
        <v>0.19386995982740665</v>
      </c>
    </row>
    <row r="405" spans="1:18" x14ac:dyDescent="0.25">
      <c r="A405" s="14" t="s">
        <v>558</v>
      </c>
      <c r="B405" s="14" t="s">
        <v>83</v>
      </c>
      <c r="C405" s="14" t="s">
        <v>52</v>
      </c>
      <c r="D405" s="15">
        <v>0.32942699461742864</v>
      </c>
      <c r="O405" s="45" t="s">
        <v>558</v>
      </c>
      <c r="P405" s="46" t="s">
        <v>83</v>
      </c>
      <c r="Q405" s="46" t="s">
        <v>52</v>
      </c>
      <c r="R405" s="49">
        <v>0.32942699461742864</v>
      </c>
    </row>
    <row r="406" spans="1:18" x14ac:dyDescent="0.25">
      <c r="A406" s="14" t="s">
        <v>559</v>
      </c>
      <c r="B406" s="14" t="s">
        <v>17</v>
      </c>
      <c r="C406" s="14" t="s">
        <v>18</v>
      </c>
      <c r="D406" s="15">
        <v>0.15086778686712357</v>
      </c>
      <c r="O406" s="45" t="s">
        <v>559</v>
      </c>
      <c r="P406" s="46" t="s">
        <v>17</v>
      </c>
      <c r="Q406" s="46" t="s">
        <v>18</v>
      </c>
      <c r="R406" s="49">
        <v>0.15086778686712357</v>
      </c>
    </row>
    <row r="407" spans="1:18" x14ac:dyDescent="0.25">
      <c r="A407" s="14" t="s">
        <v>560</v>
      </c>
      <c r="B407" s="14" t="s">
        <v>25</v>
      </c>
      <c r="C407" s="14" t="s">
        <v>18</v>
      </c>
      <c r="D407" s="15">
        <v>0.16875093685089618</v>
      </c>
      <c r="O407" s="45" t="s">
        <v>560</v>
      </c>
      <c r="P407" s="46" t="s">
        <v>25</v>
      </c>
      <c r="Q407" s="46" t="s">
        <v>18</v>
      </c>
      <c r="R407" s="49">
        <v>0.16875093685089618</v>
      </c>
    </row>
    <row r="408" spans="1:18" x14ac:dyDescent="0.25">
      <c r="A408" s="14" t="s">
        <v>561</v>
      </c>
      <c r="B408" s="14" t="s">
        <v>60</v>
      </c>
      <c r="C408" s="14" t="s">
        <v>52</v>
      </c>
      <c r="D408" s="15">
        <v>0.28900308574483075</v>
      </c>
      <c r="O408" s="45" t="s">
        <v>561</v>
      </c>
      <c r="P408" s="46" t="s">
        <v>60</v>
      </c>
      <c r="Q408" s="46" t="s">
        <v>52</v>
      </c>
      <c r="R408" s="49">
        <v>0.28900308574483075</v>
      </c>
    </row>
    <row r="409" spans="1:18" x14ac:dyDescent="0.25">
      <c r="A409" s="14" t="s">
        <v>562</v>
      </c>
      <c r="B409" s="14" t="s">
        <v>48</v>
      </c>
      <c r="C409" s="14" t="s">
        <v>37</v>
      </c>
      <c r="D409" s="15">
        <v>0.39380836429360377</v>
      </c>
      <c r="O409" s="45" t="s">
        <v>562</v>
      </c>
      <c r="P409" s="46" t="s">
        <v>48</v>
      </c>
      <c r="Q409" s="46" t="s">
        <v>37</v>
      </c>
      <c r="R409" s="49">
        <v>0.39380836429360377</v>
      </c>
    </row>
    <row r="410" spans="1:18" x14ac:dyDescent="0.25">
      <c r="A410" s="14" t="s">
        <v>563</v>
      </c>
      <c r="B410" s="14" t="s">
        <v>48</v>
      </c>
      <c r="C410" s="14" t="s">
        <v>37</v>
      </c>
      <c r="D410" s="15">
        <v>0.20417590539541758</v>
      </c>
      <c r="O410" s="45" t="s">
        <v>563</v>
      </c>
      <c r="P410" s="46" t="s">
        <v>48</v>
      </c>
      <c r="Q410" s="46" t="s">
        <v>37</v>
      </c>
      <c r="R410" s="49">
        <v>0.20417590539541758</v>
      </c>
    </row>
    <row r="411" spans="1:18" x14ac:dyDescent="0.25">
      <c r="A411" s="14" t="s">
        <v>564</v>
      </c>
      <c r="B411" s="14" t="s">
        <v>25</v>
      </c>
      <c r="C411" s="14" t="s">
        <v>18</v>
      </c>
      <c r="D411" s="15">
        <v>0.31569115815691157</v>
      </c>
      <c r="O411" s="45" t="s">
        <v>564</v>
      </c>
      <c r="P411" s="46" t="s">
        <v>25</v>
      </c>
      <c r="Q411" s="46" t="s">
        <v>18</v>
      </c>
      <c r="R411" s="49">
        <v>0.31569115815691157</v>
      </c>
    </row>
    <row r="412" spans="1:18" x14ac:dyDescent="0.25">
      <c r="A412" s="14" t="s">
        <v>565</v>
      </c>
      <c r="B412" s="14" t="s">
        <v>83</v>
      </c>
      <c r="C412" s="14" t="s">
        <v>52</v>
      </c>
      <c r="D412" s="15">
        <v>0.24149702984642135</v>
      </c>
      <c r="O412" s="45" t="s">
        <v>565</v>
      </c>
      <c r="P412" s="46" t="s">
        <v>83</v>
      </c>
      <c r="Q412" s="46" t="s">
        <v>52</v>
      </c>
      <c r="R412" s="49">
        <v>0.24149702984642135</v>
      </c>
    </row>
    <row r="413" spans="1:18" x14ac:dyDescent="0.25">
      <c r="A413" s="14" t="s">
        <v>566</v>
      </c>
      <c r="B413" s="14" t="s">
        <v>83</v>
      </c>
      <c r="C413" s="14" t="s">
        <v>52</v>
      </c>
      <c r="D413" s="15">
        <v>0.28914343897161765</v>
      </c>
      <c r="O413" s="45" t="s">
        <v>566</v>
      </c>
      <c r="P413" s="46" t="s">
        <v>83</v>
      </c>
      <c r="Q413" s="46" t="s">
        <v>52</v>
      </c>
      <c r="R413" s="49">
        <v>0.28914343897161765</v>
      </c>
    </row>
    <row r="414" spans="1:18" x14ac:dyDescent="0.25">
      <c r="A414" s="14" t="s">
        <v>567</v>
      </c>
      <c r="B414" s="14" t="s">
        <v>17</v>
      </c>
      <c r="C414" s="14" t="s">
        <v>18</v>
      </c>
      <c r="D414" s="15">
        <v>0.28245102158623692</v>
      </c>
      <c r="O414" s="45" t="s">
        <v>567</v>
      </c>
      <c r="P414" s="46" t="s">
        <v>17</v>
      </c>
      <c r="Q414" s="46" t="s">
        <v>18</v>
      </c>
      <c r="R414" s="49">
        <v>0.28245102158623692</v>
      </c>
    </row>
    <row r="415" spans="1:18" x14ac:dyDescent="0.25">
      <c r="A415" s="14" t="s">
        <v>568</v>
      </c>
      <c r="B415" s="14" t="s">
        <v>56</v>
      </c>
      <c r="C415" s="14" t="s">
        <v>57</v>
      </c>
      <c r="D415" s="15">
        <v>0.30038618098319592</v>
      </c>
      <c r="O415" s="45" t="s">
        <v>568</v>
      </c>
      <c r="P415" s="46" t="s">
        <v>56</v>
      </c>
      <c r="Q415" s="46" t="s">
        <v>57</v>
      </c>
      <c r="R415" s="49">
        <v>0.30038618098319592</v>
      </c>
    </row>
    <row r="416" spans="1:18" x14ac:dyDescent="0.25">
      <c r="A416" s="14" t="s">
        <v>569</v>
      </c>
      <c r="B416" s="14" t="s">
        <v>36</v>
      </c>
      <c r="C416" s="14" t="s">
        <v>37</v>
      </c>
      <c r="D416" s="15">
        <v>0.10517952106737152</v>
      </c>
      <c r="O416" s="45" t="s">
        <v>569</v>
      </c>
      <c r="P416" s="46" t="s">
        <v>36</v>
      </c>
      <c r="Q416" s="46" t="s">
        <v>37</v>
      </c>
      <c r="R416" s="49">
        <v>0.10517952106737152</v>
      </c>
    </row>
    <row r="417" spans="1:18" x14ac:dyDescent="0.25">
      <c r="A417" s="14" t="s">
        <v>570</v>
      </c>
      <c r="B417" s="14" t="s">
        <v>60</v>
      </c>
      <c r="C417" s="14" t="s">
        <v>52</v>
      </c>
      <c r="D417" s="15">
        <v>0.37869966913160608</v>
      </c>
      <c r="O417" s="45" t="s">
        <v>570</v>
      </c>
      <c r="P417" s="46" t="s">
        <v>60</v>
      </c>
      <c r="Q417" s="46" t="s">
        <v>52</v>
      </c>
      <c r="R417" s="49">
        <v>0.37869966913160608</v>
      </c>
    </row>
    <row r="418" spans="1:18" x14ac:dyDescent="0.25">
      <c r="A418" s="14" t="s">
        <v>571</v>
      </c>
      <c r="B418" s="14" t="s">
        <v>60</v>
      </c>
      <c r="C418" s="14" t="s">
        <v>52</v>
      </c>
      <c r="D418" s="15">
        <v>0.26750848896434637</v>
      </c>
      <c r="O418" s="45" t="s">
        <v>571</v>
      </c>
      <c r="P418" s="46" t="s">
        <v>60</v>
      </c>
      <c r="Q418" s="46" t="s">
        <v>52</v>
      </c>
      <c r="R418" s="49">
        <v>0.26750848896434637</v>
      </c>
    </row>
    <row r="419" spans="1:18" x14ac:dyDescent="0.25">
      <c r="A419" s="14" t="s">
        <v>572</v>
      </c>
      <c r="B419" s="14" t="s">
        <v>36</v>
      </c>
      <c r="C419" s="14" t="s">
        <v>37</v>
      </c>
      <c r="D419" s="15">
        <v>0.36789927731680705</v>
      </c>
      <c r="O419" s="45" t="s">
        <v>572</v>
      </c>
      <c r="P419" s="46" t="s">
        <v>36</v>
      </c>
      <c r="Q419" s="46" t="s">
        <v>37</v>
      </c>
      <c r="R419" s="49">
        <v>0.36789927731680705</v>
      </c>
    </row>
    <row r="420" spans="1:18" x14ac:dyDescent="0.25">
      <c r="A420" s="14" t="s">
        <v>573</v>
      </c>
      <c r="B420" s="14" t="s">
        <v>56</v>
      </c>
      <c r="C420" s="14" t="s">
        <v>57</v>
      </c>
      <c r="D420" s="15">
        <v>0.27033775087000045</v>
      </c>
      <c r="O420" s="45" t="s">
        <v>573</v>
      </c>
      <c r="P420" s="46" t="s">
        <v>56</v>
      </c>
      <c r="Q420" s="46" t="s">
        <v>57</v>
      </c>
      <c r="R420" s="49">
        <v>0.27033775087000045</v>
      </c>
    </row>
    <row r="421" spans="1:18" x14ac:dyDescent="0.25">
      <c r="A421" s="14" t="s">
        <v>574</v>
      </c>
      <c r="B421" s="14" t="s">
        <v>25</v>
      </c>
      <c r="C421" s="14" t="s">
        <v>18</v>
      </c>
      <c r="D421" s="15">
        <v>0.1819047619047619</v>
      </c>
      <c r="O421" s="45" t="s">
        <v>574</v>
      </c>
      <c r="P421" s="46" t="s">
        <v>25</v>
      </c>
      <c r="Q421" s="46" t="s">
        <v>18</v>
      </c>
      <c r="R421" s="49">
        <v>0.1819047619047619</v>
      </c>
    </row>
    <row r="422" spans="1:18" x14ac:dyDescent="0.25">
      <c r="A422" s="14" t="s">
        <v>575</v>
      </c>
      <c r="B422" s="14" t="s">
        <v>60</v>
      </c>
      <c r="C422" s="14" t="s">
        <v>52</v>
      </c>
      <c r="D422" s="15">
        <v>0.35585284280936458</v>
      </c>
      <c r="O422" s="45" t="s">
        <v>575</v>
      </c>
      <c r="P422" s="46" t="s">
        <v>60</v>
      </c>
      <c r="Q422" s="46" t="s">
        <v>52</v>
      </c>
      <c r="R422" s="49">
        <v>0.35585284280936458</v>
      </c>
    </row>
    <row r="423" spans="1:18" x14ac:dyDescent="0.25">
      <c r="A423" s="14" t="s">
        <v>576</v>
      </c>
      <c r="B423" s="14" t="s">
        <v>43</v>
      </c>
      <c r="C423" s="14" t="s">
        <v>44</v>
      </c>
      <c r="D423" s="15">
        <v>0.26537139009786714</v>
      </c>
      <c r="O423" s="45" t="s">
        <v>576</v>
      </c>
      <c r="P423" s="46" t="s">
        <v>43</v>
      </c>
      <c r="Q423" s="46" t="s">
        <v>44</v>
      </c>
      <c r="R423" s="49">
        <v>0.26537139009786714</v>
      </c>
    </row>
    <row r="424" spans="1:18" x14ac:dyDescent="0.25">
      <c r="A424" s="14" t="s">
        <v>577</v>
      </c>
      <c r="B424" s="14" t="s">
        <v>56</v>
      </c>
      <c r="C424" s="14" t="s">
        <v>57</v>
      </c>
      <c r="D424" s="15">
        <v>0.29227530599481816</v>
      </c>
      <c r="O424" s="45" t="s">
        <v>577</v>
      </c>
      <c r="P424" s="46" t="s">
        <v>56</v>
      </c>
      <c r="Q424" s="46" t="s">
        <v>57</v>
      </c>
      <c r="R424" s="49">
        <v>0.29227530599481816</v>
      </c>
    </row>
    <row r="425" spans="1:18" x14ac:dyDescent="0.25">
      <c r="A425" s="14" t="s">
        <v>578</v>
      </c>
      <c r="B425" s="14" t="s">
        <v>43</v>
      </c>
      <c r="C425" s="14" t="s">
        <v>44</v>
      </c>
      <c r="D425" s="15">
        <v>0.19713714450556558</v>
      </c>
      <c r="O425" s="45" t="s">
        <v>578</v>
      </c>
      <c r="P425" s="46" t="s">
        <v>43</v>
      </c>
      <c r="Q425" s="46" t="s">
        <v>44</v>
      </c>
      <c r="R425" s="49">
        <v>0.19713714450556558</v>
      </c>
    </row>
    <row r="426" spans="1:18" x14ac:dyDescent="0.25">
      <c r="A426" s="14" t="s">
        <v>579</v>
      </c>
      <c r="B426" s="14" t="s">
        <v>25</v>
      </c>
      <c r="C426" s="14" t="s">
        <v>18</v>
      </c>
      <c r="D426" s="15">
        <v>0.29752676264304173</v>
      </c>
      <c r="O426" s="45" t="s">
        <v>579</v>
      </c>
      <c r="P426" s="46" t="s">
        <v>25</v>
      </c>
      <c r="Q426" s="46" t="s">
        <v>18</v>
      </c>
      <c r="R426" s="49">
        <v>0.29752676264304173</v>
      </c>
    </row>
    <row r="427" spans="1:18" x14ac:dyDescent="0.25">
      <c r="A427" s="14" t="s">
        <v>580</v>
      </c>
      <c r="B427" s="14" t="s">
        <v>51</v>
      </c>
      <c r="C427" s="14" t="s">
        <v>52</v>
      </c>
      <c r="D427" s="15">
        <v>0.21732250743215165</v>
      </c>
      <c r="O427" s="45" t="s">
        <v>580</v>
      </c>
      <c r="P427" s="46" t="s">
        <v>51</v>
      </c>
      <c r="Q427" s="46" t="s">
        <v>52</v>
      </c>
      <c r="R427" s="49">
        <v>0.21732250743215165</v>
      </c>
    </row>
    <row r="428" spans="1:18" x14ac:dyDescent="0.25">
      <c r="A428" s="14" t="s">
        <v>581</v>
      </c>
      <c r="B428" s="14" t="s">
        <v>83</v>
      </c>
      <c r="C428" s="14" t="s">
        <v>52</v>
      </c>
      <c r="D428" s="15">
        <v>0.23996941441345768</v>
      </c>
      <c r="O428" s="45" t="s">
        <v>581</v>
      </c>
      <c r="P428" s="46" t="s">
        <v>83</v>
      </c>
      <c r="Q428" s="46" t="s">
        <v>52</v>
      </c>
      <c r="R428" s="49">
        <v>0.23996941441345768</v>
      </c>
    </row>
    <row r="429" spans="1:18" x14ac:dyDescent="0.25">
      <c r="A429" s="14" t="s">
        <v>582</v>
      </c>
      <c r="B429" s="14" t="s">
        <v>83</v>
      </c>
      <c r="C429" s="14" t="s">
        <v>52</v>
      </c>
      <c r="D429" s="15">
        <v>0.25048233322536578</v>
      </c>
      <c r="O429" s="45" t="s">
        <v>582</v>
      </c>
      <c r="P429" s="46" t="s">
        <v>83</v>
      </c>
      <c r="Q429" s="46" t="s">
        <v>52</v>
      </c>
      <c r="R429" s="49">
        <v>0.25048233322536578</v>
      </c>
    </row>
    <row r="430" spans="1:18" x14ac:dyDescent="0.25">
      <c r="A430" s="14" t="s">
        <v>583</v>
      </c>
      <c r="B430" s="14" t="s">
        <v>43</v>
      </c>
      <c r="C430" s="14" t="s">
        <v>44</v>
      </c>
      <c r="D430" s="15">
        <v>0.3687884038296656</v>
      </c>
      <c r="O430" s="45" t="s">
        <v>583</v>
      </c>
      <c r="P430" s="46" t="s">
        <v>43</v>
      </c>
      <c r="Q430" s="46" t="s">
        <v>44</v>
      </c>
      <c r="R430" s="49">
        <v>0.3687884038296656</v>
      </c>
    </row>
    <row r="431" spans="1:18" x14ac:dyDescent="0.25">
      <c r="A431" s="14" t="s">
        <v>584</v>
      </c>
      <c r="B431" s="14" t="s">
        <v>17</v>
      </c>
      <c r="C431" s="14" t="s">
        <v>18</v>
      </c>
      <c r="D431" s="15">
        <v>0.10974597995805174</v>
      </c>
      <c r="O431" s="45" t="s">
        <v>584</v>
      </c>
      <c r="P431" s="46" t="s">
        <v>17</v>
      </c>
      <c r="Q431" s="46" t="s">
        <v>18</v>
      </c>
      <c r="R431" s="49">
        <v>0.10974597995805174</v>
      </c>
    </row>
    <row r="432" spans="1:18" x14ac:dyDescent="0.25">
      <c r="A432" s="14" t="s">
        <v>585</v>
      </c>
      <c r="B432" s="14" t="s">
        <v>63</v>
      </c>
      <c r="C432" s="14" t="s">
        <v>37</v>
      </c>
      <c r="D432" s="15">
        <v>0.39134007585335018</v>
      </c>
      <c r="O432" s="45" t="s">
        <v>585</v>
      </c>
      <c r="P432" s="46" t="s">
        <v>63</v>
      </c>
      <c r="Q432" s="46" t="s">
        <v>37</v>
      </c>
      <c r="R432" s="49">
        <v>0.39134007585335018</v>
      </c>
    </row>
    <row r="433" spans="1:18" x14ac:dyDescent="0.25">
      <c r="A433" s="14" t="s">
        <v>586</v>
      </c>
      <c r="B433" s="14" t="s">
        <v>63</v>
      </c>
      <c r="C433" s="14" t="s">
        <v>37</v>
      </c>
      <c r="D433" s="15">
        <v>0.27129273504273504</v>
      </c>
      <c r="O433" s="45" t="s">
        <v>586</v>
      </c>
      <c r="P433" s="46" t="s">
        <v>63</v>
      </c>
      <c r="Q433" s="46" t="s">
        <v>37</v>
      </c>
      <c r="R433" s="49">
        <v>0.27129273504273504</v>
      </c>
    </row>
    <row r="434" spans="1:18" x14ac:dyDescent="0.25">
      <c r="A434" s="14" t="s">
        <v>587</v>
      </c>
      <c r="B434" s="14" t="s">
        <v>43</v>
      </c>
      <c r="C434" s="14" t="s">
        <v>44</v>
      </c>
      <c r="D434" s="15">
        <v>0.17256603962377426</v>
      </c>
      <c r="O434" s="45" t="s">
        <v>587</v>
      </c>
      <c r="P434" s="46" t="s">
        <v>43</v>
      </c>
      <c r="Q434" s="46" t="s">
        <v>44</v>
      </c>
      <c r="R434" s="49">
        <v>0.17256603962377426</v>
      </c>
    </row>
    <row r="435" spans="1:18" x14ac:dyDescent="0.25">
      <c r="A435" s="14" t="s">
        <v>588</v>
      </c>
      <c r="B435" s="14" t="s">
        <v>60</v>
      </c>
      <c r="C435" s="14" t="s">
        <v>52</v>
      </c>
      <c r="D435" s="15">
        <v>0.31960549113687858</v>
      </c>
      <c r="O435" s="45" t="s">
        <v>588</v>
      </c>
      <c r="P435" s="46" t="s">
        <v>60</v>
      </c>
      <c r="Q435" s="46" t="s">
        <v>52</v>
      </c>
      <c r="R435" s="49">
        <v>0.31960549113687858</v>
      </c>
    </row>
    <row r="436" spans="1:18" x14ac:dyDescent="0.25">
      <c r="A436" s="14" t="s">
        <v>589</v>
      </c>
      <c r="B436" s="14" t="s">
        <v>63</v>
      </c>
      <c r="C436" s="14" t="s">
        <v>37</v>
      </c>
      <c r="D436" s="15">
        <v>0.21679535679121106</v>
      </c>
      <c r="O436" s="45" t="s">
        <v>589</v>
      </c>
      <c r="P436" s="46" t="s">
        <v>63</v>
      </c>
      <c r="Q436" s="46" t="s">
        <v>37</v>
      </c>
      <c r="R436" s="49">
        <v>0.21679535679121106</v>
      </c>
    </row>
    <row r="437" spans="1:18" x14ac:dyDescent="0.25">
      <c r="A437" s="14" t="s">
        <v>590</v>
      </c>
      <c r="B437" s="14" t="s">
        <v>36</v>
      </c>
      <c r="C437" s="14" t="s">
        <v>37</v>
      </c>
      <c r="D437" s="15">
        <v>0.21304528212422949</v>
      </c>
      <c r="O437" s="45" t="s">
        <v>590</v>
      </c>
      <c r="P437" s="46" t="s">
        <v>36</v>
      </c>
      <c r="Q437" s="46" t="s">
        <v>37</v>
      </c>
      <c r="R437" s="49">
        <v>0.21304528212422949</v>
      </c>
    </row>
    <row r="438" spans="1:18" x14ac:dyDescent="0.25">
      <c r="A438" s="14" t="s">
        <v>591</v>
      </c>
      <c r="B438" s="14" t="s">
        <v>56</v>
      </c>
      <c r="C438" s="14" t="s">
        <v>57</v>
      </c>
      <c r="D438" s="15">
        <v>0.21723381946430273</v>
      </c>
      <c r="O438" s="45" t="s">
        <v>591</v>
      </c>
      <c r="P438" s="46" t="s">
        <v>56</v>
      </c>
      <c r="Q438" s="46" t="s">
        <v>57</v>
      </c>
      <c r="R438" s="49">
        <v>0.21723381946430273</v>
      </c>
    </row>
    <row r="439" spans="1:18" x14ac:dyDescent="0.25">
      <c r="A439" s="14" t="s">
        <v>592</v>
      </c>
      <c r="B439" s="14" t="s">
        <v>48</v>
      </c>
      <c r="C439" s="14" t="s">
        <v>37</v>
      </c>
      <c r="D439" s="15">
        <v>0.37985262228704109</v>
      </c>
      <c r="O439" s="45" t="s">
        <v>592</v>
      </c>
      <c r="P439" s="46" t="s">
        <v>48</v>
      </c>
      <c r="Q439" s="46" t="s">
        <v>37</v>
      </c>
      <c r="R439" s="49">
        <v>0.37985262228704109</v>
      </c>
    </row>
    <row r="440" spans="1:18" x14ac:dyDescent="0.25">
      <c r="A440" s="14" t="s">
        <v>593</v>
      </c>
      <c r="B440" s="14" t="s">
        <v>51</v>
      </c>
      <c r="C440" s="14" t="s">
        <v>52</v>
      </c>
      <c r="D440" s="15">
        <v>0.24213023560209423</v>
      </c>
      <c r="O440" s="45" t="s">
        <v>593</v>
      </c>
      <c r="P440" s="46" t="s">
        <v>51</v>
      </c>
      <c r="Q440" s="46" t="s">
        <v>52</v>
      </c>
      <c r="R440" s="49">
        <v>0.24213023560209423</v>
      </c>
    </row>
    <row r="441" spans="1:18" x14ac:dyDescent="0.25">
      <c r="A441" s="14" t="s">
        <v>594</v>
      </c>
      <c r="B441" s="14" t="s">
        <v>17</v>
      </c>
      <c r="C441" s="14" t="s">
        <v>18</v>
      </c>
      <c r="D441" s="15">
        <v>0.407201679315356</v>
      </c>
      <c r="O441" s="45" t="s">
        <v>594</v>
      </c>
      <c r="P441" s="46" t="s">
        <v>17</v>
      </c>
      <c r="Q441" s="46" t="s">
        <v>18</v>
      </c>
      <c r="R441" s="49">
        <v>0.407201679315356</v>
      </c>
    </row>
    <row r="442" spans="1:18" x14ac:dyDescent="0.25">
      <c r="A442" s="14" t="s">
        <v>595</v>
      </c>
      <c r="B442" s="14" t="s">
        <v>48</v>
      </c>
      <c r="C442" s="14" t="s">
        <v>37</v>
      </c>
      <c r="D442" s="15">
        <v>0.38603578417668438</v>
      </c>
      <c r="O442" s="45" t="s">
        <v>595</v>
      </c>
      <c r="P442" s="46" t="s">
        <v>48</v>
      </c>
      <c r="Q442" s="46" t="s">
        <v>37</v>
      </c>
      <c r="R442" s="49">
        <v>0.38603578417668438</v>
      </c>
    </row>
    <row r="443" spans="1:18" x14ac:dyDescent="0.25">
      <c r="A443" s="14" t="s">
        <v>596</v>
      </c>
      <c r="B443" s="14" t="s">
        <v>63</v>
      </c>
      <c r="C443" s="14" t="s">
        <v>37</v>
      </c>
      <c r="D443" s="15">
        <v>0.40537620742247077</v>
      </c>
      <c r="O443" s="45" t="s">
        <v>596</v>
      </c>
      <c r="P443" s="46" t="s">
        <v>63</v>
      </c>
      <c r="Q443" s="46" t="s">
        <v>37</v>
      </c>
      <c r="R443" s="49">
        <v>0.40537620742247077</v>
      </c>
    </row>
    <row r="444" spans="1:18" x14ac:dyDescent="0.25">
      <c r="A444" s="14" t="s">
        <v>597</v>
      </c>
      <c r="B444" s="14" t="s">
        <v>25</v>
      </c>
      <c r="C444" s="14" t="s">
        <v>18</v>
      </c>
      <c r="D444" s="15">
        <v>0.28868507083181982</v>
      </c>
      <c r="O444" s="45" t="s">
        <v>597</v>
      </c>
      <c r="P444" s="46" t="s">
        <v>25</v>
      </c>
      <c r="Q444" s="46" t="s">
        <v>18</v>
      </c>
      <c r="R444" s="49">
        <v>0.28868507083181982</v>
      </c>
    </row>
    <row r="445" spans="1:18" x14ac:dyDescent="0.25">
      <c r="A445" s="14" t="s">
        <v>598</v>
      </c>
      <c r="B445" s="14" t="s">
        <v>51</v>
      </c>
      <c r="C445" s="14" t="s">
        <v>52</v>
      </c>
      <c r="D445" s="15">
        <v>0.38861466402450007</v>
      </c>
      <c r="O445" s="45" t="s">
        <v>598</v>
      </c>
      <c r="P445" s="46" t="s">
        <v>51</v>
      </c>
      <c r="Q445" s="46" t="s">
        <v>52</v>
      </c>
      <c r="R445" s="49">
        <v>0.38861466402450007</v>
      </c>
    </row>
    <row r="446" spans="1:18" x14ac:dyDescent="0.25">
      <c r="A446" s="14" t="s">
        <v>599</v>
      </c>
      <c r="B446" s="14" t="s">
        <v>60</v>
      </c>
      <c r="C446" s="14" t="s">
        <v>52</v>
      </c>
      <c r="D446" s="15">
        <v>0.30606418918918921</v>
      </c>
      <c r="O446" s="45" t="s">
        <v>599</v>
      </c>
      <c r="P446" s="46" t="s">
        <v>60</v>
      </c>
      <c r="Q446" s="46" t="s">
        <v>52</v>
      </c>
      <c r="R446" s="49">
        <v>0.30606418918918921</v>
      </c>
    </row>
    <row r="447" spans="1:18" x14ac:dyDescent="0.25">
      <c r="A447" s="14" t="s">
        <v>600</v>
      </c>
      <c r="B447" s="14" t="s">
        <v>63</v>
      </c>
      <c r="C447" s="14" t="s">
        <v>37</v>
      </c>
      <c r="D447" s="15">
        <v>0.2967188288743059</v>
      </c>
      <c r="O447" s="45" t="s">
        <v>600</v>
      </c>
      <c r="P447" s="46" t="s">
        <v>63</v>
      </c>
      <c r="Q447" s="46" t="s">
        <v>37</v>
      </c>
      <c r="R447" s="49">
        <v>0.2967188288743059</v>
      </c>
    </row>
    <row r="448" spans="1:18" x14ac:dyDescent="0.25">
      <c r="A448" s="14" t="s">
        <v>601</v>
      </c>
      <c r="B448" s="14" t="s">
        <v>63</v>
      </c>
      <c r="C448" s="14" t="s">
        <v>37</v>
      </c>
      <c r="D448" s="15">
        <v>0.21760029580329082</v>
      </c>
      <c r="O448" s="45" t="s">
        <v>601</v>
      </c>
      <c r="P448" s="46" t="s">
        <v>63</v>
      </c>
      <c r="Q448" s="46" t="s">
        <v>37</v>
      </c>
      <c r="R448" s="49">
        <v>0.21760029580329082</v>
      </c>
    </row>
    <row r="449" spans="1:18" x14ac:dyDescent="0.25">
      <c r="A449" s="14" t="s">
        <v>602</v>
      </c>
      <c r="B449" s="14" t="s">
        <v>25</v>
      </c>
      <c r="C449" s="14" t="s">
        <v>18</v>
      </c>
      <c r="D449" s="15">
        <v>0.2797375912860503</v>
      </c>
      <c r="O449" s="45" t="s">
        <v>602</v>
      </c>
      <c r="P449" s="46" t="s">
        <v>25</v>
      </c>
      <c r="Q449" s="46" t="s">
        <v>18</v>
      </c>
      <c r="R449" s="49">
        <v>0.2797375912860503</v>
      </c>
    </row>
    <row r="450" spans="1:18" x14ac:dyDescent="0.25">
      <c r="A450" s="14" t="s">
        <v>603</v>
      </c>
      <c r="B450" s="14" t="s">
        <v>48</v>
      </c>
      <c r="C450" s="14" t="s">
        <v>37</v>
      </c>
      <c r="D450" s="15">
        <v>0.34921634910878924</v>
      </c>
      <c r="O450" s="45" t="s">
        <v>603</v>
      </c>
      <c r="P450" s="46" t="s">
        <v>48</v>
      </c>
      <c r="Q450" s="46" t="s">
        <v>37</v>
      </c>
      <c r="R450" s="49">
        <v>0.34921634910878924</v>
      </c>
    </row>
    <row r="451" spans="1:18" x14ac:dyDescent="0.25">
      <c r="A451" s="14" t="s">
        <v>604</v>
      </c>
      <c r="B451" s="14" t="s">
        <v>51</v>
      </c>
      <c r="C451" s="14" t="s">
        <v>52</v>
      </c>
      <c r="D451" s="15">
        <v>0.29760867671399949</v>
      </c>
      <c r="O451" s="45" t="s">
        <v>604</v>
      </c>
      <c r="P451" s="46" t="s">
        <v>51</v>
      </c>
      <c r="Q451" s="46" t="s">
        <v>52</v>
      </c>
      <c r="R451" s="49">
        <v>0.29760867671399949</v>
      </c>
    </row>
    <row r="452" spans="1:18" x14ac:dyDescent="0.25">
      <c r="A452" s="14" t="s">
        <v>605</v>
      </c>
      <c r="B452" s="14" t="s">
        <v>63</v>
      </c>
      <c r="C452" s="14" t="s">
        <v>37</v>
      </c>
      <c r="D452" s="15">
        <v>0.1573905109489051</v>
      </c>
      <c r="O452" s="45" t="s">
        <v>605</v>
      </c>
      <c r="P452" s="46" t="s">
        <v>63</v>
      </c>
      <c r="Q452" s="46" t="s">
        <v>37</v>
      </c>
      <c r="R452" s="49">
        <v>0.1573905109489051</v>
      </c>
    </row>
    <row r="453" spans="1:18" x14ac:dyDescent="0.25">
      <c r="A453" s="14" t="s">
        <v>606</v>
      </c>
      <c r="B453" s="14" t="s">
        <v>83</v>
      </c>
      <c r="C453" s="14" t="s">
        <v>52</v>
      </c>
      <c r="D453" s="15">
        <v>0.37348229178788939</v>
      </c>
      <c r="O453" s="45" t="s">
        <v>606</v>
      </c>
      <c r="P453" s="46" t="s">
        <v>83</v>
      </c>
      <c r="Q453" s="46" t="s">
        <v>52</v>
      </c>
      <c r="R453" s="49">
        <v>0.37348229178788939</v>
      </c>
    </row>
    <row r="454" spans="1:18" x14ac:dyDescent="0.25">
      <c r="A454" s="14" t="s">
        <v>607</v>
      </c>
      <c r="B454" s="14" t="s">
        <v>56</v>
      </c>
      <c r="C454" s="14" t="s">
        <v>57</v>
      </c>
      <c r="D454" s="15">
        <v>0.17348986554284568</v>
      </c>
      <c r="O454" s="45" t="s">
        <v>607</v>
      </c>
      <c r="P454" s="46" t="s">
        <v>56</v>
      </c>
      <c r="Q454" s="46" t="s">
        <v>57</v>
      </c>
      <c r="R454" s="49">
        <v>0.17348986554284568</v>
      </c>
    </row>
    <row r="455" spans="1:18" x14ac:dyDescent="0.25">
      <c r="A455" s="14" t="s">
        <v>608</v>
      </c>
      <c r="B455" s="14" t="s">
        <v>43</v>
      </c>
      <c r="C455" s="14" t="s">
        <v>44</v>
      </c>
      <c r="D455" s="15">
        <v>0.38157460675061355</v>
      </c>
      <c r="O455" s="45" t="s">
        <v>608</v>
      </c>
      <c r="P455" s="46" t="s">
        <v>43</v>
      </c>
      <c r="Q455" s="46" t="s">
        <v>44</v>
      </c>
      <c r="R455" s="49">
        <v>0.38157460675061355</v>
      </c>
    </row>
    <row r="456" spans="1:18" x14ac:dyDescent="0.25">
      <c r="A456" s="14" t="s">
        <v>609</v>
      </c>
      <c r="B456" s="14" t="s">
        <v>83</v>
      </c>
      <c r="C456" s="14" t="s">
        <v>52</v>
      </c>
      <c r="D456" s="15">
        <v>0.28763885606239659</v>
      </c>
      <c r="O456" s="45" t="s">
        <v>609</v>
      </c>
      <c r="P456" s="46" t="s">
        <v>83</v>
      </c>
      <c r="Q456" s="46" t="s">
        <v>52</v>
      </c>
      <c r="R456" s="49">
        <v>0.28763885606239659</v>
      </c>
    </row>
    <row r="457" spans="1:18" x14ac:dyDescent="0.25">
      <c r="A457" s="14" t="s">
        <v>610</v>
      </c>
      <c r="B457" s="14" t="s">
        <v>56</v>
      </c>
      <c r="C457" s="14" t="s">
        <v>57</v>
      </c>
      <c r="D457" s="15">
        <v>0.35994922630560927</v>
      </c>
      <c r="O457" s="45" t="s">
        <v>610</v>
      </c>
      <c r="P457" s="46" t="s">
        <v>56</v>
      </c>
      <c r="Q457" s="46" t="s">
        <v>57</v>
      </c>
      <c r="R457" s="49">
        <v>0.35994922630560927</v>
      </c>
    </row>
    <row r="458" spans="1:18" x14ac:dyDescent="0.25">
      <c r="A458" s="14" t="s">
        <v>611</v>
      </c>
      <c r="B458" s="14" t="s">
        <v>25</v>
      </c>
      <c r="C458" s="14" t="s">
        <v>18</v>
      </c>
      <c r="D458" s="15">
        <v>0.39980885632366991</v>
      </c>
      <c r="O458" s="45" t="s">
        <v>611</v>
      </c>
      <c r="P458" s="46" t="s">
        <v>25</v>
      </c>
      <c r="Q458" s="46" t="s">
        <v>18</v>
      </c>
      <c r="R458" s="49">
        <v>0.39980885632366991</v>
      </c>
    </row>
    <row r="459" spans="1:18" x14ac:dyDescent="0.25">
      <c r="A459" s="14" t="s">
        <v>612</v>
      </c>
      <c r="B459" s="14" t="s">
        <v>51</v>
      </c>
      <c r="C459" s="14" t="s">
        <v>52</v>
      </c>
      <c r="D459" s="15">
        <v>0.26242189824457007</v>
      </c>
      <c r="O459" s="45" t="s">
        <v>612</v>
      </c>
      <c r="P459" s="46" t="s">
        <v>51</v>
      </c>
      <c r="Q459" s="46" t="s">
        <v>52</v>
      </c>
      <c r="R459" s="49">
        <v>0.26242189824457007</v>
      </c>
    </row>
    <row r="460" spans="1:18" x14ac:dyDescent="0.25">
      <c r="A460" s="14" t="s">
        <v>613</v>
      </c>
      <c r="B460" s="14" t="s">
        <v>36</v>
      </c>
      <c r="C460" s="14" t="s">
        <v>37</v>
      </c>
      <c r="D460" s="15">
        <v>0.29093480038001812</v>
      </c>
      <c r="O460" s="45" t="s">
        <v>613</v>
      </c>
      <c r="P460" s="46" t="s">
        <v>36</v>
      </c>
      <c r="Q460" s="46" t="s">
        <v>37</v>
      </c>
      <c r="R460" s="49">
        <v>0.29093480038001812</v>
      </c>
    </row>
    <row r="461" spans="1:18" x14ac:dyDescent="0.25">
      <c r="A461" s="14" t="s">
        <v>614</v>
      </c>
      <c r="B461" s="14" t="s">
        <v>51</v>
      </c>
      <c r="C461" s="14" t="s">
        <v>52</v>
      </c>
      <c r="D461" s="15">
        <v>0.31962719298245618</v>
      </c>
      <c r="O461" s="45" t="s">
        <v>614</v>
      </c>
      <c r="P461" s="46" t="s">
        <v>51</v>
      </c>
      <c r="Q461" s="46" t="s">
        <v>52</v>
      </c>
      <c r="R461" s="49">
        <v>0.31962719298245618</v>
      </c>
    </row>
    <row r="462" spans="1:18" x14ac:dyDescent="0.25">
      <c r="A462" s="14" t="s">
        <v>615</v>
      </c>
      <c r="B462" s="14" t="s">
        <v>17</v>
      </c>
      <c r="C462" s="14" t="s">
        <v>18</v>
      </c>
      <c r="D462" s="15">
        <v>0.27272905656428237</v>
      </c>
      <c r="O462" s="45" t="s">
        <v>615</v>
      </c>
      <c r="P462" s="46" t="s">
        <v>17</v>
      </c>
      <c r="Q462" s="46" t="s">
        <v>18</v>
      </c>
      <c r="R462" s="49">
        <v>0.27272905656428237</v>
      </c>
    </row>
    <row r="463" spans="1:18" x14ac:dyDescent="0.25">
      <c r="A463" s="14" t="s">
        <v>616</v>
      </c>
      <c r="B463" s="14" t="s">
        <v>60</v>
      </c>
      <c r="C463" s="14" t="s">
        <v>52</v>
      </c>
      <c r="D463" s="15">
        <v>0.27084922891956253</v>
      </c>
      <c r="O463" s="45" t="s">
        <v>616</v>
      </c>
      <c r="P463" s="46" t="s">
        <v>60</v>
      </c>
      <c r="Q463" s="46" t="s">
        <v>52</v>
      </c>
      <c r="R463" s="49">
        <v>0.27084922891956253</v>
      </c>
    </row>
    <row r="464" spans="1:18" x14ac:dyDescent="0.25">
      <c r="A464" s="14" t="s">
        <v>617</v>
      </c>
      <c r="B464" s="14" t="s">
        <v>60</v>
      </c>
      <c r="C464" s="14" t="s">
        <v>52</v>
      </c>
      <c r="D464" s="15">
        <v>0.22625318606627015</v>
      </c>
      <c r="O464" s="45" t="s">
        <v>617</v>
      </c>
      <c r="P464" s="46" t="s">
        <v>60</v>
      </c>
      <c r="Q464" s="46" t="s">
        <v>52</v>
      </c>
      <c r="R464" s="49">
        <v>0.22625318606627015</v>
      </c>
    </row>
    <row r="465" spans="1:18" x14ac:dyDescent="0.25">
      <c r="A465" s="14" t="s">
        <v>618</v>
      </c>
      <c r="B465" s="14" t="s">
        <v>56</v>
      </c>
      <c r="C465" s="14" t="s">
        <v>57</v>
      </c>
      <c r="D465" s="15">
        <v>0.23569196018175609</v>
      </c>
      <c r="O465" s="45" t="s">
        <v>618</v>
      </c>
      <c r="P465" s="46" t="s">
        <v>56</v>
      </c>
      <c r="Q465" s="46" t="s">
        <v>57</v>
      </c>
      <c r="R465" s="49">
        <v>0.23569196018175609</v>
      </c>
    </row>
    <row r="466" spans="1:18" x14ac:dyDescent="0.25">
      <c r="A466" s="14" t="s">
        <v>619</v>
      </c>
      <c r="B466" s="14" t="s">
        <v>51</v>
      </c>
      <c r="C466" s="14" t="s">
        <v>52</v>
      </c>
      <c r="D466" s="15">
        <v>0.30335483964402349</v>
      </c>
      <c r="O466" s="45" t="s">
        <v>619</v>
      </c>
      <c r="P466" s="46" t="s">
        <v>51</v>
      </c>
      <c r="Q466" s="46" t="s">
        <v>52</v>
      </c>
      <c r="R466" s="49">
        <v>0.30335483964402349</v>
      </c>
    </row>
    <row r="467" spans="1:18" x14ac:dyDescent="0.25">
      <c r="A467" s="14" t="s">
        <v>620</v>
      </c>
      <c r="B467" s="14" t="s">
        <v>25</v>
      </c>
      <c r="C467" s="14" t="s">
        <v>18</v>
      </c>
      <c r="D467" s="15">
        <v>0.26809168893263957</v>
      </c>
      <c r="O467" s="45" t="s">
        <v>620</v>
      </c>
      <c r="P467" s="46" t="s">
        <v>25</v>
      </c>
      <c r="Q467" s="46" t="s">
        <v>18</v>
      </c>
      <c r="R467" s="49">
        <v>0.26809168893263957</v>
      </c>
    </row>
    <row r="468" spans="1:18" x14ac:dyDescent="0.25">
      <c r="A468" s="14" t="s">
        <v>621</v>
      </c>
      <c r="B468" s="14" t="s">
        <v>63</v>
      </c>
      <c r="C468" s="14" t="s">
        <v>37</v>
      </c>
      <c r="D468" s="15">
        <v>0.3159274193548387</v>
      </c>
      <c r="O468" s="45" t="s">
        <v>621</v>
      </c>
      <c r="P468" s="46" t="s">
        <v>63</v>
      </c>
      <c r="Q468" s="46" t="s">
        <v>37</v>
      </c>
      <c r="R468" s="49">
        <v>0.3159274193548387</v>
      </c>
    </row>
    <row r="469" spans="1:18" x14ac:dyDescent="0.25">
      <c r="A469" s="14" t="s">
        <v>622</v>
      </c>
      <c r="B469" s="14" t="s">
        <v>60</v>
      </c>
      <c r="C469" s="14" t="s">
        <v>52</v>
      </c>
      <c r="D469" s="15">
        <v>0.38868029481296062</v>
      </c>
      <c r="O469" s="45" t="s">
        <v>622</v>
      </c>
      <c r="P469" s="46" t="s">
        <v>60</v>
      </c>
      <c r="Q469" s="46" t="s">
        <v>52</v>
      </c>
      <c r="R469" s="49">
        <v>0.38868029481296062</v>
      </c>
    </row>
    <row r="470" spans="1:18" x14ac:dyDescent="0.25">
      <c r="A470" s="14" t="s">
        <v>623</v>
      </c>
      <c r="B470" s="14" t="s">
        <v>36</v>
      </c>
      <c r="C470" s="14" t="s">
        <v>37</v>
      </c>
      <c r="D470" s="15">
        <v>0.26019021739130432</v>
      </c>
      <c r="O470" s="45" t="s">
        <v>623</v>
      </c>
      <c r="P470" s="46" t="s">
        <v>36</v>
      </c>
      <c r="Q470" s="46" t="s">
        <v>37</v>
      </c>
      <c r="R470" s="49">
        <v>0.26019021739130432</v>
      </c>
    </row>
    <row r="471" spans="1:18" x14ac:dyDescent="0.25">
      <c r="A471" s="14" t="s">
        <v>624</v>
      </c>
      <c r="B471" s="14" t="s">
        <v>51</v>
      </c>
      <c r="C471" s="14" t="s">
        <v>52</v>
      </c>
      <c r="D471" s="15">
        <v>0.28863562357538258</v>
      </c>
      <c r="O471" s="45" t="s">
        <v>624</v>
      </c>
      <c r="P471" s="46" t="s">
        <v>51</v>
      </c>
      <c r="Q471" s="46" t="s">
        <v>52</v>
      </c>
      <c r="R471" s="49">
        <v>0.28863562357538258</v>
      </c>
    </row>
    <row r="472" spans="1:18" x14ac:dyDescent="0.25">
      <c r="A472" s="14" t="s">
        <v>625</v>
      </c>
      <c r="B472" s="14" t="s">
        <v>25</v>
      </c>
      <c r="C472" s="14" t="s">
        <v>18</v>
      </c>
      <c r="D472" s="15">
        <v>0.29737275723178325</v>
      </c>
      <c r="O472" s="45" t="s">
        <v>625</v>
      </c>
      <c r="P472" s="46" t="s">
        <v>25</v>
      </c>
      <c r="Q472" s="46" t="s">
        <v>18</v>
      </c>
      <c r="R472" s="49">
        <v>0.29737275723178325</v>
      </c>
    </row>
    <row r="473" spans="1:18" x14ac:dyDescent="0.25">
      <c r="A473" s="14" t="s">
        <v>626</v>
      </c>
      <c r="B473" s="14" t="s">
        <v>25</v>
      </c>
      <c r="C473" s="14" t="s">
        <v>18</v>
      </c>
      <c r="D473" s="15">
        <v>0.34671097785644622</v>
      </c>
      <c r="O473" s="45" t="s">
        <v>626</v>
      </c>
      <c r="P473" s="46" t="s">
        <v>25</v>
      </c>
      <c r="Q473" s="46" t="s">
        <v>18</v>
      </c>
      <c r="R473" s="49">
        <v>0.34671097785644622</v>
      </c>
    </row>
    <row r="474" spans="1:18" x14ac:dyDescent="0.25">
      <c r="A474" s="14" t="s">
        <v>627</v>
      </c>
      <c r="B474" s="14" t="s">
        <v>17</v>
      </c>
      <c r="C474" s="14" t="s">
        <v>18</v>
      </c>
      <c r="D474" s="15">
        <v>0.3215123623894604</v>
      </c>
      <c r="O474" s="45" t="s">
        <v>627</v>
      </c>
      <c r="P474" s="46" t="s">
        <v>17</v>
      </c>
      <c r="Q474" s="46" t="s">
        <v>18</v>
      </c>
      <c r="R474" s="49">
        <v>0.3215123623894604</v>
      </c>
    </row>
    <row r="475" spans="1:18" x14ac:dyDescent="0.25">
      <c r="A475" s="14" t="s">
        <v>628</v>
      </c>
      <c r="B475" s="14" t="s">
        <v>25</v>
      </c>
      <c r="C475" s="14" t="s">
        <v>18</v>
      </c>
      <c r="D475" s="15">
        <v>0.33036635706914347</v>
      </c>
      <c r="O475" s="45" t="s">
        <v>628</v>
      </c>
      <c r="P475" s="46" t="s">
        <v>25</v>
      </c>
      <c r="Q475" s="46" t="s">
        <v>18</v>
      </c>
      <c r="R475" s="49">
        <v>0.33036635706914347</v>
      </c>
    </row>
    <row r="476" spans="1:18" x14ac:dyDescent="0.25">
      <c r="A476" s="14" t="s">
        <v>629</v>
      </c>
      <c r="B476" s="14" t="s">
        <v>51</v>
      </c>
      <c r="C476" s="14" t="s">
        <v>52</v>
      </c>
      <c r="D476" s="15">
        <v>0.12383567849154895</v>
      </c>
      <c r="O476" s="45" t="s">
        <v>629</v>
      </c>
      <c r="P476" s="46" t="s">
        <v>51</v>
      </c>
      <c r="Q476" s="46" t="s">
        <v>52</v>
      </c>
      <c r="R476" s="49">
        <v>0.12383567849154895</v>
      </c>
    </row>
    <row r="477" spans="1:18" x14ac:dyDescent="0.25">
      <c r="A477" s="14" t="s">
        <v>630</v>
      </c>
      <c r="B477" s="14" t="s">
        <v>17</v>
      </c>
      <c r="C477" s="14" t="s">
        <v>18</v>
      </c>
      <c r="D477" s="15">
        <v>0.24366511712697114</v>
      </c>
      <c r="O477" s="45" t="s">
        <v>630</v>
      </c>
      <c r="P477" s="46" t="s">
        <v>17</v>
      </c>
      <c r="Q477" s="46" t="s">
        <v>18</v>
      </c>
      <c r="R477" s="49">
        <v>0.24366511712697114</v>
      </c>
    </row>
    <row r="478" spans="1:18" x14ac:dyDescent="0.25">
      <c r="A478" s="14" t="s">
        <v>631</v>
      </c>
      <c r="B478" s="14" t="s">
        <v>51</v>
      </c>
      <c r="C478" s="14" t="s">
        <v>52</v>
      </c>
      <c r="D478" s="15">
        <v>0.24426865890280522</v>
      </c>
      <c r="O478" s="45" t="s">
        <v>631</v>
      </c>
      <c r="P478" s="46" t="s">
        <v>51</v>
      </c>
      <c r="Q478" s="46" t="s">
        <v>52</v>
      </c>
      <c r="R478" s="49">
        <v>0.24426865890280522</v>
      </c>
    </row>
    <row r="479" spans="1:18" x14ac:dyDescent="0.25">
      <c r="A479" s="14" t="s">
        <v>632</v>
      </c>
      <c r="B479" s="14" t="s">
        <v>63</v>
      </c>
      <c r="C479" s="14" t="s">
        <v>37</v>
      </c>
      <c r="D479" s="15">
        <v>0.16611766668056541</v>
      </c>
      <c r="O479" s="45" t="s">
        <v>632</v>
      </c>
      <c r="P479" s="46" t="s">
        <v>63</v>
      </c>
      <c r="Q479" s="46" t="s">
        <v>37</v>
      </c>
      <c r="R479" s="49">
        <v>0.16611766668056541</v>
      </c>
    </row>
    <row r="480" spans="1:18" x14ac:dyDescent="0.25">
      <c r="A480" s="14" t="s">
        <v>633</v>
      </c>
      <c r="B480" s="14" t="s">
        <v>56</v>
      </c>
      <c r="C480" s="14" t="s">
        <v>57</v>
      </c>
      <c r="D480" s="15">
        <v>0.39005630814427938</v>
      </c>
      <c r="O480" s="45" t="s">
        <v>633</v>
      </c>
      <c r="P480" s="46" t="s">
        <v>56</v>
      </c>
      <c r="Q480" s="46" t="s">
        <v>57</v>
      </c>
      <c r="R480" s="49">
        <v>0.39005630814427938</v>
      </c>
    </row>
    <row r="481" spans="1:18" x14ac:dyDescent="0.25">
      <c r="A481" s="14" t="s">
        <v>634</v>
      </c>
      <c r="B481" s="14" t="s">
        <v>36</v>
      </c>
      <c r="C481" s="14" t="s">
        <v>37</v>
      </c>
      <c r="D481" s="15">
        <v>0.20948191156766413</v>
      </c>
      <c r="O481" s="45" t="s">
        <v>634</v>
      </c>
      <c r="P481" s="46" t="s">
        <v>36</v>
      </c>
      <c r="Q481" s="46" t="s">
        <v>37</v>
      </c>
      <c r="R481" s="49">
        <v>0.20948191156766413</v>
      </c>
    </row>
    <row r="482" spans="1:18" x14ac:dyDescent="0.25">
      <c r="A482" s="14" t="s">
        <v>635</v>
      </c>
      <c r="B482" s="14" t="s">
        <v>25</v>
      </c>
      <c r="C482" s="14" t="s">
        <v>18</v>
      </c>
      <c r="D482" s="15">
        <v>0.16146897675107361</v>
      </c>
      <c r="O482" s="45" t="s">
        <v>635</v>
      </c>
      <c r="P482" s="46" t="s">
        <v>25</v>
      </c>
      <c r="Q482" s="46" t="s">
        <v>18</v>
      </c>
      <c r="R482" s="49">
        <v>0.16146897675107361</v>
      </c>
    </row>
    <row r="483" spans="1:18" x14ac:dyDescent="0.25">
      <c r="A483" s="14" t="s">
        <v>636</v>
      </c>
      <c r="B483" s="14" t="s">
        <v>60</v>
      </c>
      <c r="C483" s="14" t="s">
        <v>52</v>
      </c>
      <c r="D483" s="15">
        <v>0.39612214863870499</v>
      </c>
      <c r="O483" s="45" t="s">
        <v>636</v>
      </c>
      <c r="P483" s="46" t="s">
        <v>60</v>
      </c>
      <c r="Q483" s="46" t="s">
        <v>52</v>
      </c>
      <c r="R483" s="49">
        <v>0.39612214863870499</v>
      </c>
    </row>
    <row r="484" spans="1:18" x14ac:dyDescent="0.25">
      <c r="A484" s="14" t="s">
        <v>637</v>
      </c>
      <c r="B484" s="14" t="s">
        <v>83</v>
      </c>
      <c r="C484" s="14" t="s">
        <v>52</v>
      </c>
      <c r="D484" s="15">
        <v>0.20989640857676048</v>
      </c>
      <c r="O484" s="45" t="s">
        <v>637</v>
      </c>
      <c r="P484" s="46" t="s">
        <v>83</v>
      </c>
      <c r="Q484" s="46" t="s">
        <v>52</v>
      </c>
      <c r="R484" s="49">
        <v>0.20989640857676048</v>
      </c>
    </row>
    <row r="485" spans="1:18" x14ac:dyDescent="0.25">
      <c r="A485" s="14" t="s">
        <v>638</v>
      </c>
      <c r="B485" s="14" t="s">
        <v>43</v>
      </c>
      <c r="C485" s="14" t="s">
        <v>44</v>
      </c>
      <c r="D485" s="15">
        <v>0.18157140197356172</v>
      </c>
      <c r="O485" s="45" t="s">
        <v>638</v>
      </c>
      <c r="P485" s="46" t="s">
        <v>43</v>
      </c>
      <c r="Q485" s="46" t="s">
        <v>44</v>
      </c>
      <c r="R485" s="49">
        <v>0.18157140197356172</v>
      </c>
    </row>
    <row r="486" spans="1:18" x14ac:dyDescent="0.25">
      <c r="A486" s="14" t="s">
        <v>639</v>
      </c>
      <c r="B486" s="14" t="s">
        <v>60</v>
      </c>
      <c r="C486" s="14" t="s">
        <v>52</v>
      </c>
      <c r="D486" s="15">
        <v>0.10734425349087003</v>
      </c>
      <c r="O486" s="45" t="s">
        <v>639</v>
      </c>
      <c r="P486" s="46" t="s">
        <v>60</v>
      </c>
      <c r="Q486" s="46" t="s">
        <v>52</v>
      </c>
      <c r="R486" s="49">
        <v>0.10734425349087003</v>
      </c>
    </row>
    <row r="487" spans="1:18" x14ac:dyDescent="0.25">
      <c r="A487" s="14" t="s">
        <v>640</v>
      </c>
      <c r="B487" s="14" t="s">
        <v>43</v>
      </c>
      <c r="C487" s="14" t="s">
        <v>44</v>
      </c>
      <c r="D487" s="15">
        <v>0.15910478128179045</v>
      </c>
      <c r="O487" s="45" t="s">
        <v>640</v>
      </c>
      <c r="P487" s="46" t="s">
        <v>43</v>
      </c>
      <c r="Q487" s="46" t="s">
        <v>44</v>
      </c>
      <c r="R487" s="49">
        <v>0.15910478128179045</v>
      </c>
    </row>
    <row r="488" spans="1:18" x14ac:dyDescent="0.25">
      <c r="A488" s="14" t="s">
        <v>641</v>
      </c>
      <c r="B488" s="14" t="s">
        <v>43</v>
      </c>
      <c r="C488" s="14" t="s">
        <v>44</v>
      </c>
      <c r="D488" s="15">
        <v>0.15533658518352397</v>
      </c>
      <c r="O488" s="45" t="s">
        <v>641</v>
      </c>
      <c r="P488" s="46" t="s">
        <v>43</v>
      </c>
      <c r="Q488" s="46" t="s">
        <v>44</v>
      </c>
      <c r="R488" s="49">
        <v>0.15533658518352397</v>
      </c>
    </row>
    <row r="489" spans="1:18" x14ac:dyDescent="0.25">
      <c r="A489" s="14" t="s">
        <v>642</v>
      </c>
      <c r="B489" s="14" t="s">
        <v>56</v>
      </c>
      <c r="C489" s="14" t="s">
        <v>57</v>
      </c>
      <c r="D489" s="15">
        <v>0.27632209399427765</v>
      </c>
      <c r="O489" s="45" t="s">
        <v>642</v>
      </c>
      <c r="P489" s="46" t="s">
        <v>56</v>
      </c>
      <c r="Q489" s="46" t="s">
        <v>57</v>
      </c>
      <c r="R489" s="49">
        <v>0.27632209399427765</v>
      </c>
    </row>
    <row r="490" spans="1:18" x14ac:dyDescent="0.25">
      <c r="A490" s="14" t="s">
        <v>643</v>
      </c>
      <c r="B490" s="14" t="s">
        <v>63</v>
      </c>
      <c r="C490" s="14" t="s">
        <v>37</v>
      </c>
      <c r="D490" s="15">
        <v>0.33804809052333801</v>
      </c>
      <c r="O490" s="45" t="s">
        <v>643</v>
      </c>
      <c r="P490" s="46" t="s">
        <v>63</v>
      </c>
      <c r="Q490" s="46" t="s">
        <v>37</v>
      </c>
      <c r="R490" s="49">
        <v>0.33804809052333801</v>
      </c>
    </row>
    <row r="491" spans="1:18" x14ac:dyDescent="0.25">
      <c r="A491" s="14" t="s">
        <v>644</v>
      </c>
      <c r="B491" s="14" t="s">
        <v>63</v>
      </c>
      <c r="C491" s="14" t="s">
        <v>37</v>
      </c>
      <c r="D491" s="15">
        <v>0.23754994930518281</v>
      </c>
      <c r="O491" s="45" t="s">
        <v>644</v>
      </c>
      <c r="P491" s="46" t="s">
        <v>63</v>
      </c>
      <c r="Q491" s="46" t="s">
        <v>37</v>
      </c>
      <c r="R491" s="49">
        <v>0.23754994930518281</v>
      </c>
    </row>
    <row r="492" spans="1:18" x14ac:dyDescent="0.25">
      <c r="A492" s="14" t="s">
        <v>645</v>
      </c>
      <c r="B492" s="14" t="s">
        <v>51</v>
      </c>
      <c r="C492" s="14" t="s">
        <v>52</v>
      </c>
      <c r="D492" s="15">
        <v>0.12115337272279665</v>
      </c>
      <c r="O492" s="45" t="s">
        <v>645</v>
      </c>
      <c r="P492" s="46" t="s">
        <v>51</v>
      </c>
      <c r="Q492" s="46" t="s">
        <v>52</v>
      </c>
      <c r="R492" s="49">
        <v>0.12115337272279665</v>
      </c>
    </row>
    <row r="493" spans="1:18" x14ac:dyDescent="0.25">
      <c r="A493" s="14" t="s">
        <v>646</v>
      </c>
      <c r="B493" s="14" t="s">
        <v>56</v>
      </c>
      <c r="C493" s="14" t="s">
        <v>57</v>
      </c>
      <c r="D493" s="15">
        <v>0.20355169202111145</v>
      </c>
      <c r="O493" s="45" t="s">
        <v>646</v>
      </c>
      <c r="P493" s="46" t="s">
        <v>56</v>
      </c>
      <c r="Q493" s="46" t="s">
        <v>57</v>
      </c>
      <c r="R493" s="49">
        <v>0.20355169202111145</v>
      </c>
    </row>
    <row r="494" spans="1:18" x14ac:dyDescent="0.25">
      <c r="A494" s="14" t="s">
        <v>647</v>
      </c>
      <c r="B494" s="14" t="s">
        <v>63</v>
      </c>
      <c r="C494" s="14" t="s">
        <v>37</v>
      </c>
      <c r="D494" s="15">
        <v>0.30342647015095497</v>
      </c>
      <c r="O494" s="45" t="s">
        <v>647</v>
      </c>
      <c r="P494" s="46" t="s">
        <v>63</v>
      </c>
      <c r="Q494" s="46" t="s">
        <v>37</v>
      </c>
      <c r="R494" s="49">
        <v>0.30342647015095497</v>
      </c>
    </row>
    <row r="495" spans="1:18" x14ac:dyDescent="0.25">
      <c r="A495" s="14" t="s">
        <v>648</v>
      </c>
      <c r="B495" s="14" t="s">
        <v>48</v>
      </c>
      <c r="C495" s="14" t="s">
        <v>37</v>
      </c>
      <c r="D495" s="15">
        <v>0.25526307433397899</v>
      </c>
      <c r="O495" s="45" t="s">
        <v>648</v>
      </c>
      <c r="P495" s="46" t="s">
        <v>48</v>
      </c>
      <c r="Q495" s="46" t="s">
        <v>37</v>
      </c>
      <c r="R495" s="49">
        <v>0.25526307433397899</v>
      </c>
    </row>
    <row r="496" spans="1:18" x14ac:dyDescent="0.25">
      <c r="A496" s="14" t="s">
        <v>649</v>
      </c>
      <c r="B496" s="14" t="s">
        <v>43</v>
      </c>
      <c r="C496" s="14" t="s">
        <v>44</v>
      </c>
      <c r="D496" s="15">
        <v>0.22526404457979651</v>
      </c>
      <c r="O496" s="45" t="s">
        <v>649</v>
      </c>
      <c r="P496" s="46" t="s">
        <v>43</v>
      </c>
      <c r="Q496" s="46" t="s">
        <v>44</v>
      </c>
      <c r="R496" s="49">
        <v>0.22526404457979651</v>
      </c>
    </row>
    <row r="497" spans="1:18" x14ac:dyDescent="0.25">
      <c r="A497" s="14" t="s">
        <v>650</v>
      </c>
      <c r="B497" s="14" t="s">
        <v>56</v>
      </c>
      <c r="C497" s="14" t="s">
        <v>57</v>
      </c>
      <c r="D497" s="15">
        <v>0.11884715025906736</v>
      </c>
      <c r="O497" s="45" t="s">
        <v>650</v>
      </c>
      <c r="P497" s="46" t="s">
        <v>56</v>
      </c>
      <c r="Q497" s="46" t="s">
        <v>57</v>
      </c>
      <c r="R497" s="49">
        <v>0.11884715025906736</v>
      </c>
    </row>
    <row r="498" spans="1:18" x14ac:dyDescent="0.25">
      <c r="A498" s="14" t="s">
        <v>651</v>
      </c>
      <c r="B498" s="14" t="s">
        <v>43</v>
      </c>
      <c r="C498" s="14" t="s">
        <v>44</v>
      </c>
      <c r="D498" s="15">
        <v>0.34093214088143092</v>
      </c>
      <c r="O498" s="45" t="s">
        <v>651</v>
      </c>
      <c r="P498" s="46" t="s">
        <v>43</v>
      </c>
      <c r="Q498" s="46" t="s">
        <v>44</v>
      </c>
      <c r="R498" s="49">
        <v>0.34093214088143092</v>
      </c>
    </row>
    <row r="499" spans="1:18" x14ac:dyDescent="0.25">
      <c r="A499" s="14" t="s">
        <v>652</v>
      </c>
      <c r="B499" s="14" t="s">
        <v>83</v>
      </c>
      <c r="C499" s="14" t="s">
        <v>52</v>
      </c>
      <c r="D499" s="15">
        <v>0.33139654785922434</v>
      </c>
      <c r="O499" s="45" t="s">
        <v>652</v>
      </c>
      <c r="P499" s="46" t="s">
        <v>83</v>
      </c>
      <c r="Q499" s="46" t="s">
        <v>52</v>
      </c>
      <c r="R499" s="49">
        <v>0.33139654785922434</v>
      </c>
    </row>
    <row r="500" spans="1:18" x14ac:dyDescent="0.25">
      <c r="A500" s="14" t="s">
        <v>653</v>
      </c>
      <c r="B500" s="14" t="s">
        <v>63</v>
      </c>
      <c r="C500" s="14" t="s">
        <v>37</v>
      </c>
      <c r="D500" s="15">
        <v>0.29419666845781839</v>
      </c>
      <c r="O500" s="45" t="s">
        <v>653</v>
      </c>
      <c r="P500" s="46" t="s">
        <v>63</v>
      </c>
      <c r="Q500" s="46" t="s">
        <v>37</v>
      </c>
      <c r="R500" s="49">
        <v>0.29419666845781839</v>
      </c>
    </row>
    <row r="501" spans="1:18" x14ac:dyDescent="0.25">
      <c r="A501" s="14" t="s">
        <v>654</v>
      </c>
      <c r="B501" s="14" t="s">
        <v>60</v>
      </c>
      <c r="C501" s="14" t="s">
        <v>52</v>
      </c>
      <c r="D501" s="15">
        <v>0.31421605619086318</v>
      </c>
      <c r="O501" s="47" t="s">
        <v>654</v>
      </c>
      <c r="P501" s="48" t="s">
        <v>60</v>
      </c>
      <c r="Q501" s="48" t="s">
        <v>52</v>
      </c>
      <c r="R501" s="50">
        <v>0.31421605619086318</v>
      </c>
    </row>
  </sheetData>
  <mergeCells count="14">
    <mergeCell ref="F23:M31"/>
    <mergeCell ref="K7:M7"/>
    <mergeCell ref="F18:M18"/>
    <mergeCell ref="F19:M19"/>
    <mergeCell ref="F20:M20"/>
    <mergeCell ref="F21:M21"/>
    <mergeCell ref="F22:M22"/>
    <mergeCell ref="F16:M16"/>
    <mergeCell ref="F17:M17"/>
    <mergeCell ref="F11:M11"/>
    <mergeCell ref="F12:M12"/>
    <mergeCell ref="F13:M13"/>
    <mergeCell ref="F14:M14"/>
    <mergeCell ref="F15:M15"/>
  </mergeCells>
  <conditionalFormatting sqref="R2:R501">
    <cfRule type="cellIs" dxfId="14" priority="1" operator="greaterThan">
      <formula>0.25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cro_Q9_New">
                <anchor moveWithCells="1" sizeWithCells="1">
                  <from>
                    <xdr:col>5</xdr:col>
                    <xdr:colOff>200025</xdr:colOff>
                    <xdr:row>3</xdr:row>
                    <xdr:rowOff>95250</xdr:rowOff>
                  </from>
                  <to>
                    <xdr:col>9</xdr:col>
                    <xdr:colOff>371475</xdr:colOff>
                    <xdr:row>6</xdr:row>
                    <xdr:rowOff>66675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X100"/>
  <sheetViews>
    <sheetView showGridLines="0" tabSelected="1" zoomScale="30" zoomScaleNormal="30" workbookViewId="0">
      <selection activeCell="AC43" sqref="AC43"/>
    </sheetView>
  </sheetViews>
  <sheetFormatPr defaultRowHeight="15" x14ac:dyDescent="0.25"/>
  <sheetData>
    <row r="2" spans="3:24" ht="15.75" thickBot="1" x14ac:dyDescent="0.3"/>
    <row r="3" spans="3:24" ht="21" customHeight="1" x14ac:dyDescent="0.25">
      <c r="C3" s="172" t="s">
        <v>1056</v>
      </c>
      <c r="D3" s="173"/>
      <c r="E3" s="173"/>
      <c r="F3" s="173"/>
      <c r="G3" s="173"/>
      <c r="H3" s="173"/>
      <c r="I3" s="173"/>
      <c r="J3" s="173"/>
      <c r="K3" s="173"/>
      <c r="L3" s="173"/>
      <c r="M3" s="173"/>
      <c r="N3" s="173"/>
      <c r="O3" s="173"/>
      <c r="P3" s="173"/>
      <c r="Q3" s="173"/>
      <c r="R3" s="173"/>
      <c r="S3" s="173"/>
      <c r="T3" s="173"/>
      <c r="U3" s="173"/>
      <c r="V3" s="173"/>
      <c r="W3" s="173"/>
      <c r="X3" s="174"/>
    </row>
    <row r="4" spans="3:24" ht="14.45" customHeight="1" x14ac:dyDescent="0.25">
      <c r="C4" s="175"/>
      <c r="D4" s="176"/>
      <c r="E4" s="176"/>
      <c r="F4" s="176"/>
      <c r="G4" s="176"/>
      <c r="H4" s="176"/>
      <c r="I4" s="176"/>
      <c r="J4" s="176"/>
      <c r="K4" s="176"/>
      <c r="L4" s="176"/>
      <c r="M4" s="176"/>
      <c r="N4" s="176"/>
      <c r="O4" s="176"/>
      <c r="P4" s="176"/>
      <c r="Q4" s="176"/>
      <c r="R4" s="176"/>
      <c r="S4" s="176"/>
      <c r="T4" s="176"/>
      <c r="U4" s="176"/>
      <c r="V4" s="176"/>
      <c r="W4" s="176"/>
      <c r="X4" s="177"/>
    </row>
    <row r="5" spans="3:24" ht="14.45" customHeight="1" x14ac:dyDescent="0.25">
      <c r="C5" s="175"/>
      <c r="D5" s="176"/>
      <c r="E5" s="176"/>
      <c r="F5" s="176"/>
      <c r="G5" s="176"/>
      <c r="H5" s="176"/>
      <c r="I5" s="176"/>
      <c r="J5" s="176"/>
      <c r="K5" s="176"/>
      <c r="L5" s="176"/>
      <c r="M5" s="176"/>
      <c r="N5" s="176"/>
      <c r="O5" s="176"/>
      <c r="P5" s="176"/>
      <c r="Q5" s="176"/>
      <c r="R5" s="176"/>
      <c r="S5" s="176"/>
      <c r="T5" s="176"/>
      <c r="U5" s="176"/>
      <c r="V5" s="176"/>
      <c r="W5" s="176"/>
      <c r="X5" s="177"/>
    </row>
    <row r="6" spans="3:24" x14ac:dyDescent="0.25">
      <c r="C6" s="89"/>
      <c r="D6" s="16"/>
      <c r="E6" s="16"/>
      <c r="F6" s="16"/>
      <c r="G6" s="16"/>
      <c r="H6" s="16"/>
      <c r="I6" s="16"/>
      <c r="J6" s="16"/>
      <c r="K6" s="16"/>
      <c r="L6" s="16"/>
      <c r="M6" s="16"/>
      <c r="N6" s="16"/>
      <c r="O6" s="16"/>
      <c r="P6" s="16"/>
      <c r="Q6" s="16"/>
      <c r="R6" s="16"/>
      <c r="S6" s="16"/>
      <c r="T6" s="16"/>
      <c r="U6" s="16"/>
      <c r="V6" s="16"/>
      <c r="W6" s="16"/>
      <c r="X6" s="90"/>
    </row>
    <row r="7" spans="3:24" x14ac:dyDescent="0.25">
      <c r="C7" s="89"/>
      <c r="D7" s="16"/>
      <c r="E7" s="16"/>
      <c r="F7" s="16"/>
      <c r="G7" s="16"/>
      <c r="H7" s="16"/>
      <c r="I7" s="16"/>
      <c r="J7" s="16"/>
      <c r="K7" s="16"/>
      <c r="L7" s="16"/>
      <c r="M7" s="16"/>
      <c r="N7" s="16"/>
      <c r="O7" s="16"/>
      <c r="P7" s="16"/>
      <c r="Q7" s="16"/>
      <c r="R7" s="16"/>
      <c r="S7" s="16"/>
      <c r="T7" s="16"/>
      <c r="U7" s="16"/>
      <c r="V7" s="16"/>
      <c r="W7" s="16"/>
      <c r="X7" s="90"/>
    </row>
    <row r="8" spans="3:24" s="97" customFormat="1" ht="40.15" customHeight="1" x14ac:dyDescent="0.25">
      <c r="C8" s="94"/>
      <c r="D8" s="186" t="s">
        <v>1057</v>
      </c>
      <c r="E8" s="187"/>
      <c r="F8" s="95"/>
      <c r="G8" s="186" t="s">
        <v>1058</v>
      </c>
      <c r="H8" s="187"/>
      <c r="I8" s="95"/>
      <c r="J8" s="186" t="s">
        <v>1059</v>
      </c>
      <c r="K8" s="187"/>
      <c r="L8" s="95"/>
      <c r="M8" s="178" t="s">
        <v>1072</v>
      </c>
      <c r="N8" s="179"/>
      <c r="O8" s="95"/>
      <c r="P8" s="178" t="s">
        <v>1073</v>
      </c>
      <c r="Q8" s="179"/>
      <c r="R8" s="95"/>
      <c r="S8" s="178" t="s">
        <v>1061</v>
      </c>
      <c r="T8" s="179"/>
      <c r="U8" s="95"/>
      <c r="V8" s="178" t="s">
        <v>1062</v>
      </c>
      <c r="W8" s="179"/>
      <c r="X8" s="96"/>
    </row>
    <row r="9" spans="3:24" s="101" customFormat="1" ht="40.15" customHeight="1" x14ac:dyDescent="0.25">
      <c r="C9" s="98"/>
      <c r="D9" s="184">
        <f>COUNTA('Formulas &amp; Business Metrics'!$A$2:$A$501)</f>
        <v>500</v>
      </c>
      <c r="E9" s="185"/>
      <c r="F9" s="99"/>
      <c r="G9" s="180">
        <f>SUM('Formulas &amp; Business Metrics'!$I$2:$I$501)</f>
        <v>474704.6200000004</v>
      </c>
      <c r="H9" s="181"/>
      <c r="I9" s="99"/>
      <c r="J9" s="180">
        <f>SUM('Formulas &amp; Business Metrics'!$K$2:$K$501)</f>
        <v>133570.39999999991</v>
      </c>
      <c r="K9" s="181"/>
      <c r="L9" s="99"/>
      <c r="M9" s="188">
        <f>AVERAGE('Formulas &amp; Business Metrics'!$Q$2:$Q$501)</f>
        <v>0.27267437490594426</v>
      </c>
      <c r="N9" s="189"/>
      <c r="O9" s="99"/>
      <c r="P9" s="180">
        <f>AVERAGE('Formulas &amp; Business Metrics'!$J$2:$J$501)</f>
        <v>47.214439999999982</v>
      </c>
      <c r="Q9" s="181"/>
      <c r="R9" s="99"/>
      <c r="S9" s="182" t="str">
        <f t="array" ref="S9">INDEX(Regions!$A$2:$A$7,MATCH(MAX(SUMIF('Formulas &amp; Business Metrics'!$N$2:$N$501,Regions!$A$2:$A$7,'Formulas &amp; Business Metrics'!$I$2:$I$501)),SUMIF('Formulas &amp; Business Metrics'!$N$2:$N$501,Regions!$A$2:$A$7,'Formulas &amp; Business Metrics'!$I$2:$I$501),0))</f>
        <v>AS</v>
      </c>
      <c r="T9" s="183"/>
      <c r="U9" s="99"/>
      <c r="V9" s="184" t="str">
        <f t="array" ref="V9">INDEX(Products!$B$2:$B$11,MATCH(MAX(SUMIF('Formulas &amp; Business Metrics'!$E$2:$E$501,Products!$B$2:$B$11,'Formulas &amp; Business Metrics'!$K$2:$K$501)),SUMIF('Formulas &amp; Business Metrics'!$E$2:$E$501,Products!$B$2:$B$11,'Formulas &amp; Business Metrics'!$K$2:$K$501),0))</f>
        <v>Denim Jacket</v>
      </c>
      <c r="W9" s="185"/>
      <c r="X9" s="100"/>
    </row>
    <row r="10" spans="3:24" x14ac:dyDescent="0.25">
      <c r="C10" s="89"/>
      <c r="D10" s="16"/>
      <c r="E10" s="16"/>
      <c r="F10" s="16"/>
      <c r="G10" s="16"/>
      <c r="H10" s="16"/>
      <c r="I10" s="16"/>
      <c r="J10" s="16"/>
      <c r="K10" s="16"/>
      <c r="L10" s="16"/>
      <c r="M10" s="16"/>
      <c r="N10" s="16"/>
      <c r="O10" s="16"/>
      <c r="P10" s="16"/>
      <c r="Q10" s="16"/>
      <c r="R10" s="16"/>
      <c r="S10" s="16"/>
      <c r="T10" s="16"/>
      <c r="U10" s="16"/>
      <c r="V10" s="16"/>
      <c r="W10" s="16"/>
      <c r="X10" s="90"/>
    </row>
    <row r="11" spans="3:24" x14ac:dyDescent="0.25">
      <c r="C11" s="89"/>
      <c r="D11" s="16"/>
      <c r="E11" s="16"/>
      <c r="F11" s="16"/>
      <c r="G11" s="16"/>
      <c r="H11" s="16"/>
      <c r="I11" s="16"/>
      <c r="J11" s="16"/>
      <c r="K11" s="16"/>
      <c r="L11" s="16"/>
      <c r="M11" s="16"/>
      <c r="N11" s="16"/>
      <c r="O11" s="16"/>
      <c r="P11" s="16"/>
      <c r="Q11" s="16"/>
      <c r="R11" s="16"/>
      <c r="S11" s="16"/>
      <c r="T11" s="16"/>
      <c r="U11" s="16"/>
      <c r="V11" s="16"/>
      <c r="W11" s="16"/>
      <c r="X11" s="90"/>
    </row>
    <row r="12" spans="3:24" x14ac:dyDescent="0.25">
      <c r="C12" s="89"/>
      <c r="D12" s="16"/>
      <c r="E12" s="16"/>
      <c r="F12" s="16"/>
      <c r="G12" s="16"/>
      <c r="H12" s="16"/>
      <c r="I12" s="16"/>
      <c r="J12" s="16"/>
      <c r="K12" s="16"/>
      <c r="L12" s="16"/>
      <c r="M12" s="16"/>
      <c r="N12" s="16"/>
      <c r="O12" s="16"/>
      <c r="P12" s="16"/>
      <c r="Q12" s="16"/>
      <c r="R12" s="16"/>
      <c r="S12" s="16"/>
      <c r="T12" s="16"/>
      <c r="U12" s="16"/>
      <c r="V12" s="16"/>
      <c r="W12" s="16"/>
      <c r="X12" s="90"/>
    </row>
    <row r="13" spans="3:24" x14ac:dyDescent="0.25">
      <c r="C13" s="89"/>
      <c r="D13" s="16"/>
      <c r="E13" s="16"/>
      <c r="F13" s="16"/>
      <c r="G13" s="16"/>
      <c r="H13" s="16"/>
      <c r="I13" s="16"/>
      <c r="J13" s="16"/>
      <c r="K13" s="16"/>
      <c r="L13" s="16"/>
      <c r="M13" s="16"/>
      <c r="N13" s="16"/>
      <c r="O13" s="16"/>
      <c r="P13" s="16"/>
      <c r="Q13" s="16"/>
      <c r="R13" s="16"/>
      <c r="S13" s="16"/>
      <c r="T13" s="16"/>
      <c r="U13" s="16"/>
      <c r="V13" s="16"/>
      <c r="W13" s="16"/>
      <c r="X13" s="90"/>
    </row>
    <row r="14" spans="3:24" x14ac:dyDescent="0.25">
      <c r="C14" s="89"/>
      <c r="D14" s="16"/>
      <c r="E14" s="16"/>
      <c r="F14" s="16"/>
      <c r="G14" s="16"/>
      <c r="H14" s="16"/>
      <c r="I14" s="16"/>
      <c r="J14" s="16"/>
      <c r="K14" s="16"/>
      <c r="L14" s="16"/>
      <c r="M14" s="16"/>
      <c r="N14" s="16"/>
      <c r="O14" s="16"/>
      <c r="P14" s="16"/>
      <c r="Q14" s="16"/>
      <c r="R14" s="16"/>
      <c r="S14" s="16"/>
      <c r="T14" s="16"/>
      <c r="U14" s="16"/>
      <c r="V14" s="16"/>
      <c r="W14" s="16"/>
      <c r="X14" s="90"/>
    </row>
    <row r="15" spans="3:24" x14ac:dyDescent="0.25">
      <c r="C15" s="89"/>
      <c r="D15" s="16"/>
      <c r="E15" s="16"/>
      <c r="F15" s="16"/>
      <c r="G15" s="16"/>
      <c r="H15" s="16"/>
      <c r="I15" s="16"/>
      <c r="J15" s="16"/>
      <c r="K15" s="16"/>
      <c r="L15" s="16"/>
      <c r="M15" s="16"/>
      <c r="N15" s="16"/>
      <c r="O15" s="16"/>
      <c r="P15" s="16"/>
      <c r="Q15" s="16"/>
      <c r="R15" s="16"/>
      <c r="S15" s="16"/>
      <c r="T15" s="16"/>
      <c r="U15" s="16"/>
      <c r="V15" s="16"/>
      <c r="W15" s="16"/>
      <c r="X15" s="90"/>
    </row>
    <row r="16" spans="3:24" x14ac:dyDescent="0.25">
      <c r="C16" s="89"/>
      <c r="D16" s="16"/>
      <c r="E16" s="16"/>
      <c r="F16" s="16"/>
      <c r="G16" s="16"/>
      <c r="H16" s="16"/>
      <c r="I16" s="16"/>
      <c r="J16" s="16"/>
      <c r="K16" s="16"/>
      <c r="L16" s="16"/>
      <c r="M16" s="16"/>
      <c r="N16" s="16"/>
      <c r="O16" s="16"/>
      <c r="P16" s="16"/>
      <c r="Q16" s="16"/>
      <c r="R16" s="16"/>
      <c r="S16" s="16"/>
      <c r="T16" s="16"/>
      <c r="U16" s="16"/>
      <c r="V16" s="16"/>
      <c r="W16" s="16"/>
      <c r="X16" s="90"/>
    </row>
    <row r="17" spans="3:24" x14ac:dyDescent="0.25">
      <c r="C17" s="89"/>
      <c r="D17" s="16"/>
      <c r="E17" s="16"/>
      <c r="F17" s="16"/>
      <c r="G17" s="16"/>
      <c r="H17" s="16"/>
      <c r="I17" s="16"/>
      <c r="J17" s="16"/>
      <c r="K17" s="16"/>
      <c r="L17" s="16"/>
      <c r="M17" s="16"/>
      <c r="N17" s="16"/>
      <c r="O17" s="16"/>
      <c r="P17" s="16"/>
      <c r="Q17" s="16"/>
      <c r="R17" s="16"/>
      <c r="S17" s="16"/>
      <c r="T17" s="16"/>
      <c r="U17" s="16"/>
      <c r="V17" s="16"/>
      <c r="W17" s="16"/>
      <c r="X17" s="90"/>
    </row>
    <row r="18" spans="3:24" x14ac:dyDescent="0.25">
      <c r="C18" s="89"/>
      <c r="D18" s="16"/>
      <c r="E18" s="16"/>
      <c r="F18" s="16"/>
      <c r="G18" s="16"/>
      <c r="H18" s="16"/>
      <c r="I18" s="16"/>
      <c r="J18" s="16"/>
      <c r="K18" s="16"/>
      <c r="L18" s="16"/>
      <c r="M18" s="16"/>
      <c r="N18" s="16"/>
      <c r="O18" s="16"/>
      <c r="P18" s="16"/>
      <c r="Q18" s="16"/>
      <c r="R18" s="16"/>
      <c r="S18" s="16"/>
      <c r="T18" s="16"/>
      <c r="U18" s="16"/>
      <c r="V18" s="16"/>
      <c r="W18" s="16"/>
      <c r="X18" s="90"/>
    </row>
    <row r="19" spans="3:24" x14ac:dyDescent="0.25">
      <c r="C19" s="89"/>
      <c r="D19" s="16"/>
      <c r="E19" s="16"/>
      <c r="F19" s="16"/>
      <c r="G19" s="16"/>
      <c r="H19" s="16"/>
      <c r="I19" s="16"/>
      <c r="J19" s="16"/>
      <c r="K19" s="16"/>
      <c r="L19" s="16"/>
      <c r="M19" s="16"/>
      <c r="N19" s="16"/>
      <c r="O19" s="16"/>
      <c r="P19" s="16"/>
      <c r="Q19" s="16"/>
      <c r="R19" s="16"/>
      <c r="S19" s="16"/>
      <c r="T19" s="16"/>
      <c r="U19" s="16"/>
      <c r="V19" s="16"/>
      <c r="W19" s="16"/>
      <c r="X19" s="90"/>
    </row>
    <row r="20" spans="3:24" x14ac:dyDescent="0.25">
      <c r="C20" s="89"/>
      <c r="D20" s="16"/>
      <c r="E20" s="16"/>
      <c r="F20" s="16"/>
      <c r="G20" s="16"/>
      <c r="H20" s="16"/>
      <c r="I20" s="16"/>
      <c r="J20" s="16"/>
      <c r="K20" s="16"/>
      <c r="L20" s="16"/>
      <c r="M20" s="16"/>
      <c r="N20" s="16"/>
      <c r="O20" s="16"/>
      <c r="P20" s="16"/>
      <c r="Q20" s="16"/>
      <c r="R20" s="16"/>
      <c r="S20" s="16"/>
      <c r="T20" s="16"/>
      <c r="U20" s="16"/>
      <c r="V20" s="16"/>
      <c r="W20" s="16"/>
      <c r="X20" s="90"/>
    </row>
    <row r="21" spans="3:24" x14ac:dyDescent="0.25">
      <c r="C21" s="89"/>
      <c r="D21" s="16"/>
      <c r="E21" s="16"/>
      <c r="F21" s="16"/>
      <c r="G21" s="16"/>
      <c r="H21" s="16"/>
      <c r="I21" s="16"/>
      <c r="J21" s="16"/>
      <c r="K21" s="16"/>
      <c r="L21" s="16"/>
      <c r="M21" s="16"/>
      <c r="N21" s="16"/>
      <c r="O21" s="16"/>
      <c r="P21" s="16"/>
      <c r="Q21" s="16"/>
      <c r="R21" s="16"/>
      <c r="S21" s="16"/>
      <c r="T21" s="16"/>
      <c r="U21" s="16"/>
      <c r="V21" s="16"/>
      <c r="W21" s="16"/>
      <c r="X21" s="90"/>
    </row>
    <row r="22" spans="3:24" x14ac:dyDescent="0.25">
      <c r="C22" s="89"/>
      <c r="D22" s="16"/>
      <c r="E22" s="16"/>
      <c r="F22" s="16"/>
      <c r="G22" s="16"/>
      <c r="H22" s="16"/>
      <c r="I22" s="16"/>
      <c r="J22" s="16"/>
      <c r="K22" s="16"/>
      <c r="L22" s="16"/>
      <c r="M22" s="16"/>
      <c r="N22" s="16"/>
      <c r="O22" s="16"/>
      <c r="P22" s="16"/>
      <c r="Q22" s="16"/>
      <c r="R22" s="16"/>
      <c r="S22" s="16"/>
      <c r="T22" s="16"/>
      <c r="U22" s="16"/>
      <c r="V22" s="16"/>
      <c r="W22" s="16"/>
      <c r="X22" s="90"/>
    </row>
    <row r="23" spans="3:24" x14ac:dyDescent="0.25">
      <c r="C23" s="89"/>
      <c r="D23" s="16"/>
      <c r="E23" s="16"/>
      <c r="F23" s="16"/>
      <c r="G23" s="16"/>
      <c r="H23" s="16"/>
      <c r="I23" s="16"/>
      <c r="J23" s="16"/>
      <c r="K23" s="16"/>
      <c r="L23" s="16"/>
      <c r="M23" s="16"/>
      <c r="N23" s="16"/>
      <c r="O23" s="16"/>
      <c r="P23" s="16"/>
      <c r="Q23" s="16"/>
      <c r="R23" s="16"/>
      <c r="S23" s="16"/>
      <c r="T23" s="16"/>
      <c r="U23" s="16"/>
      <c r="V23" s="16"/>
      <c r="W23" s="16"/>
      <c r="X23" s="90"/>
    </row>
    <row r="24" spans="3:24" x14ac:dyDescent="0.25">
      <c r="C24" s="89"/>
      <c r="D24" s="16"/>
      <c r="E24" s="16"/>
      <c r="F24" s="16"/>
      <c r="G24" s="16"/>
      <c r="H24" s="16"/>
      <c r="I24" s="16"/>
      <c r="J24" s="16"/>
      <c r="K24" s="16"/>
      <c r="L24" s="16"/>
      <c r="M24" s="16"/>
      <c r="N24" s="16"/>
      <c r="O24" s="16"/>
      <c r="P24" s="16"/>
      <c r="Q24" s="16"/>
      <c r="R24" s="16"/>
      <c r="S24" s="16"/>
      <c r="T24" s="16"/>
      <c r="U24" s="16"/>
      <c r="V24" s="16"/>
      <c r="W24" s="16"/>
      <c r="X24" s="90"/>
    </row>
    <row r="25" spans="3:24" x14ac:dyDescent="0.25">
      <c r="C25" s="89"/>
      <c r="D25" s="16"/>
      <c r="E25" s="16"/>
      <c r="F25" s="16"/>
      <c r="G25" s="16"/>
      <c r="H25" s="16"/>
      <c r="I25" s="16"/>
      <c r="J25" s="16"/>
      <c r="K25" s="16"/>
      <c r="L25" s="16"/>
      <c r="M25" s="16"/>
      <c r="N25" s="16"/>
      <c r="O25" s="16"/>
      <c r="P25" s="16"/>
      <c r="Q25" s="16"/>
      <c r="R25" s="16"/>
      <c r="S25" s="16"/>
      <c r="T25" s="16"/>
      <c r="U25" s="16"/>
      <c r="V25" s="16"/>
      <c r="W25" s="16"/>
      <c r="X25" s="90"/>
    </row>
    <row r="26" spans="3:24" x14ac:dyDescent="0.25">
      <c r="C26" s="89"/>
      <c r="D26" s="16"/>
      <c r="E26" s="16"/>
      <c r="F26" s="16"/>
      <c r="G26" s="16"/>
      <c r="H26" s="16"/>
      <c r="I26" s="16"/>
      <c r="J26" s="16"/>
      <c r="K26" s="16"/>
      <c r="L26" s="16"/>
      <c r="M26" s="16"/>
      <c r="N26" s="16"/>
      <c r="O26" s="16"/>
      <c r="P26" s="16"/>
      <c r="Q26" s="16"/>
      <c r="R26" s="16"/>
      <c r="S26" s="16"/>
      <c r="T26" s="16"/>
      <c r="U26" s="16"/>
      <c r="V26" s="16"/>
      <c r="W26" s="16"/>
      <c r="X26" s="90"/>
    </row>
    <row r="27" spans="3:24" x14ac:dyDescent="0.25">
      <c r="C27" s="89"/>
      <c r="D27" s="16"/>
      <c r="E27" s="16"/>
      <c r="F27" s="16"/>
      <c r="G27" s="16"/>
      <c r="H27" s="16"/>
      <c r="I27" s="16"/>
      <c r="J27" s="16"/>
      <c r="K27" s="16"/>
      <c r="L27" s="16"/>
      <c r="M27" s="16"/>
      <c r="N27" s="16"/>
      <c r="O27" s="16"/>
      <c r="P27" s="16"/>
      <c r="Q27" s="16"/>
      <c r="R27" s="16"/>
      <c r="S27" s="16"/>
      <c r="T27" s="16"/>
      <c r="U27" s="16"/>
      <c r="V27" s="16"/>
      <c r="W27" s="16"/>
      <c r="X27" s="90"/>
    </row>
    <row r="28" spans="3:24" x14ac:dyDescent="0.25">
      <c r="C28" s="89"/>
      <c r="D28" s="16"/>
      <c r="E28" s="16"/>
      <c r="F28" s="16"/>
      <c r="G28" s="16"/>
      <c r="H28" s="16"/>
      <c r="I28" s="16"/>
      <c r="J28" s="16"/>
      <c r="K28" s="16"/>
      <c r="L28" s="16"/>
      <c r="M28" s="16"/>
      <c r="N28" s="16"/>
      <c r="O28" s="16"/>
      <c r="P28" s="16"/>
      <c r="Q28" s="16"/>
      <c r="R28" s="16"/>
      <c r="S28" s="16"/>
      <c r="T28" s="16"/>
      <c r="U28" s="16"/>
      <c r="V28" s="16"/>
      <c r="W28" s="16"/>
      <c r="X28" s="90"/>
    </row>
    <row r="29" spans="3:24" x14ac:dyDescent="0.25">
      <c r="C29" s="89"/>
      <c r="D29" s="16"/>
      <c r="E29" s="16"/>
      <c r="F29" s="16"/>
      <c r="G29" s="16"/>
      <c r="H29" s="16"/>
      <c r="I29" s="16"/>
      <c r="J29" s="16"/>
      <c r="K29" s="16"/>
      <c r="L29" s="16"/>
      <c r="M29" s="16"/>
      <c r="N29" s="16"/>
      <c r="O29" s="16"/>
      <c r="P29" s="16"/>
      <c r="Q29" s="16"/>
      <c r="R29" s="16"/>
      <c r="S29" s="16"/>
      <c r="T29" s="16"/>
      <c r="U29" s="16"/>
      <c r="V29" s="16"/>
      <c r="W29" s="16"/>
      <c r="X29" s="90"/>
    </row>
    <row r="30" spans="3:24" x14ac:dyDescent="0.25">
      <c r="C30" s="89"/>
      <c r="D30" s="16"/>
      <c r="E30" s="16"/>
      <c r="F30" s="16"/>
      <c r="G30" s="16"/>
      <c r="H30" s="16"/>
      <c r="I30" s="16"/>
      <c r="J30" s="16"/>
      <c r="K30" s="16"/>
      <c r="L30" s="16"/>
      <c r="M30" s="16"/>
      <c r="N30" s="16"/>
      <c r="O30" s="16"/>
      <c r="P30" s="16"/>
      <c r="Q30" s="16"/>
      <c r="R30" s="16"/>
      <c r="S30" s="16"/>
      <c r="T30" s="16"/>
      <c r="U30" s="16"/>
      <c r="V30" s="16"/>
      <c r="W30" s="16"/>
      <c r="X30" s="90"/>
    </row>
    <row r="31" spans="3:24" x14ac:dyDescent="0.25">
      <c r="C31" s="89"/>
      <c r="D31" s="16"/>
      <c r="E31" s="16"/>
      <c r="F31" s="16"/>
      <c r="G31" s="16"/>
      <c r="H31" s="16"/>
      <c r="I31" s="16"/>
      <c r="J31" s="16"/>
      <c r="K31" s="16"/>
      <c r="L31" s="16"/>
      <c r="M31" s="16"/>
      <c r="N31" s="16"/>
      <c r="O31" s="16"/>
      <c r="P31" s="16"/>
      <c r="Q31" s="16"/>
      <c r="R31" s="16"/>
      <c r="S31" s="16"/>
      <c r="T31" s="16"/>
      <c r="U31" s="16"/>
      <c r="V31" s="16"/>
      <c r="W31" s="16"/>
      <c r="X31" s="90"/>
    </row>
    <row r="32" spans="3:24" x14ac:dyDescent="0.25">
      <c r="C32" s="89"/>
      <c r="D32" s="16"/>
      <c r="E32" s="16"/>
      <c r="F32" s="16"/>
      <c r="G32" s="16"/>
      <c r="H32" s="16"/>
      <c r="I32" s="16"/>
      <c r="J32" s="16"/>
      <c r="K32" s="16"/>
      <c r="L32" s="16"/>
      <c r="M32" s="16"/>
      <c r="N32" s="16"/>
      <c r="O32" s="16"/>
      <c r="P32" s="16"/>
      <c r="Q32" s="16"/>
      <c r="R32" s="16"/>
      <c r="S32" s="16"/>
      <c r="T32" s="16"/>
      <c r="U32" s="16"/>
      <c r="V32" s="16"/>
      <c r="W32" s="16"/>
      <c r="X32" s="90"/>
    </row>
    <row r="33" spans="3:24" x14ac:dyDescent="0.25">
      <c r="C33" s="89"/>
      <c r="D33" s="16"/>
      <c r="E33" s="16"/>
      <c r="F33" s="16"/>
      <c r="G33" s="16"/>
      <c r="H33" s="16"/>
      <c r="I33" s="16"/>
      <c r="J33" s="16"/>
      <c r="K33" s="16"/>
      <c r="L33" s="16"/>
      <c r="M33" s="16"/>
      <c r="N33" s="16"/>
      <c r="O33" s="16"/>
      <c r="P33" s="16"/>
      <c r="Q33" s="16"/>
      <c r="R33" s="16"/>
      <c r="S33" s="16"/>
      <c r="T33" s="16"/>
      <c r="U33" s="16"/>
      <c r="V33" s="16"/>
      <c r="W33" s="16"/>
      <c r="X33" s="90"/>
    </row>
    <row r="34" spans="3:24" x14ac:dyDescent="0.25">
      <c r="C34" s="89"/>
      <c r="D34" s="16"/>
      <c r="E34" s="16"/>
      <c r="F34" s="16"/>
      <c r="G34" s="16"/>
      <c r="H34" s="16"/>
      <c r="I34" s="16"/>
      <c r="J34" s="16"/>
      <c r="K34" s="16"/>
      <c r="L34" s="16"/>
      <c r="M34" s="16"/>
      <c r="N34" s="16"/>
      <c r="O34" s="16"/>
      <c r="P34" s="16"/>
      <c r="Q34" s="16"/>
      <c r="R34" s="16"/>
      <c r="S34" s="16"/>
      <c r="T34" s="16"/>
      <c r="U34" s="16"/>
      <c r="V34" s="16"/>
      <c r="W34" s="16"/>
      <c r="X34" s="90"/>
    </row>
    <row r="35" spans="3:24" x14ac:dyDescent="0.25">
      <c r="C35" s="89"/>
      <c r="D35" s="16"/>
      <c r="E35" s="16"/>
      <c r="F35" s="16"/>
      <c r="G35" s="16"/>
      <c r="H35" s="16"/>
      <c r="I35" s="16"/>
      <c r="J35" s="16"/>
      <c r="K35" s="16"/>
      <c r="L35" s="16"/>
      <c r="M35" s="16"/>
      <c r="N35" s="16"/>
      <c r="O35" s="16"/>
      <c r="P35" s="16"/>
      <c r="Q35" s="16"/>
      <c r="R35" s="16"/>
      <c r="S35" s="16"/>
      <c r="T35" s="16"/>
      <c r="U35" s="16"/>
      <c r="V35" s="16"/>
      <c r="W35" s="16"/>
      <c r="X35" s="90"/>
    </row>
    <row r="36" spans="3:24" x14ac:dyDescent="0.25">
      <c r="C36" s="89"/>
      <c r="D36" s="16"/>
      <c r="E36" s="16"/>
      <c r="F36" s="16"/>
      <c r="G36" s="16"/>
      <c r="H36" s="16"/>
      <c r="I36" s="16"/>
      <c r="J36" s="16"/>
      <c r="K36" s="16"/>
      <c r="L36" s="16"/>
      <c r="M36" s="16"/>
      <c r="N36" s="16"/>
      <c r="O36" s="16"/>
      <c r="P36" s="16"/>
      <c r="Q36" s="16"/>
      <c r="R36" s="16"/>
      <c r="S36" s="16"/>
      <c r="T36" s="16"/>
      <c r="U36" s="16"/>
      <c r="V36" s="16"/>
      <c r="W36" s="16"/>
      <c r="X36" s="90"/>
    </row>
    <row r="37" spans="3:24" x14ac:dyDescent="0.25">
      <c r="C37" s="89"/>
      <c r="D37" s="16"/>
      <c r="E37" s="16"/>
      <c r="F37" s="16"/>
      <c r="G37" s="16"/>
      <c r="H37" s="16"/>
      <c r="I37" s="16"/>
      <c r="J37" s="16"/>
      <c r="K37" s="16"/>
      <c r="L37" s="16"/>
      <c r="M37" s="16"/>
      <c r="N37" s="16"/>
      <c r="O37" s="16"/>
      <c r="P37" s="16"/>
      <c r="Q37" s="16"/>
      <c r="R37" s="16"/>
      <c r="S37" s="16"/>
      <c r="T37" s="16"/>
      <c r="U37" s="16"/>
      <c r="V37" s="16"/>
      <c r="W37" s="16"/>
      <c r="X37" s="90"/>
    </row>
    <row r="38" spans="3:24" x14ac:dyDescent="0.25">
      <c r="C38" s="89"/>
      <c r="D38" s="16"/>
      <c r="E38" s="16"/>
      <c r="F38" s="16"/>
      <c r="G38" s="16"/>
      <c r="H38" s="16"/>
      <c r="I38" s="16"/>
      <c r="J38" s="16"/>
      <c r="K38" s="16"/>
      <c r="L38" s="16"/>
      <c r="M38" s="16"/>
      <c r="N38" s="16"/>
      <c r="O38" s="16"/>
      <c r="P38" s="16"/>
      <c r="Q38" s="16"/>
      <c r="R38" s="16"/>
      <c r="S38" s="16"/>
      <c r="T38" s="16"/>
      <c r="U38" s="16"/>
      <c r="V38" s="16"/>
      <c r="W38" s="16"/>
      <c r="X38" s="90"/>
    </row>
    <row r="39" spans="3:24" x14ac:dyDescent="0.25">
      <c r="C39" s="89"/>
      <c r="D39" s="16"/>
      <c r="E39" s="16"/>
      <c r="F39" s="16"/>
      <c r="G39" s="16"/>
      <c r="H39" s="16"/>
      <c r="I39" s="16"/>
      <c r="J39" s="16"/>
      <c r="K39" s="16"/>
      <c r="L39" s="16"/>
      <c r="M39" s="16"/>
      <c r="N39" s="16"/>
      <c r="O39" s="16"/>
      <c r="P39" s="16"/>
      <c r="Q39" s="16"/>
      <c r="R39" s="16"/>
      <c r="S39" s="16"/>
      <c r="T39" s="16"/>
      <c r="U39" s="16"/>
      <c r="V39" s="16"/>
      <c r="W39" s="16"/>
      <c r="X39" s="90"/>
    </row>
    <row r="40" spans="3:24" x14ac:dyDescent="0.25">
      <c r="C40" s="89"/>
      <c r="D40" s="16"/>
      <c r="E40" s="16"/>
      <c r="F40" s="16"/>
      <c r="G40" s="16"/>
      <c r="H40" s="16"/>
      <c r="I40" s="16"/>
      <c r="J40" s="16"/>
      <c r="K40" s="16"/>
      <c r="L40" s="16"/>
      <c r="M40" s="16"/>
      <c r="N40" s="16"/>
      <c r="O40" s="16"/>
      <c r="P40" s="16"/>
      <c r="Q40" s="16"/>
      <c r="R40" s="16"/>
      <c r="S40" s="16"/>
      <c r="T40" s="16"/>
      <c r="U40" s="16"/>
      <c r="V40" s="16"/>
      <c r="W40" s="16"/>
      <c r="X40" s="90"/>
    </row>
    <row r="41" spans="3:24" x14ac:dyDescent="0.25">
      <c r="C41" s="89"/>
      <c r="D41" s="16"/>
      <c r="E41" s="16"/>
      <c r="F41" s="16"/>
      <c r="G41" s="16"/>
      <c r="H41" s="16"/>
      <c r="I41" s="16"/>
      <c r="J41" s="16"/>
      <c r="K41" s="16"/>
      <c r="L41" s="16"/>
      <c r="M41" s="16"/>
      <c r="N41" s="16"/>
      <c r="O41" s="16"/>
      <c r="P41" s="16"/>
      <c r="Q41" s="16"/>
      <c r="R41" s="16"/>
      <c r="S41" s="16"/>
      <c r="T41" s="16"/>
      <c r="U41" s="16"/>
      <c r="V41" s="16"/>
      <c r="W41" s="16"/>
      <c r="X41" s="90"/>
    </row>
    <row r="42" spans="3:24" x14ac:dyDescent="0.25">
      <c r="C42" s="89"/>
      <c r="D42" s="16"/>
      <c r="E42" s="16"/>
      <c r="F42" s="16"/>
      <c r="G42" s="16"/>
      <c r="H42" s="16"/>
      <c r="I42" s="16"/>
      <c r="J42" s="16"/>
      <c r="K42" s="16"/>
      <c r="L42" s="16"/>
      <c r="M42" s="16"/>
      <c r="N42" s="16"/>
      <c r="O42" s="16"/>
      <c r="P42" s="16"/>
      <c r="Q42" s="16"/>
      <c r="R42" s="16"/>
      <c r="S42" s="16"/>
      <c r="T42" s="16"/>
      <c r="U42" s="16"/>
      <c r="V42" s="16"/>
      <c r="W42" s="16"/>
      <c r="X42" s="90"/>
    </row>
    <row r="43" spans="3:24" x14ac:dyDescent="0.25">
      <c r="C43" s="89"/>
      <c r="D43" s="16"/>
      <c r="E43" s="16"/>
      <c r="F43" s="16"/>
      <c r="G43" s="16"/>
      <c r="H43" s="16"/>
      <c r="I43" s="16"/>
      <c r="J43" s="16"/>
      <c r="K43" s="16"/>
      <c r="L43" s="16"/>
      <c r="M43" s="16"/>
      <c r="N43" s="16"/>
      <c r="O43" s="16"/>
      <c r="P43" s="16"/>
      <c r="Q43" s="16"/>
      <c r="R43" s="16"/>
      <c r="S43" s="16"/>
      <c r="T43" s="16"/>
      <c r="U43" s="16"/>
      <c r="V43" s="16"/>
      <c r="W43" s="16"/>
      <c r="X43" s="90"/>
    </row>
    <row r="44" spans="3:24" x14ac:dyDescent="0.25">
      <c r="C44" s="89"/>
      <c r="D44" s="16"/>
      <c r="E44" s="16"/>
      <c r="F44" s="16"/>
      <c r="G44" s="16"/>
      <c r="H44" s="16"/>
      <c r="I44" s="16"/>
      <c r="J44" s="16"/>
      <c r="K44" s="16"/>
      <c r="L44" s="16"/>
      <c r="M44" s="16"/>
      <c r="N44" s="16"/>
      <c r="O44" s="16"/>
      <c r="P44" s="16"/>
      <c r="Q44" s="16"/>
      <c r="R44" s="16"/>
      <c r="S44" s="16"/>
      <c r="T44" s="16"/>
      <c r="U44" s="16"/>
      <c r="V44" s="16"/>
      <c r="W44" s="16"/>
      <c r="X44" s="90"/>
    </row>
    <row r="45" spans="3:24" x14ac:dyDescent="0.25">
      <c r="C45" s="89"/>
      <c r="D45" s="16"/>
      <c r="E45" s="16"/>
      <c r="F45" s="16"/>
      <c r="G45" s="16"/>
      <c r="H45" s="16"/>
      <c r="I45" s="16"/>
      <c r="J45" s="16"/>
      <c r="K45" s="16"/>
      <c r="L45" s="16"/>
      <c r="M45" s="16"/>
      <c r="N45" s="16"/>
      <c r="O45" s="16"/>
      <c r="P45" s="16"/>
      <c r="Q45" s="16"/>
      <c r="R45" s="16"/>
      <c r="S45" s="16"/>
      <c r="T45" s="16"/>
      <c r="U45" s="16"/>
      <c r="V45" s="16"/>
      <c r="W45" s="16"/>
      <c r="X45" s="90"/>
    </row>
    <row r="46" spans="3:24" x14ac:dyDescent="0.25">
      <c r="C46" s="89"/>
      <c r="D46" s="16"/>
      <c r="E46" s="16"/>
      <c r="F46" s="16"/>
      <c r="G46" s="16"/>
      <c r="H46" s="16"/>
      <c r="I46" s="16"/>
      <c r="J46" s="16"/>
      <c r="K46" s="16"/>
      <c r="L46" s="16"/>
      <c r="M46" s="16"/>
      <c r="N46" s="16"/>
      <c r="O46" s="16"/>
      <c r="P46" s="16"/>
      <c r="Q46" s="16"/>
      <c r="R46" s="16"/>
      <c r="S46" s="16"/>
      <c r="T46" s="16"/>
      <c r="U46" s="16"/>
      <c r="V46" s="16"/>
      <c r="W46" s="16"/>
      <c r="X46" s="90"/>
    </row>
    <row r="47" spans="3:24" x14ac:dyDescent="0.25">
      <c r="C47" s="89"/>
      <c r="D47" s="16"/>
      <c r="E47" s="16"/>
      <c r="F47" s="16"/>
      <c r="G47" s="16"/>
      <c r="H47" s="16"/>
      <c r="I47" s="16"/>
      <c r="J47" s="16"/>
      <c r="K47" s="16"/>
      <c r="L47" s="16"/>
      <c r="M47" s="16"/>
      <c r="N47" s="16"/>
      <c r="O47" s="16"/>
      <c r="P47" s="16"/>
      <c r="Q47" s="16"/>
      <c r="R47" s="16"/>
      <c r="S47" s="16"/>
      <c r="T47" s="16"/>
      <c r="U47" s="16"/>
      <c r="V47" s="16"/>
      <c r="W47" s="16"/>
      <c r="X47" s="90"/>
    </row>
    <row r="48" spans="3:24" x14ac:dyDescent="0.25">
      <c r="C48" s="89"/>
      <c r="D48" s="16"/>
      <c r="E48" s="16"/>
      <c r="F48" s="16"/>
      <c r="G48" s="16"/>
      <c r="H48" s="16"/>
      <c r="I48" s="16"/>
      <c r="J48" s="16"/>
      <c r="K48" s="16"/>
      <c r="L48" s="16"/>
      <c r="M48" s="16"/>
      <c r="N48" s="16"/>
      <c r="O48" s="16"/>
      <c r="P48" s="16"/>
      <c r="Q48" s="16"/>
      <c r="R48" s="16"/>
      <c r="S48" s="16"/>
      <c r="T48" s="16"/>
      <c r="U48" s="16"/>
      <c r="V48" s="16"/>
      <c r="W48" s="16"/>
      <c r="X48" s="90"/>
    </row>
    <row r="49" spans="3:24" x14ac:dyDescent="0.25">
      <c r="C49" s="89"/>
      <c r="D49" s="16"/>
      <c r="E49" s="16"/>
      <c r="F49" s="16"/>
      <c r="G49" s="16"/>
      <c r="H49" s="16"/>
      <c r="I49" s="16"/>
      <c r="J49" s="16"/>
      <c r="K49" s="16"/>
      <c r="L49" s="16"/>
      <c r="M49" s="16"/>
      <c r="N49" s="16"/>
      <c r="O49" s="16"/>
      <c r="P49" s="16"/>
      <c r="Q49" s="16"/>
      <c r="R49" s="16"/>
      <c r="S49" s="16"/>
      <c r="T49" s="16"/>
      <c r="U49" s="16"/>
      <c r="V49" s="16"/>
      <c r="W49" s="16"/>
      <c r="X49" s="90"/>
    </row>
    <row r="50" spans="3:24" x14ac:dyDescent="0.25">
      <c r="C50" s="89"/>
      <c r="D50" s="16"/>
      <c r="E50" s="16"/>
      <c r="F50" s="16"/>
      <c r="G50" s="16"/>
      <c r="H50" s="16"/>
      <c r="I50" s="16"/>
      <c r="J50" s="16"/>
      <c r="K50" s="16"/>
      <c r="L50" s="16"/>
      <c r="M50" s="16"/>
      <c r="N50" s="16"/>
      <c r="O50" s="16"/>
      <c r="P50" s="16"/>
      <c r="Q50" s="16"/>
      <c r="R50" s="16"/>
      <c r="S50" s="16"/>
      <c r="T50" s="16"/>
      <c r="U50" s="16"/>
      <c r="V50" s="16"/>
      <c r="W50" s="16"/>
      <c r="X50" s="90"/>
    </row>
    <row r="51" spans="3:24" x14ac:dyDescent="0.25">
      <c r="C51" s="89"/>
      <c r="D51" s="16"/>
      <c r="E51" s="16"/>
      <c r="F51" s="16"/>
      <c r="G51" s="16"/>
      <c r="H51" s="16"/>
      <c r="I51" s="16"/>
      <c r="J51" s="16"/>
      <c r="K51" s="16"/>
      <c r="L51" s="16"/>
      <c r="M51" s="16"/>
      <c r="N51" s="16"/>
      <c r="O51" s="16"/>
      <c r="P51" s="16"/>
      <c r="Q51" s="16"/>
      <c r="R51" s="16"/>
      <c r="S51" s="16"/>
      <c r="T51" s="16"/>
      <c r="U51" s="16"/>
      <c r="V51" s="16"/>
      <c r="W51" s="16"/>
      <c r="X51" s="90"/>
    </row>
    <row r="52" spans="3:24" x14ac:dyDescent="0.25">
      <c r="C52" s="89"/>
      <c r="D52" s="16"/>
      <c r="E52" s="16"/>
      <c r="F52" s="16"/>
      <c r="G52" s="16"/>
      <c r="H52" s="16"/>
      <c r="I52" s="16"/>
      <c r="J52" s="16"/>
      <c r="K52" s="16"/>
      <c r="L52" s="16"/>
      <c r="M52" s="16"/>
      <c r="N52" s="16"/>
      <c r="O52" s="16"/>
      <c r="P52" s="16"/>
      <c r="Q52" s="16"/>
      <c r="R52" s="16"/>
      <c r="S52" s="16"/>
      <c r="T52" s="16"/>
      <c r="U52" s="16"/>
      <c r="V52" s="16"/>
      <c r="W52" s="16"/>
      <c r="X52" s="90"/>
    </row>
    <row r="53" spans="3:24" x14ac:dyDescent="0.25">
      <c r="C53" s="89"/>
      <c r="D53" s="16"/>
      <c r="E53" s="16"/>
      <c r="F53" s="16"/>
      <c r="G53" s="16"/>
      <c r="H53" s="16"/>
      <c r="I53" s="16"/>
      <c r="J53" s="16"/>
      <c r="K53" s="16"/>
      <c r="L53" s="16"/>
      <c r="M53" s="16"/>
      <c r="N53" s="16"/>
      <c r="O53" s="16"/>
      <c r="P53" s="16"/>
      <c r="Q53" s="16"/>
      <c r="R53" s="16"/>
      <c r="S53" s="16"/>
      <c r="T53" s="16"/>
      <c r="U53" s="16"/>
      <c r="V53" s="16"/>
      <c r="W53" s="16"/>
      <c r="X53" s="90"/>
    </row>
    <row r="54" spans="3:24" x14ac:dyDescent="0.25">
      <c r="C54" s="89"/>
      <c r="D54" s="16"/>
      <c r="E54" s="16"/>
      <c r="F54" s="16"/>
      <c r="G54" s="16"/>
      <c r="H54" s="16"/>
      <c r="I54" s="16"/>
      <c r="J54" s="16"/>
      <c r="K54" s="16"/>
      <c r="L54" s="16"/>
      <c r="M54" s="16"/>
      <c r="N54" s="16"/>
      <c r="O54" s="16"/>
      <c r="P54" s="16"/>
      <c r="Q54" s="16"/>
      <c r="R54" s="16"/>
      <c r="S54" s="16"/>
      <c r="T54" s="16"/>
      <c r="U54" s="16"/>
      <c r="V54" s="16"/>
      <c r="W54" s="16"/>
      <c r="X54" s="90"/>
    </row>
    <row r="55" spans="3:24" x14ac:dyDescent="0.25">
      <c r="C55" s="89"/>
      <c r="D55" s="16"/>
      <c r="E55" s="16"/>
      <c r="F55" s="16"/>
      <c r="G55" s="16"/>
      <c r="H55" s="16"/>
      <c r="I55" s="16"/>
      <c r="J55" s="16"/>
      <c r="K55" s="16"/>
      <c r="L55" s="16"/>
      <c r="M55" s="16"/>
      <c r="N55" s="16"/>
      <c r="O55" s="16"/>
      <c r="P55" s="16"/>
      <c r="Q55" s="16"/>
      <c r="R55" s="16"/>
      <c r="S55" s="16"/>
      <c r="T55" s="16"/>
      <c r="U55" s="16"/>
      <c r="V55" s="16"/>
      <c r="W55" s="16"/>
      <c r="X55" s="90"/>
    </row>
    <row r="56" spans="3:24" x14ac:dyDescent="0.25">
      <c r="C56" s="89"/>
      <c r="D56" s="16"/>
      <c r="E56" s="16"/>
      <c r="F56" s="16"/>
      <c r="G56" s="16"/>
      <c r="H56" s="16"/>
      <c r="I56" s="16"/>
      <c r="J56" s="16"/>
      <c r="K56" s="16"/>
      <c r="L56" s="16"/>
      <c r="M56" s="16"/>
      <c r="N56" s="16"/>
      <c r="O56" s="16"/>
      <c r="P56" s="16"/>
      <c r="Q56" s="16"/>
      <c r="R56" s="16"/>
      <c r="S56" s="16"/>
      <c r="T56" s="16"/>
      <c r="U56" s="16"/>
      <c r="V56" s="16"/>
      <c r="W56" s="16"/>
      <c r="X56" s="90"/>
    </row>
    <row r="57" spans="3:24" x14ac:dyDescent="0.25">
      <c r="C57" s="89"/>
      <c r="D57" s="16"/>
      <c r="E57" s="16"/>
      <c r="F57" s="16"/>
      <c r="G57" s="16"/>
      <c r="H57" s="16"/>
      <c r="I57" s="16"/>
      <c r="J57" s="16"/>
      <c r="K57" s="16"/>
      <c r="L57" s="16"/>
      <c r="M57" s="16"/>
      <c r="N57" s="16"/>
      <c r="O57" s="16"/>
      <c r="P57" s="16"/>
      <c r="Q57" s="16"/>
      <c r="R57" s="16"/>
      <c r="S57" s="16"/>
      <c r="T57" s="16"/>
      <c r="U57" s="16"/>
      <c r="V57" s="16"/>
      <c r="W57" s="16"/>
      <c r="X57" s="90"/>
    </row>
    <row r="58" spans="3:24" x14ac:dyDescent="0.25">
      <c r="C58" s="89"/>
      <c r="D58" s="16"/>
      <c r="E58" s="16"/>
      <c r="F58" s="16"/>
      <c r="G58" s="16"/>
      <c r="H58" s="16"/>
      <c r="I58" s="16"/>
      <c r="J58" s="16"/>
      <c r="K58" s="16"/>
      <c r="L58" s="16"/>
      <c r="M58" s="16"/>
      <c r="N58" s="16"/>
      <c r="O58" s="16"/>
      <c r="P58" s="16"/>
      <c r="Q58" s="16"/>
      <c r="R58" s="16"/>
      <c r="S58" s="16"/>
      <c r="T58" s="16"/>
      <c r="U58" s="16"/>
      <c r="V58" s="16"/>
      <c r="W58" s="16"/>
      <c r="X58" s="90"/>
    </row>
    <row r="59" spans="3:24" x14ac:dyDescent="0.25">
      <c r="C59" s="89"/>
      <c r="D59" s="16"/>
      <c r="E59" s="16"/>
      <c r="F59" s="16"/>
      <c r="G59" s="16"/>
      <c r="H59" s="16"/>
      <c r="I59" s="16"/>
      <c r="J59" s="16"/>
      <c r="K59" s="16"/>
      <c r="L59" s="16"/>
      <c r="M59" s="16"/>
      <c r="N59" s="16"/>
      <c r="O59" s="16"/>
      <c r="P59" s="16"/>
      <c r="Q59" s="16"/>
      <c r="R59" s="16"/>
      <c r="S59" s="16"/>
      <c r="T59" s="16"/>
      <c r="U59" s="16"/>
      <c r="V59" s="16"/>
      <c r="W59" s="16"/>
      <c r="X59" s="90"/>
    </row>
    <row r="60" spans="3:24" x14ac:dyDescent="0.25">
      <c r="C60" s="89"/>
      <c r="D60" s="16"/>
      <c r="E60" s="16"/>
      <c r="F60" s="16"/>
      <c r="G60" s="16"/>
      <c r="H60" s="16"/>
      <c r="I60" s="16"/>
      <c r="J60" s="16"/>
      <c r="K60" s="16"/>
      <c r="L60" s="16"/>
      <c r="M60" s="16"/>
      <c r="N60" s="16"/>
      <c r="O60" s="16"/>
      <c r="P60" s="16"/>
      <c r="Q60" s="16"/>
      <c r="R60" s="16"/>
      <c r="S60" s="16"/>
      <c r="T60" s="16"/>
      <c r="U60" s="16"/>
      <c r="V60" s="16"/>
      <c r="W60" s="16"/>
      <c r="X60" s="90"/>
    </row>
    <row r="61" spans="3:24" x14ac:dyDescent="0.25">
      <c r="C61" s="89"/>
      <c r="D61" s="16"/>
      <c r="E61" s="16"/>
      <c r="F61" s="16"/>
      <c r="G61" s="16"/>
      <c r="H61" s="16"/>
      <c r="I61" s="16"/>
      <c r="J61" s="16"/>
      <c r="K61" s="16"/>
      <c r="L61" s="16"/>
      <c r="M61" s="16"/>
      <c r="N61" s="16"/>
      <c r="O61" s="16"/>
      <c r="P61" s="16"/>
      <c r="Q61" s="16"/>
      <c r="R61" s="16"/>
      <c r="S61" s="16"/>
      <c r="T61" s="16"/>
      <c r="U61" s="16"/>
      <c r="V61" s="16"/>
      <c r="W61" s="16"/>
      <c r="X61" s="90"/>
    </row>
    <row r="62" spans="3:24" x14ac:dyDescent="0.25">
      <c r="C62" s="89"/>
      <c r="D62" s="16"/>
      <c r="E62" s="16"/>
      <c r="F62" s="16"/>
      <c r="G62" s="16"/>
      <c r="H62" s="16"/>
      <c r="I62" s="16"/>
      <c r="J62" s="16"/>
      <c r="K62" s="16"/>
      <c r="L62" s="16"/>
      <c r="M62" s="16"/>
      <c r="N62" s="16"/>
      <c r="O62" s="16"/>
      <c r="P62" s="16"/>
      <c r="Q62" s="16"/>
      <c r="R62" s="16"/>
      <c r="S62" s="16"/>
      <c r="T62" s="16"/>
      <c r="U62" s="16"/>
      <c r="V62" s="16"/>
      <c r="W62" s="16"/>
      <c r="X62" s="90"/>
    </row>
    <row r="63" spans="3:24" x14ac:dyDescent="0.25">
      <c r="C63" s="89"/>
      <c r="D63" s="16"/>
      <c r="E63" s="16"/>
      <c r="F63" s="16"/>
      <c r="G63" s="16"/>
      <c r="H63" s="16"/>
      <c r="I63" s="16"/>
      <c r="J63" s="16"/>
      <c r="K63" s="16"/>
      <c r="L63" s="16"/>
      <c r="M63" s="16"/>
      <c r="N63" s="16"/>
      <c r="O63" s="16"/>
      <c r="P63" s="16"/>
      <c r="Q63" s="16"/>
      <c r="R63" s="16"/>
      <c r="S63" s="16"/>
      <c r="T63" s="16"/>
      <c r="U63" s="16"/>
      <c r="V63" s="16"/>
      <c r="W63" s="16"/>
      <c r="X63" s="90"/>
    </row>
    <row r="64" spans="3:24" x14ac:dyDescent="0.25">
      <c r="C64" s="89"/>
      <c r="D64" s="16"/>
      <c r="E64" s="16"/>
      <c r="F64" s="16"/>
      <c r="G64" s="16"/>
      <c r="H64" s="16"/>
      <c r="I64" s="16"/>
      <c r="J64" s="16"/>
      <c r="K64" s="16"/>
      <c r="L64" s="16"/>
      <c r="M64" s="16"/>
      <c r="N64" s="16"/>
      <c r="O64" s="16"/>
      <c r="P64" s="16"/>
      <c r="Q64" s="16"/>
      <c r="R64" s="16"/>
      <c r="S64" s="16"/>
      <c r="T64" s="16"/>
      <c r="U64" s="16"/>
      <c r="V64" s="16"/>
      <c r="W64" s="16"/>
      <c r="X64" s="90"/>
    </row>
    <row r="65" spans="3:24" x14ac:dyDescent="0.25">
      <c r="C65" s="89"/>
      <c r="D65" s="16"/>
      <c r="E65" s="16"/>
      <c r="F65" s="16"/>
      <c r="G65" s="16"/>
      <c r="H65" s="16"/>
      <c r="I65" s="16"/>
      <c r="J65" s="16"/>
      <c r="K65" s="16"/>
      <c r="L65" s="16"/>
      <c r="M65" s="16"/>
      <c r="N65" s="16"/>
      <c r="O65" s="16"/>
      <c r="P65" s="16"/>
      <c r="Q65" s="16"/>
      <c r="R65" s="16"/>
      <c r="S65" s="16"/>
      <c r="T65" s="16"/>
      <c r="U65" s="16"/>
      <c r="V65" s="16"/>
      <c r="W65" s="16"/>
      <c r="X65" s="90"/>
    </row>
    <row r="66" spans="3:24" x14ac:dyDescent="0.25">
      <c r="C66" s="89"/>
      <c r="D66" s="16"/>
      <c r="E66" s="16"/>
      <c r="F66" s="16"/>
      <c r="G66" s="16"/>
      <c r="H66" s="16"/>
      <c r="I66" s="16"/>
      <c r="J66" s="16"/>
      <c r="K66" s="16"/>
      <c r="L66" s="16"/>
      <c r="M66" s="16"/>
      <c r="N66" s="16"/>
      <c r="O66" s="16"/>
      <c r="P66" s="16"/>
      <c r="Q66" s="16"/>
      <c r="R66" s="16"/>
      <c r="S66" s="16"/>
      <c r="T66" s="16"/>
      <c r="U66" s="16"/>
      <c r="V66" s="16"/>
      <c r="W66" s="16"/>
      <c r="X66" s="90"/>
    </row>
    <row r="67" spans="3:24" x14ac:dyDescent="0.25">
      <c r="C67" s="89"/>
      <c r="D67" s="16"/>
      <c r="E67" s="16"/>
      <c r="F67" s="16"/>
      <c r="G67" s="16"/>
      <c r="H67" s="16"/>
      <c r="I67" s="16"/>
      <c r="J67" s="16"/>
      <c r="K67" s="16"/>
      <c r="L67" s="16"/>
      <c r="M67" s="16"/>
      <c r="N67" s="16"/>
      <c r="O67" s="16"/>
      <c r="P67" s="16"/>
      <c r="Q67" s="16"/>
      <c r="R67" s="16"/>
      <c r="S67" s="16"/>
      <c r="T67" s="16"/>
      <c r="U67" s="16"/>
      <c r="V67" s="16"/>
      <c r="W67" s="16"/>
      <c r="X67" s="90"/>
    </row>
    <row r="68" spans="3:24" x14ac:dyDescent="0.25">
      <c r="C68" s="89"/>
      <c r="D68" s="16"/>
      <c r="E68" s="16"/>
      <c r="F68" s="16"/>
      <c r="G68" s="16"/>
      <c r="H68" s="16"/>
      <c r="I68" s="16"/>
      <c r="J68" s="16"/>
      <c r="K68" s="16"/>
      <c r="L68" s="16"/>
      <c r="M68" s="16"/>
      <c r="N68" s="16"/>
      <c r="O68" s="16"/>
      <c r="P68" s="16"/>
      <c r="Q68" s="16"/>
      <c r="R68" s="16"/>
      <c r="S68" s="16"/>
      <c r="T68" s="16"/>
      <c r="U68" s="16"/>
      <c r="V68" s="16"/>
      <c r="W68" s="16"/>
      <c r="X68" s="90"/>
    </row>
    <row r="69" spans="3:24" x14ac:dyDescent="0.25">
      <c r="C69" s="89"/>
      <c r="D69" s="16"/>
      <c r="E69" s="16"/>
      <c r="F69" s="16"/>
      <c r="G69" s="16"/>
      <c r="H69" s="16"/>
      <c r="I69" s="16"/>
      <c r="J69" s="16"/>
      <c r="K69" s="16"/>
      <c r="L69" s="16"/>
      <c r="M69" s="16"/>
      <c r="N69" s="16"/>
      <c r="O69" s="16"/>
      <c r="P69" s="16"/>
      <c r="Q69" s="16"/>
      <c r="R69" s="16"/>
      <c r="S69" s="16"/>
      <c r="T69" s="16"/>
      <c r="U69" s="16"/>
      <c r="V69" s="16"/>
      <c r="W69" s="16"/>
      <c r="X69" s="90"/>
    </row>
    <row r="70" spans="3:24" x14ac:dyDescent="0.25">
      <c r="C70" s="89"/>
      <c r="D70" s="16"/>
      <c r="E70" s="16"/>
      <c r="F70" s="16"/>
      <c r="G70" s="16"/>
      <c r="H70" s="16"/>
      <c r="I70" s="16"/>
      <c r="J70" s="16"/>
      <c r="K70" s="16"/>
      <c r="L70" s="16"/>
      <c r="M70" s="16"/>
      <c r="N70" s="16"/>
      <c r="O70" s="16"/>
      <c r="P70" s="16"/>
      <c r="Q70" s="16"/>
      <c r="R70" s="16"/>
      <c r="S70" s="16"/>
      <c r="T70" s="16"/>
      <c r="U70" s="16"/>
      <c r="V70" s="16"/>
      <c r="W70" s="16"/>
      <c r="X70" s="90"/>
    </row>
    <row r="71" spans="3:24" x14ac:dyDescent="0.25">
      <c r="C71" s="89"/>
      <c r="D71" s="16"/>
      <c r="E71" s="16"/>
      <c r="F71" s="16"/>
      <c r="G71" s="16"/>
      <c r="H71" s="16"/>
      <c r="I71" s="16"/>
      <c r="J71" s="16"/>
      <c r="K71" s="16"/>
      <c r="L71" s="16"/>
      <c r="M71" s="16"/>
      <c r="N71" s="16"/>
      <c r="O71" s="16"/>
      <c r="P71" s="16"/>
      <c r="Q71" s="16"/>
      <c r="R71" s="16"/>
      <c r="S71" s="16"/>
      <c r="T71" s="16"/>
      <c r="U71" s="16"/>
      <c r="V71" s="16"/>
      <c r="W71" s="16"/>
      <c r="X71" s="90"/>
    </row>
    <row r="72" spans="3:24" x14ac:dyDescent="0.25">
      <c r="C72" s="89"/>
      <c r="D72" s="16"/>
      <c r="E72" s="16"/>
      <c r="F72" s="16"/>
      <c r="G72" s="16"/>
      <c r="H72" s="16"/>
      <c r="I72" s="16"/>
      <c r="J72" s="16"/>
      <c r="K72" s="16"/>
      <c r="L72" s="16"/>
      <c r="M72" s="16"/>
      <c r="N72" s="16"/>
      <c r="O72" s="16"/>
      <c r="P72" s="16"/>
      <c r="Q72" s="16"/>
      <c r="R72" s="16"/>
      <c r="S72" s="16"/>
      <c r="T72" s="16"/>
      <c r="U72" s="16"/>
      <c r="V72" s="16"/>
      <c r="W72" s="16"/>
      <c r="X72" s="90"/>
    </row>
    <row r="73" spans="3:24" x14ac:dyDescent="0.25">
      <c r="C73" s="89"/>
      <c r="D73" s="16"/>
      <c r="E73" s="16"/>
      <c r="F73" s="16"/>
      <c r="G73" s="16"/>
      <c r="H73" s="16"/>
      <c r="I73" s="16"/>
      <c r="J73" s="16"/>
      <c r="K73" s="16"/>
      <c r="L73" s="16"/>
      <c r="M73" s="16"/>
      <c r="N73" s="16"/>
      <c r="O73" s="16"/>
      <c r="P73" s="16"/>
      <c r="Q73" s="16"/>
      <c r="R73" s="16"/>
      <c r="S73" s="16"/>
      <c r="T73" s="16"/>
      <c r="U73" s="16"/>
      <c r="V73" s="16"/>
      <c r="W73" s="16"/>
      <c r="X73" s="90"/>
    </row>
    <row r="74" spans="3:24" x14ac:dyDescent="0.25">
      <c r="C74" s="89"/>
      <c r="D74" s="16"/>
      <c r="E74" s="16"/>
      <c r="F74" s="16"/>
      <c r="G74" s="16"/>
      <c r="H74" s="16"/>
      <c r="I74" s="16"/>
      <c r="J74" s="16"/>
      <c r="K74" s="16"/>
      <c r="L74" s="16"/>
      <c r="M74" s="16"/>
      <c r="N74" s="16"/>
      <c r="O74" s="16"/>
      <c r="P74" s="16"/>
      <c r="Q74" s="16"/>
      <c r="R74" s="16"/>
      <c r="S74" s="16"/>
      <c r="T74" s="16"/>
      <c r="U74" s="16"/>
      <c r="V74" s="16"/>
      <c r="W74" s="16"/>
      <c r="X74" s="90"/>
    </row>
    <row r="75" spans="3:24" x14ac:dyDescent="0.25">
      <c r="C75" s="89"/>
      <c r="D75" s="16"/>
      <c r="E75" s="16"/>
      <c r="F75" s="16"/>
      <c r="G75" s="16"/>
      <c r="H75" s="16"/>
      <c r="I75" s="16"/>
      <c r="J75" s="16"/>
      <c r="K75" s="16"/>
      <c r="L75" s="16"/>
      <c r="M75" s="16"/>
      <c r="N75" s="16"/>
      <c r="O75" s="16"/>
      <c r="P75" s="16"/>
      <c r="Q75" s="16"/>
      <c r="R75" s="16"/>
      <c r="S75" s="16"/>
      <c r="T75" s="16"/>
      <c r="U75" s="16"/>
      <c r="V75" s="16"/>
      <c r="W75" s="16"/>
      <c r="X75" s="90"/>
    </row>
    <row r="76" spans="3:24" x14ac:dyDescent="0.25">
      <c r="C76" s="89"/>
      <c r="D76" s="16"/>
      <c r="E76" s="16"/>
      <c r="F76" s="16"/>
      <c r="G76" s="16"/>
      <c r="H76" s="16"/>
      <c r="I76" s="16"/>
      <c r="J76" s="16"/>
      <c r="K76" s="16"/>
      <c r="L76" s="16"/>
      <c r="M76" s="16"/>
      <c r="N76" s="16"/>
      <c r="O76" s="16"/>
      <c r="P76" s="16"/>
      <c r="Q76" s="16"/>
      <c r="R76" s="16"/>
      <c r="S76" s="16"/>
      <c r="T76" s="16"/>
      <c r="U76" s="16"/>
      <c r="V76" s="16"/>
      <c r="W76" s="16"/>
      <c r="X76" s="90"/>
    </row>
    <row r="77" spans="3:24" x14ac:dyDescent="0.25">
      <c r="C77" s="89"/>
      <c r="D77" s="16"/>
      <c r="E77" s="16"/>
      <c r="F77" s="16"/>
      <c r="G77" s="16"/>
      <c r="H77" s="16"/>
      <c r="I77" s="16"/>
      <c r="J77" s="16"/>
      <c r="K77" s="16"/>
      <c r="L77" s="16"/>
      <c r="M77" s="16"/>
      <c r="N77" s="16"/>
      <c r="O77" s="16"/>
      <c r="P77" s="16"/>
      <c r="Q77" s="16"/>
      <c r="R77" s="16"/>
      <c r="S77" s="16"/>
      <c r="T77" s="16"/>
      <c r="U77" s="16"/>
      <c r="V77" s="16"/>
      <c r="W77" s="16"/>
      <c r="X77" s="90"/>
    </row>
    <row r="78" spans="3:24" x14ac:dyDescent="0.25">
      <c r="C78" s="89"/>
      <c r="D78" s="16"/>
      <c r="E78" s="16"/>
      <c r="F78" s="16"/>
      <c r="G78" s="16"/>
      <c r="H78" s="16"/>
      <c r="I78" s="16"/>
      <c r="J78" s="16"/>
      <c r="K78" s="16"/>
      <c r="L78" s="16"/>
      <c r="M78" s="16"/>
      <c r="N78" s="16"/>
      <c r="O78" s="16"/>
      <c r="P78" s="16"/>
      <c r="Q78" s="16"/>
      <c r="R78" s="16"/>
      <c r="S78" s="16"/>
      <c r="T78" s="16"/>
      <c r="U78" s="16"/>
      <c r="V78" s="16"/>
      <c r="W78" s="16"/>
      <c r="X78" s="90"/>
    </row>
    <row r="79" spans="3:24" x14ac:dyDescent="0.25">
      <c r="C79" s="89"/>
      <c r="D79" s="16"/>
      <c r="E79" s="16"/>
      <c r="F79" s="16"/>
      <c r="G79" s="16"/>
      <c r="H79" s="16"/>
      <c r="I79" s="16"/>
      <c r="J79" s="16"/>
      <c r="K79" s="16"/>
      <c r="L79" s="16"/>
      <c r="M79" s="16"/>
      <c r="N79" s="16"/>
      <c r="O79" s="16"/>
      <c r="P79" s="16"/>
      <c r="Q79" s="16"/>
      <c r="R79" s="16"/>
      <c r="S79" s="16"/>
      <c r="T79" s="16"/>
      <c r="U79" s="16"/>
      <c r="V79" s="16"/>
      <c r="W79" s="16"/>
      <c r="X79" s="90"/>
    </row>
    <row r="80" spans="3:24" x14ac:dyDescent="0.25">
      <c r="C80" s="89"/>
      <c r="D80" s="16"/>
      <c r="E80" s="16"/>
      <c r="F80" s="16"/>
      <c r="G80" s="16"/>
      <c r="H80" s="16"/>
      <c r="I80" s="16"/>
      <c r="J80" s="16"/>
      <c r="K80" s="16"/>
      <c r="L80" s="16"/>
      <c r="M80" s="16"/>
      <c r="N80" s="16"/>
      <c r="O80" s="16"/>
      <c r="P80" s="16"/>
      <c r="Q80" s="16"/>
      <c r="R80" s="16"/>
      <c r="S80" s="16"/>
      <c r="T80" s="16"/>
      <c r="U80" s="16"/>
      <c r="V80" s="16"/>
      <c r="W80" s="16"/>
      <c r="X80" s="90"/>
    </row>
    <row r="81" spans="3:24" x14ac:dyDescent="0.25">
      <c r="C81" s="89"/>
      <c r="D81" s="16"/>
      <c r="E81" s="16"/>
      <c r="F81" s="16"/>
      <c r="G81" s="16"/>
      <c r="H81" s="16"/>
      <c r="I81" s="16"/>
      <c r="J81" s="16"/>
      <c r="K81" s="16"/>
      <c r="L81" s="16"/>
      <c r="M81" s="16"/>
      <c r="N81" s="16"/>
      <c r="O81" s="16"/>
      <c r="P81" s="16"/>
      <c r="Q81" s="16"/>
      <c r="R81" s="16"/>
      <c r="S81" s="16"/>
      <c r="T81" s="16"/>
      <c r="U81" s="16"/>
      <c r="V81" s="16"/>
      <c r="W81" s="16"/>
      <c r="X81" s="90"/>
    </row>
    <row r="82" spans="3:24" x14ac:dyDescent="0.25">
      <c r="C82" s="89"/>
      <c r="D82" s="16"/>
      <c r="E82" s="16"/>
      <c r="F82" s="16"/>
      <c r="G82" s="16"/>
      <c r="H82" s="16"/>
      <c r="I82" s="16"/>
      <c r="J82" s="16"/>
      <c r="K82" s="16"/>
      <c r="L82" s="16"/>
      <c r="M82" s="16"/>
      <c r="N82" s="16"/>
      <c r="O82" s="16"/>
      <c r="P82" s="16"/>
      <c r="Q82" s="16"/>
      <c r="R82" s="16"/>
      <c r="S82" s="16"/>
      <c r="T82" s="16"/>
      <c r="U82" s="16"/>
      <c r="V82" s="16"/>
      <c r="W82" s="16"/>
      <c r="X82" s="90"/>
    </row>
    <row r="83" spans="3:24" x14ac:dyDescent="0.25">
      <c r="C83" s="89"/>
      <c r="D83" s="16"/>
      <c r="E83" s="16"/>
      <c r="F83" s="16"/>
      <c r="G83" s="16"/>
      <c r="H83" s="16"/>
      <c r="I83" s="16"/>
      <c r="J83" s="16"/>
      <c r="K83" s="16"/>
      <c r="L83" s="16"/>
      <c r="M83" s="16"/>
      <c r="N83" s="16"/>
      <c r="O83" s="16"/>
      <c r="P83" s="16"/>
      <c r="Q83" s="16"/>
      <c r="R83" s="16"/>
      <c r="S83" s="16"/>
      <c r="T83" s="16"/>
      <c r="U83" s="16"/>
      <c r="V83" s="16"/>
      <c r="W83" s="16"/>
      <c r="X83" s="90"/>
    </row>
    <row r="84" spans="3:24" x14ac:dyDescent="0.25">
      <c r="C84" s="89"/>
      <c r="D84" s="16"/>
      <c r="E84" s="16"/>
      <c r="F84" s="16"/>
      <c r="G84" s="16"/>
      <c r="H84" s="16"/>
      <c r="I84" s="16"/>
      <c r="J84" s="16"/>
      <c r="K84" s="16"/>
      <c r="L84" s="16"/>
      <c r="M84" s="16"/>
      <c r="N84" s="16"/>
      <c r="O84" s="16"/>
      <c r="P84" s="16"/>
      <c r="Q84" s="16"/>
      <c r="R84" s="16"/>
      <c r="S84" s="16"/>
      <c r="T84" s="16"/>
      <c r="U84" s="16"/>
      <c r="V84" s="16"/>
      <c r="W84" s="16"/>
      <c r="X84" s="90"/>
    </row>
    <row r="85" spans="3:24" x14ac:dyDescent="0.25">
      <c r="C85" s="89"/>
      <c r="D85" s="16"/>
      <c r="E85" s="16"/>
      <c r="F85" s="16"/>
      <c r="G85" s="16"/>
      <c r="H85" s="16"/>
      <c r="I85" s="16"/>
      <c r="J85" s="16"/>
      <c r="K85" s="16"/>
      <c r="L85" s="16"/>
      <c r="M85" s="16"/>
      <c r="N85" s="16"/>
      <c r="O85" s="16"/>
      <c r="P85" s="16"/>
      <c r="Q85" s="16"/>
      <c r="R85" s="16"/>
      <c r="S85" s="16"/>
      <c r="T85" s="16"/>
      <c r="U85" s="16"/>
      <c r="V85" s="16"/>
      <c r="W85" s="16"/>
      <c r="X85" s="90"/>
    </row>
    <row r="86" spans="3:24" x14ac:dyDescent="0.25">
      <c r="C86" s="89"/>
      <c r="D86" s="16"/>
      <c r="E86" s="16"/>
      <c r="F86" s="16"/>
      <c r="G86" s="16"/>
      <c r="H86" s="16"/>
      <c r="I86" s="16"/>
      <c r="J86" s="16"/>
      <c r="K86" s="16"/>
      <c r="L86" s="16"/>
      <c r="M86" s="16"/>
      <c r="N86" s="16"/>
      <c r="O86" s="16"/>
      <c r="P86" s="16"/>
      <c r="Q86" s="16"/>
      <c r="R86" s="16"/>
      <c r="S86" s="16"/>
      <c r="T86" s="16"/>
      <c r="U86" s="16"/>
      <c r="V86" s="16"/>
      <c r="W86" s="16"/>
      <c r="X86" s="90"/>
    </row>
    <row r="87" spans="3:24" x14ac:dyDescent="0.25">
      <c r="C87" s="89"/>
      <c r="D87" s="16"/>
      <c r="E87" s="16"/>
      <c r="F87" s="16"/>
      <c r="G87" s="16"/>
      <c r="H87" s="16"/>
      <c r="I87" s="16"/>
      <c r="J87" s="16"/>
      <c r="K87" s="16"/>
      <c r="L87" s="16"/>
      <c r="M87" s="16"/>
      <c r="N87" s="16"/>
      <c r="O87" s="16"/>
      <c r="P87" s="16"/>
      <c r="Q87" s="16"/>
      <c r="R87" s="16"/>
      <c r="S87" s="16"/>
      <c r="T87" s="16"/>
      <c r="U87" s="16"/>
      <c r="V87" s="16"/>
      <c r="W87" s="16"/>
      <c r="X87" s="90"/>
    </row>
    <row r="88" spans="3:24" x14ac:dyDescent="0.25">
      <c r="C88" s="89"/>
      <c r="D88" s="16"/>
      <c r="E88" s="16"/>
      <c r="F88" s="16"/>
      <c r="G88" s="16"/>
      <c r="H88" s="16"/>
      <c r="I88" s="16"/>
      <c r="J88" s="16"/>
      <c r="K88" s="16"/>
      <c r="L88" s="16"/>
      <c r="M88" s="16"/>
      <c r="N88" s="16"/>
      <c r="O88" s="16"/>
      <c r="P88" s="16"/>
      <c r="Q88" s="16"/>
      <c r="R88" s="16"/>
      <c r="S88" s="16"/>
      <c r="T88" s="16"/>
      <c r="U88" s="16"/>
      <c r="V88" s="16"/>
      <c r="W88" s="16"/>
      <c r="X88" s="90"/>
    </row>
    <row r="89" spans="3:24" x14ac:dyDescent="0.25">
      <c r="C89" s="89"/>
      <c r="D89" s="16"/>
      <c r="E89" s="16"/>
      <c r="F89" s="16"/>
      <c r="G89" s="16"/>
      <c r="H89" s="16"/>
      <c r="I89" s="16"/>
      <c r="J89" s="16"/>
      <c r="K89" s="16"/>
      <c r="L89" s="16"/>
      <c r="M89" s="16"/>
      <c r="N89" s="16"/>
      <c r="O89" s="16"/>
      <c r="P89" s="16"/>
      <c r="Q89" s="16"/>
      <c r="R89" s="16"/>
      <c r="S89" s="16"/>
      <c r="T89" s="16"/>
      <c r="U89" s="16"/>
      <c r="V89" s="16"/>
      <c r="W89" s="16"/>
      <c r="X89" s="90"/>
    </row>
    <row r="90" spans="3:24" x14ac:dyDescent="0.25">
      <c r="C90" s="89"/>
      <c r="D90" s="16"/>
      <c r="E90" s="16"/>
      <c r="F90" s="16"/>
      <c r="G90" s="16"/>
      <c r="H90" s="16"/>
      <c r="I90" s="16"/>
      <c r="J90" s="16"/>
      <c r="K90" s="16"/>
      <c r="L90" s="16"/>
      <c r="M90" s="16"/>
      <c r="N90" s="16"/>
      <c r="O90" s="16"/>
      <c r="P90" s="16"/>
      <c r="Q90" s="16"/>
      <c r="R90" s="16"/>
      <c r="S90" s="16"/>
      <c r="T90" s="16"/>
      <c r="U90" s="16"/>
      <c r="V90" s="16"/>
      <c r="W90" s="16"/>
      <c r="X90" s="90"/>
    </row>
    <row r="91" spans="3:24" x14ac:dyDescent="0.25">
      <c r="C91" s="89"/>
      <c r="D91" s="16"/>
      <c r="E91" s="16"/>
      <c r="F91" s="16"/>
      <c r="G91" s="16"/>
      <c r="H91" s="16"/>
      <c r="I91" s="16"/>
      <c r="J91" s="16"/>
      <c r="K91" s="16"/>
      <c r="L91" s="16"/>
      <c r="M91" s="16"/>
      <c r="N91" s="16"/>
      <c r="O91" s="16"/>
      <c r="P91" s="16"/>
      <c r="Q91" s="16"/>
      <c r="R91" s="16"/>
      <c r="S91" s="16"/>
      <c r="T91" s="16"/>
      <c r="U91" s="16"/>
      <c r="V91" s="16"/>
      <c r="W91" s="16"/>
      <c r="X91" s="90"/>
    </row>
    <row r="92" spans="3:24" x14ac:dyDescent="0.25">
      <c r="C92" s="89"/>
      <c r="D92" s="16"/>
      <c r="E92" s="16"/>
      <c r="F92" s="16"/>
      <c r="G92" s="16"/>
      <c r="H92" s="16"/>
      <c r="I92" s="16"/>
      <c r="J92" s="16"/>
      <c r="K92" s="16"/>
      <c r="L92" s="16"/>
      <c r="M92" s="16"/>
      <c r="N92" s="16"/>
      <c r="O92" s="16"/>
      <c r="P92" s="16"/>
      <c r="Q92" s="16"/>
      <c r="R92" s="16"/>
      <c r="S92" s="16"/>
      <c r="T92" s="16"/>
      <c r="U92" s="16"/>
      <c r="V92" s="16"/>
      <c r="W92" s="16"/>
      <c r="X92" s="90"/>
    </row>
    <row r="93" spans="3:24" x14ac:dyDescent="0.25">
      <c r="C93" s="89"/>
      <c r="D93" s="16"/>
      <c r="E93" s="16"/>
      <c r="F93" s="16"/>
      <c r="G93" s="16"/>
      <c r="H93" s="16"/>
      <c r="I93" s="16"/>
      <c r="J93" s="16"/>
      <c r="K93" s="16"/>
      <c r="L93" s="16"/>
      <c r="M93" s="16"/>
      <c r="N93" s="16"/>
      <c r="O93" s="16"/>
      <c r="P93" s="16"/>
      <c r="Q93" s="16"/>
      <c r="R93" s="16"/>
      <c r="S93" s="16"/>
      <c r="T93" s="16"/>
      <c r="U93" s="16"/>
      <c r="V93" s="16"/>
      <c r="W93" s="16"/>
      <c r="X93" s="90"/>
    </row>
    <row r="94" spans="3:24" x14ac:dyDescent="0.25">
      <c r="C94" s="89"/>
      <c r="D94" s="16"/>
      <c r="E94" s="16"/>
      <c r="F94" s="16"/>
      <c r="G94" s="16"/>
      <c r="H94" s="16"/>
      <c r="I94" s="16"/>
      <c r="J94" s="16"/>
      <c r="K94" s="16"/>
      <c r="L94" s="16"/>
      <c r="M94" s="16"/>
      <c r="N94" s="16"/>
      <c r="O94" s="16"/>
      <c r="P94" s="16"/>
      <c r="Q94" s="16"/>
      <c r="R94" s="16"/>
      <c r="S94" s="16"/>
      <c r="T94" s="16"/>
      <c r="U94" s="16"/>
      <c r="V94" s="16"/>
      <c r="W94" s="16"/>
      <c r="X94" s="90"/>
    </row>
    <row r="95" spans="3:24" x14ac:dyDescent="0.25">
      <c r="C95" s="89"/>
      <c r="D95" s="16"/>
      <c r="E95" s="16"/>
      <c r="F95" s="16"/>
      <c r="G95" s="16"/>
      <c r="H95" s="16"/>
      <c r="I95" s="16"/>
      <c r="J95" s="16"/>
      <c r="K95" s="16"/>
      <c r="L95" s="16"/>
      <c r="M95" s="16"/>
      <c r="N95" s="16"/>
      <c r="O95" s="16"/>
      <c r="P95" s="16"/>
      <c r="Q95" s="16"/>
      <c r="R95" s="16"/>
      <c r="S95" s="16"/>
      <c r="T95" s="16"/>
      <c r="U95" s="16"/>
      <c r="V95" s="16"/>
      <c r="W95" s="16"/>
      <c r="X95" s="90"/>
    </row>
    <row r="96" spans="3:24" x14ac:dyDescent="0.25">
      <c r="C96" s="89"/>
      <c r="D96" s="16"/>
      <c r="E96" s="16"/>
      <c r="F96" s="16"/>
      <c r="G96" s="16"/>
      <c r="H96" s="16"/>
      <c r="I96" s="16"/>
      <c r="J96" s="16"/>
      <c r="K96" s="16"/>
      <c r="L96" s="16"/>
      <c r="M96" s="16"/>
      <c r="N96" s="16"/>
      <c r="O96" s="16"/>
      <c r="P96" s="16"/>
      <c r="Q96" s="16"/>
      <c r="R96" s="16"/>
      <c r="S96" s="16"/>
      <c r="T96" s="16"/>
      <c r="U96" s="16"/>
      <c r="V96" s="16"/>
      <c r="W96" s="16"/>
      <c r="X96" s="90"/>
    </row>
    <row r="97" spans="3:24" x14ac:dyDescent="0.25">
      <c r="C97" s="89"/>
      <c r="D97" s="16"/>
      <c r="E97" s="16"/>
      <c r="F97" s="16"/>
      <c r="G97" s="16"/>
      <c r="H97" s="16"/>
      <c r="I97" s="16"/>
      <c r="J97" s="16"/>
      <c r="K97" s="16"/>
      <c r="L97" s="16"/>
      <c r="M97" s="16"/>
      <c r="N97" s="16"/>
      <c r="O97" s="16"/>
      <c r="P97" s="16"/>
      <c r="Q97" s="16"/>
      <c r="R97" s="16"/>
      <c r="S97" s="16"/>
      <c r="T97" s="16"/>
      <c r="U97" s="16"/>
      <c r="V97" s="16"/>
      <c r="W97" s="16"/>
      <c r="X97" s="90"/>
    </row>
    <row r="98" spans="3:24" x14ac:dyDescent="0.25">
      <c r="C98" s="89"/>
      <c r="D98" s="16"/>
      <c r="E98" s="16"/>
      <c r="F98" s="16"/>
      <c r="G98" s="16"/>
      <c r="H98" s="16"/>
      <c r="I98" s="16"/>
      <c r="J98" s="16"/>
      <c r="K98" s="16"/>
      <c r="L98" s="16"/>
      <c r="M98" s="16"/>
      <c r="N98" s="16"/>
      <c r="O98" s="16"/>
      <c r="P98" s="16"/>
      <c r="Q98" s="16"/>
      <c r="R98" s="16"/>
      <c r="S98" s="16"/>
      <c r="T98" s="16"/>
      <c r="U98" s="16"/>
      <c r="V98" s="16"/>
      <c r="W98" s="16"/>
      <c r="X98" s="90"/>
    </row>
    <row r="99" spans="3:24" x14ac:dyDescent="0.25">
      <c r="C99" s="89"/>
      <c r="D99" s="16"/>
      <c r="E99" s="16"/>
      <c r="F99" s="16"/>
      <c r="G99" s="16"/>
      <c r="H99" s="16"/>
      <c r="I99" s="16"/>
      <c r="J99" s="16"/>
      <c r="K99" s="16"/>
      <c r="L99" s="16"/>
      <c r="M99" s="16"/>
      <c r="N99" s="16"/>
      <c r="O99" s="16"/>
      <c r="P99" s="16"/>
      <c r="Q99" s="16"/>
      <c r="R99" s="16"/>
      <c r="S99" s="16"/>
      <c r="T99" s="16"/>
      <c r="U99" s="16"/>
      <c r="V99" s="16"/>
      <c r="W99" s="16"/>
      <c r="X99" s="90"/>
    </row>
    <row r="100" spans="3:24" ht="15.75" thickBot="1" x14ac:dyDescent="0.3">
      <c r="C100" s="91"/>
      <c r="D100" s="92"/>
      <c r="E100" s="92"/>
      <c r="F100" s="92"/>
      <c r="G100" s="92"/>
      <c r="H100" s="92"/>
      <c r="I100" s="92"/>
      <c r="J100" s="92"/>
      <c r="K100" s="92"/>
      <c r="L100" s="92"/>
      <c r="M100" s="92"/>
      <c r="N100" s="92"/>
      <c r="O100" s="92"/>
      <c r="P100" s="92"/>
      <c r="Q100" s="92"/>
      <c r="R100" s="92"/>
      <c r="S100" s="92"/>
      <c r="T100" s="92"/>
      <c r="U100" s="92"/>
      <c r="V100" s="92"/>
      <c r="W100" s="92"/>
      <c r="X100" s="93"/>
    </row>
  </sheetData>
  <mergeCells count="15">
    <mergeCell ref="C3:X5"/>
    <mergeCell ref="P8:Q8"/>
    <mergeCell ref="P9:Q9"/>
    <mergeCell ref="S8:T8"/>
    <mergeCell ref="S9:T9"/>
    <mergeCell ref="V8:W8"/>
    <mergeCell ref="V9:W9"/>
    <mergeCell ref="D8:E8"/>
    <mergeCell ref="D9:E9"/>
    <mergeCell ref="G8:H8"/>
    <mergeCell ref="G9:H9"/>
    <mergeCell ref="J8:K8"/>
    <mergeCell ref="J9:K9"/>
    <mergeCell ref="M8:N8"/>
    <mergeCell ref="M9:N9"/>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3:P78"/>
  <sheetViews>
    <sheetView workbookViewId="0"/>
  </sheetViews>
  <sheetFormatPr defaultRowHeight="15" x14ac:dyDescent="0.25"/>
  <cols>
    <col min="3" max="4" width="16.140625" bestFit="1" customWidth="1"/>
    <col min="5" max="5" width="16.5703125" bestFit="1" customWidth="1"/>
    <col min="6" max="6" width="11.28515625" bestFit="1" customWidth="1"/>
    <col min="7" max="7" width="10" bestFit="1" customWidth="1"/>
    <col min="10" max="10" width="11.42578125" bestFit="1" customWidth="1"/>
    <col min="16" max="16" width="18.85546875" bestFit="1" customWidth="1"/>
  </cols>
  <sheetData>
    <row r="3" spans="3:5" x14ac:dyDescent="0.25">
      <c r="C3" s="56" t="s">
        <v>13</v>
      </c>
      <c r="D3" s="53" t="s">
        <v>728</v>
      </c>
      <c r="E3" s="53" t="s">
        <v>730</v>
      </c>
    </row>
    <row r="4" spans="3:5" x14ac:dyDescent="0.25">
      <c r="C4" s="26" t="s">
        <v>21</v>
      </c>
      <c r="D4" s="28">
        <v>86945.07</v>
      </c>
      <c r="E4" s="29">
        <v>24053.24</v>
      </c>
    </row>
    <row r="5" spans="3:5" x14ac:dyDescent="0.25">
      <c r="C5" s="26" t="s">
        <v>28</v>
      </c>
      <c r="D5" s="28">
        <v>115214.62</v>
      </c>
      <c r="E5" s="29">
        <v>32134.75</v>
      </c>
    </row>
    <row r="6" spans="3:5" x14ac:dyDescent="0.25">
      <c r="C6" s="26" t="s">
        <v>58</v>
      </c>
      <c r="D6" s="28">
        <v>171168.4</v>
      </c>
      <c r="E6" s="29">
        <v>47915.859999999993</v>
      </c>
    </row>
    <row r="7" spans="3:5" x14ac:dyDescent="0.25">
      <c r="C7" s="26" t="s">
        <v>87</v>
      </c>
      <c r="D7" s="28">
        <v>29495.040000000001</v>
      </c>
      <c r="E7" s="29">
        <v>8967.32</v>
      </c>
    </row>
    <row r="8" spans="3:5" x14ac:dyDescent="0.25">
      <c r="C8" s="26" t="s">
        <v>39</v>
      </c>
      <c r="D8" s="28">
        <v>34864.03</v>
      </c>
      <c r="E8" s="29">
        <v>10336.530000000001</v>
      </c>
    </row>
    <row r="9" spans="3:5" x14ac:dyDescent="0.25">
      <c r="C9" s="26" t="s">
        <v>130</v>
      </c>
      <c r="D9" s="28">
        <v>37017.46</v>
      </c>
      <c r="E9" s="29">
        <v>10162.700000000001</v>
      </c>
    </row>
    <row r="31" spans="3:10" x14ac:dyDescent="0.25">
      <c r="C31" s="52" t="s">
        <v>18</v>
      </c>
      <c r="D31" s="52" t="s">
        <v>44</v>
      </c>
      <c r="E31" s="52" t="s">
        <v>37</v>
      </c>
      <c r="F31" s="52" t="s">
        <v>52</v>
      </c>
      <c r="G31" s="52" t="s">
        <v>57</v>
      </c>
      <c r="I31" s="52" t="s">
        <v>18</v>
      </c>
      <c r="J31" s="57">
        <f>SUM(C32:C37)</f>
        <v>110194.89</v>
      </c>
    </row>
    <row r="32" spans="3:10" x14ac:dyDescent="0.25">
      <c r="C32" s="27">
        <v>24079.71</v>
      </c>
      <c r="D32" s="27">
        <v>9625.9699999999993</v>
      </c>
      <c r="E32" s="27">
        <v>22495.010000000002</v>
      </c>
      <c r="F32" s="27">
        <v>26924.320000000003</v>
      </c>
      <c r="G32" s="27">
        <v>3820.0600000000004</v>
      </c>
      <c r="I32" s="52" t="s">
        <v>44</v>
      </c>
      <c r="J32" s="57">
        <f>SUM(D32:D37)</f>
        <v>72352.37</v>
      </c>
    </row>
    <row r="33" spans="3:10" x14ac:dyDescent="0.25">
      <c r="C33" s="27">
        <v>30642.080000000002</v>
      </c>
      <c r="D33" s="27">
        <v>11433.35</v>
      </c>
      <c r="E33" s="27">
        <v>25086.150000000005</v>
      </c>
      <c r="F33" s="27">
        <v>33685.94</v>
      </c>
      <c r="G33" s="27">
        <v>14367.099999999999</v>
      </c>
      <c r="I33" s="52" t="s">
        <v>37</v>
      </c>
      <c r="J33" s="57">
        <f>SUM(E32:E37)</f>
        <v>115027.91</v>
      </c>
    </row>
    <row r="34" spans="3:10" x14ac:dyDescent="0.25">
      <c r="C34" s="27">
        <v>33225.639999999992</v>
      </c>
      <c r="D34" s="27">
        <v>30263.43</v>
      </c>
      <c r="E34" s="27">
        <v>34174.130000000005</v>
      </c>
      <c r="F34" s="27">
        <v>51860.89</v>
      </c>
      <c r="G34" s="27">
        <v>21644.309999999998</v>
      </c>
      <c r="I34" s="52" t="s">
        <v>52</v>
      </c>
      <c r="J34" s="57">
        <f>SUM(F32:F37)</f>
        <v>129897.44</v>
      </c>
    </row>
    <row r="35" spans="3:10" x14ac:dyDescent="0.25">
      <c r="C35" s="27">
        <v>6956.41</v>
      </c>
      <c r="D35" s="27">
        <v>6721.25</v>
      </c>
      <c r="E35" s="27">
        <v>7452.9400000000005</v>
      </c>
      <c r="F35" s="27">
        <v>8364.44</v>
      </c>
      <c r="G35" s="27">
        <v>0</v>
      </c>
      <c r="I35" s="52" t="s">
        <v>57</v>
      </c>
      <c r="J35" s="57">
        <f>SUM(G32:G37)</f>
        <v>47232.01</v>
      </c>
    </row>
    <row r="36" spans="3:10" x14ac:dyDescent="0.25">
      <c r="C36" s="27">
        <v>8480.99</v>
      </c>
      <c r="D36" s="27">
        <v>2134.23</v>
      </c>
      <c r="E36" s="27">
        <v>16927.670000000002</v>
      </c>
      <c r="F36" s="27">
        <v>2088.92</v>
      </c>
      <c r="G36" s="27">
        <v>5232.22</v>
      </c>
      <c r="J36" s="57">
        <f>SUM(J31:J35)</f>
        <v>474704.62000000005</v>
      </c>
    </row>
    <row r="37" spans="3:10" x14ac:dyDescent="0.25">
      <c r="C37" s="27">
        <v>6810.06</v>
      </c>
      <c r="D37" s="27">
        <v>12174.14</v>
      </c>
      <c r="E37" s="27">
        <v>8892.01</v>
      </c>
      <c r="F37" s="27">
        <v>6972.93</v>
      </c>
      <c r="G37" s="27">
        <v>2168.3200000000002</v>
      </c>
    </row>
    <row r="48" spans="3:10" x14ac:dyDescent="0.25">
      <c r="C48" s="23" t="s">
        <v>4</v>
      </c>
      <c r="D48" s="23" t="s">
        <v>1063</v>
      </c>
      <c r="F48" s="56" t="s">
        <v>4</v>
      </c>
      <c r="G48" s="56" t="s">
        <v>1063</v>
      </c>
    </row>
    <row r="49" spans="3:16" x14ac:dyDescent="0.25">
      <c r="C49" s="59" t="s">
        <v>43</v>
      </c>
      <c r="D49" s="60">
        <f>SUMIFS(Table1[Total_Sales],Table1[Product],C49)</f>
        <v>72352.37000000001</v>
      </c>
    </row>
    <row r="50" spans="3:16" x14ac:dyDescent="0.25">
      <c r="C50" s="59" t="s">
        <v>17</v>
      </c>
      <c r="D50" s="60">
        <f>SUMIFS(Table1[Total_Sales],Table1[Product],C50)</f>
        <v>70597.12000000001</v>
      </c>
    </row>
    <row r="51" spans="3:16" x14ac:dyDescent="0.25">
      <c r="C51" s="59" t="s">
        <v>83</v>
      </c>
      <c r="D51" s="60">
        <f>SUMIFS(Table1[Total_Sales],Table1[Product],C51)</f>
        <v>52792.43</v>
      </c>
    </row>
    <row r="52" spans="3:16" x14ac:dyDescent="0.25">
      <c r="C52" s="59" t="s">
        <v>56</v>
      </c>
      <c r="D52" s="60">
        <f>SUMIFS(Table1[Total_Sales],Table1[Product],C52)</f>
        <v>47232.010000000009</v>
      </c>
    </row>
    <row r="53" spans="3:16" x14ac:dyDescent="0.25">
      <c r="C53" s="59" t="s">
        <v>36</v>
      </c>
      <c r="D53" s="60">
        <f>SUMIFS(Table1[Total_Sales],Table1[Product],C53)</f>
        <v>44578.25</v>
      </c>
    </row>
    <row r="54" spans="3:16" x14ac:dyDescent="0.25">
      <c r="C54" s="58" t="s">
        <v>48</v>
      </c>
      <c r="D54" s="57">
        <f>SUMIFS(Table1[Total_Sales],Table1[Product],C54)</f>
        <v>44340.380000000005</v>
      </c>
    </row>
    <row r="55" spans="3:16" x14ac:dyDescent="0.25">
      <c r="C55" s="58" t="s">
        <v>60</v>
      </c>
      <c r="D55" s="57">
        <f>SUMIFS(Table1[Total_Sales],Table1[Product],C55)</f>
        <v>42228.049999999996</v>
      </c>
    </row>
    <row r="56" spans="3:16" x14ac:dyDescent="0.25">
      <c r="C56" s="58" t="s">
        <v>25</v>
      </c>
      <c r="D56" s="57">
        <f>SUMIFS(Table1[Total_Sales],Table1[Product],C56)</f>
        <v>39597.770000000011</v>
      </c>
    </row>
    <row r="57" spans="3:16" x14ac:dyDescent="0.25">
      <c r="C57" s="58" t="s">
        <v>51</v>
      </c>
      <c r="D57" s="57">
        <f>SUMIFS(Table1[Total_Sales],Table1[Product],C57)</f>
        <v>34876.959999999999</v>
      </c>
    </row>
    <row r="58" spans="3:16" x14ac:dyDescent="0.25">
      <c r="C58" s="58" t="s">
        <v>63</v>
      </c>
      <c r="D58" s="57">
        <f>SUMIFS(Table1[Total_Sales],Table1[Product],C58)</f>
        <v>26109.280000000006</v>
      </c>
    </row>
    <row r="63" spans="3:16" x14ac:dyDescent="0.25">
      <c r="C63" s="58"/>
    </row>
    <row r="64" spans="3:16" x14ac:dyDescent="0.25">
      <c r="C64" s="58"/>
      <c r="O64" s="61" t="s">
        <v>1064</v>
      </c>
      <c r="P64" s="61" t="s">
        <v>1060</v>
      </c>
    </row>
    <row r="65" spans="3:16" x14ac:dyDescent="0.25">
      <c r="C65" s="58"/>
      <c r="O65" s="26" t="s">
        <v>21</v>
      </c>
      <c r="P65" s="62">
        <f>AVERAGEIFS(Table13[Profit_Margin],Table13[Region_Code],'Supporting Analysis'!O65)</f>
        <v>0.26854646749217259</v>
      </c>
    </row>
    <row r="66" spans="3:16" x14ac:dyDescent="0.25">
      <c r="C66" s="58"/>
      <c r="O66" s="26" t="s">
        <v>28</v>
      </c>
      <c r="P66" s="62">
        <f>AVERAGEIFS(Table13[Profit_Margin],Table13[Region_Code],'Supporting Analysis'!O66)</f>
        <v>0.27512997100174685</v>
      </c>
    </row>
    <row r="67" spans="3:16" x14ac:dyDescent="0.25">
      <c r="C67" s="58"/>
      <c r="O67" s="26" t="s">
        <v>58</v>
      </c>
      <c r="P67" s="62">
        <f>AVERAGEIFS(Table13[Profit_Margin],Table13[Region_Code],'Supporting Analysis'!O67)</f>
        <v>0.27023591536060088</v>
      </c>
    </row>
    <row r="68" spans="3:16" x14ac:dyDescent="0.25">
      <c r="C68" s="58"/>
      <c r="O68" s="26" t="s">
        <v>87</v>
      </c>
      <c r="P68" s="62">
        <f>AVERAGEIFS(Table13[Profit_Margin],Table13[Region_Code],'Supporting Analysis'!O68)</f>
        <v>0.29066277278231434</v>
      </c>
    </row>
    <row r="69" spans="3:16" x14ac:dyDescent="0.25">
      <c r="C69" s="58"/>
      <c r="O69" s="26" t="s">
        <v>39</v>
      </c>
      <c r="P69" s="62">
        <f>AVERAGEIFS(Table13[Profit_Margin],Table13[Region_Code],'Supporting Analysis'!O69)</f>
        <v>0.27734290368891584</v>
      </c>
    </row>
    <row r="70" spans="3:16" x14ac:dyDescent="0.25">
      <c r="C70" s="58"/>
      <c r="O70" s="26" t="s">
        <v>130</v>
      </c>
      <c r="P70" s="62">
        <f>AVERAGEIFS(Table13[Profit_Margin],Table13[Region_Code],'Supporting Analysis'!O70)</f>
        <v>0.2635977089513406</v>
      </c>
    </row>
    <row r="71" spans="3:16" x14ac:dyDescent="0.25">
      <c r="C71" s="58"/>
    </row>
    <row r="73" spans="3:16" x14ac:dyDescent="0.25">
      <c r="C73" s="58" t="s">
        <v>43</v>
      </c>
      <c r="F73" s="56" t="s">
        <v>1065</v>
      </c>
    </row>
    <row r="74" spans="3:16" x14ac:dyDescent="0.25">
      <c r="C74" s="58" t="s">
        <v>56</v>
      </c>
      <c r="F74" t="s">
        <v>20</v>
      </c>
      <c r="G74">
        <f>COUNTIF(Table1[Order_Priority],'Supporting Analysis'!F74)</f>
        <v>168</v>
      </c>
    </row>
    <row r="75" spans="3:16" x14ac:dyDescent="0.25">
      <c r="C75" s="58" t="s">
        <v>43</v>
      </c>
      <c r="F75" t="s">
        <v>27</v>
      </c>
      <c r="G75">
        <f>COUNTIF(Table1[Order_Priority],'Supporting Analysis'!F75)</f>
        <v>171</v>
      </c>
    </row>
    <row r="76" spans="3:16" x14ac:dyDescent="0.25">
      <c r="C76" s="58" t="s">
        <v>83</v>
      </c>
      <c r="F76" t="s">
        <v>32</v>
      </c>
      <c r="G76">
        <f>COUNTIF(Table1[Order_Priority],'Supporting Analysis'!F76)</f>
        <v>161</v>
      </c>
    </row>
    <row r="77" spans="3:16" x14ac:dyDescent="0.25">
      <c r="C77" s="58" t="s">
        <v>63</v>
      </c>
    </row>
    <row r="78" spans="3:16" x14ac:dyDescent="0.25">
      <c r="C78" s="58" t="s">
        <v>60</v>
      </c>
    </row>
  </sheetData>
  <autoFilter ref="C48:D58">
    <sortState ref="C49:D58">
      <sortCondition descending="1" ref="D48:D58"/>
    </sortState>
  </autoFilter>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501"/>
  <sheetViews>
    <sheetView workbookViewId="0">
      <selection activeCell="F27" sqref="F27"/>
    </sheetView>
  </sheetViews>
  <sheetFormatPr defaultRowHeight="15" x14ac:dyDescent="0.25"/>
  <cols>
    <col min="1" max="1" width="14.7109375" bestFit="1" customWidth="1"/>
    <col min="2" max="2" width="10.7109375" bestFit="1" customWidth="1"/>
    <col min="3" max="3" width="17.28515625" bestFit="1" customWidth="1"/>
    <col min="5" max="5" width="16.140625" bestFit="1" customWidth="1"/>
    <col min="6" max="6" width="11.28515625" bestFit="1" customWidth="1"/>
    <col min="11" max="11" width="8" bestFit="1" customWidth="1"/>
    <col min="12" max="12" width="10.7109375" bestFit="1" customWidth="1"/>
    <col min="13" max="13" width="12.85546875" bestFit="1" customWidth="1"/>
  </cols>
  <sheetData>
    <row r="1" spans="1:14" x14ac:dyDescent="0.25">
      <c r="A1" s="12" t="s">
        <v>0</v>
      </c>
      <c r="B1" s="12" t="s">
        <v>1</v>
      </c>
      <c r="C1" s="12" t="s">
        <v>2</v>
      </c>
      <c r="D1" s="12" t="s">
        <v>3</v>
      </c>
      <c r="E1" s="12" t="s">
        <v>4</v>
      </c>
      <c r="F1" s="12" t="s">
        <v>5</v>
      </c>
      <c r="G1" s="12" t="s">
        <v>6</v>
      </c>
      <c r="H1" s="12" t="s">
        <v>7</v>
      </c>
      <c r="I1" s="12" t="s">
        <v>8</v>
      </c>
      <c r="J1" s="12" t="s">
        <v>9</v>
      </c>
      <c r="K1" s="12" t="s">
        <v>10</v>
      </c>
      <c r="L1" s="12" t="s">
        <v>11</v>
      </c>
      <c r="M1" s="12" t="s">
        <v>12</v>
      </c>
      <c r="N1" s="12" t="s">
        <v>13</v>
      </c>
    </row>
    <row r="2" spans="1:14" x14ac:dyDescent="0.25">
      <c r="A2" t="s">
        <v>14</v>
      </c>
      <c r="B2" t="s">
        <v>1048</v>
      </c>
      <c r="C2" t="s">
        <v>15</v>
      </c>
      <c r="D2" t="s">
        <v>16</v>
      </c>
      <c r="E2" t="s">
        <v>17</v>
      </c>
      <c r="F2" t="s">
        <v>18</v>
      </c>
      <c r="G2">
        <v>20</v>
      </c>
      <c r="H2">
        <v>55.22</v>
      </c>
      <c r="I2">
        <v>1104.4000000000001</v>
      </c>
      <c r="J2">
        <v>49.36</v>
      </c>
      <c r="K2">
        <v>355.04</v>
      </c>
      <c r="L2" t="s">
        <v>19</v>
      </c>
      <c r="M2" t="s">
        <v>20</v>
      </c>
      <c r="N2" t="s">
        <v>21</v>
      </c>
    </row>
    <row r="3" spans="1:14" x14ac:dyDescent="0.25">
      <c r="A3" t="s">
        <v>22</v>
      </c>
      <c r="B3" t="s">
        <v>1047</v>
      </c>
      <c r="C3" t="s">
        <v>23</v>
      </c>
      <c r="D3" t="s">
        <v>24</v>
      </c>
      <c r="E3" t="s">
        <v>25</v>
      </c>
      <c r="F3" t="s">
        <v>18</v>
      </c>
      <c r="G3">
        <v>33</v>
      </c>
      <c r="H3">
        <v>32.03</v>
      </c>
      <c r="I3">
        <v>1056.99</v>
      </c>
      <c r="J3">
        <v>59.59</v>
      </c>
      <c r="K3">
        <v>403.4</v>
      </c>
      <c r="L3" t="s">
        <v>26</v>
      </c>
      <c r="M3" t="s">
        <v>27</v>
      </c>
      <c r="N3" t="s">
        <v>28</v>
      </c>
    </row>
    <row r="4" spans="1:14" x14ac:dyDescent="0.25">
      <c r="A4" t="s">
        <v>29</v>
      </c>
      <c r="B4" t="s">
        <v>866</v>
      </c>
      <c r="C4" t="s">
        <v>30</v>
      </c>
      <c r="D4" t="s">
        <v>31</v>
      </c>
      <c r="E4" t="s">
        <v>25</v>
      </c>
      <c r="F4" t="s">
        <v>18</v>
      </c>
      <c r="G4">
        <v>34</v>
      </c>
      <c r="H4">
        <v>28.48</v>
      </c>
      <c r="I4">
        <v>968.32</v>
      </c>
      <c r="J4">
        <v>73.95</v>
      </c>
      <c r="K4">
        <v>282.37</v>
      </c>
      <c r="L4" t="s">
        <v>19</v>
      </c>
      <c r="M4" t="s">
        <v>32</v>
      </c>
      <c r="N4" t="s">
        <v>28</v>
      </c>
    </row>
    <row r="5" spans="1:14" x14ac:dyDescent="0.25">
      <c r="A5" t="s">
        <v>33</v>
      </c>
      <c r="B5" t="s">
        <v>941</v>
      </c>
      <c r="C5" t="s">
        <v>34</v>
      </c>
      <c r="D5" t="s">
        <v>35</v>
      </c>
      <c r="E5" t="s">
        <v>36</v>
      </c>
      <c r="F5" t="s">
        <v>37</v>
      </c>
      <c r="G5">
        <v>6</v>
      </c>
      <c r="H5">
        <v>56.36</v>
      </c>
      <c r="I5">
        <v>338.16</v>
      </c>
      <c r="J5">
        <v>11.39</v>
      </c>
      <c r="K5">
        <v>134.77000000000001</v>
      </c>
      <c r="L5" t="s">
        <v>38</v>
      </c>
      <c r="M5" t="s">
        <v>27</v>
      </c>
      <c r="N5" t="s">
        <v>39</v>
      </c>
    </row>
    <row r="6" spans="1:14" x14ac:dyDescent="0.25">
      <c r="A6" t="s">
        <v>40</v>
      </c>
      <c r="B6" t="s">
        <v>1046</v>
      </c>
      <c r="C6" t="s">
        <v>41</v>
      </c>
      <c r="D6" t="s">
        <v>42</v>
      </c>
      <c r="E6" t="s">
        <v>43</v>
      </c>
      <c r="F6" t="s">
        <v>44</v>
      </c>
      <c r="G6">
        <v>17</v>
      </c>
      <c r="H6">
        <v>69.22</v>
      </c>
      <c r="I6">
        <v>1176.74</v>
      </c>
      <c r="J6">
        <v>65.94</v>
      </c>
      <c r="K6">
        <v>430.8</v>
      </c>
      <c r="L6" t="s">
        <v>26</v>
      </c>
      <c r="M6" t="s">
        <v>20</v>
      </c>
      <c r="N6" t="s">
        <v>21</v>
      </c>
    </row>
    <row r="7" spans="1:14" x14ac:dyDescent="0.25">
      <c r="A7" t="s">
        <v>45</v>
      </c>
      <c r="B7" t="s">
        <v>1045</v>
      </c>
      <c r="C7" t="s">
        <v>46</v>
      </c>
      <c r="D7" t="s">
        <v>47</v>
      </c>
      <c r="E7" t="s">
        <v>48</v>
      </c>
      <c r="F7" t="s">
        <v>37</v>
      </c>
      <c r="G7">
        <v>13</v>
      </c>
      <c r="H7">
        <v>27.94</v>
      </c>
      <c r="I7">
        <v>363.22</v>
      </c>
      <c r="J7">
        <v>15.36</v>
      </c>
      <c r="K7">
        <v>87.86</v>
      </c>
      <c r="L7" t="s">
        <v>26</v>
      </c>
      <c r="M7" t="s">
        <v>20</v>
      </c>
      <c r="N7" t="s">
        <v>21</v>
      </c>
    </row>
    <row r="8" spans="1:14" x14ac:dyDescent="0.25">
      <c r="A8" t="s">
        <v>49</v>
      </c>
      <c r="B8" t="s">
        <v>1044</v>
      </c>
      <c r="C8" t="s">
        <v>50</v>
      </c>
      <c r="D8" t="s">
        <v>24</v>
      </c>
      <c r="E8" t="s">
        <v>51</v>
      </c>
      <c r="F8" t="s">
        <v>52</v>
      </c>
      <c r="G8">
        <v>3</v>
      </c>
      <c r="H8">
        <v>31.52</v>
      </c>
      <c r="I8">
        <v>94.56</v>
      </c>
      <c r="J8">
        <v>6.98</v>
      </c>
      <c r="K8">
        <v>20.079999999999998</v>
      </c>
      <c r="L8" t="s">
        <v>19</v>
      </c>
      <c r="M8" t="s">
        <v>32</v>
      </c>
      <c r="N8" t="s">
        <v>28</v>
      </c>
    </row>
    <row r="9" spans="1:14" x14ac:dyDescent="0.25">
      <c r="A9" t="s">
        <v>53</v>
      </c>
      <c r="B9" t="s">
        <v>931</v>
      </c>
      <c r="C9" t="s">
        <v>54</v>
      </c>
      <c r="D9" t="s">
        <v>55</v>
      </c>
      <c r="E9" t="s">
        <v>56</v>
      </c>
      <c r="F9" t="s">
        <v>57</v>
      </c>
      <c r="G9">
        <v>14</v>
      </c>
      <c r="H9">
        <v>30.71</v>
      </c>
      <c r="I9">
        <v>429.94</v>
      </c>
      <c r="J9">
        <v>13.03</v>
      </c>
      <c r="K9">
        <v>66.91</v>
      </c>
      <c r="L9" t="s">
        <v>26</v>
      </c>
      <c r="M9" t="s">
        <v>20</v>
      </c>
      <c r="N9" t="s">
        <v>58</v>
      </c>
    </row>
    <row r="10" spans="1:14" x14ac:dyDescent="0.25">
      <c r="A10" t="s">
        <v>59</v>
      </c>
      <c r="B10" t="s">
        <v>1043</v>
      </c>
      <c r="C10" t="s">
        <v>30</v>
      </c>
      <c r="D10" t="s">
        <v>16</v>
      </c>
      <c r="E10" t="s">
        <v>60</v>
      </c>
      <c r="F10" t="s">
        <v>52</v>
      </c>
      <c r="G10">
        <v>47</v>
      </c>
      <c r="H10">
        <v>24.47</v>
      </c>
      <c r="I10">
        <v>1150.0899999999999</v>
      </c>
      <c r="J10">
        <v>61.3</v>
      </c>
      <c r="K10">
        <v>360.29</v>
      </c>
      <c r="L10" t="s">
        <v>26</v>
      </c>
      <c r="M10" t="s">
        <v>20</v>
      </c>
      <c r="N10" t="s">
        <v>21</v>
      </c>
    </row>
    <row r="11" spans="1:14" x14ac:dyDescent="0.25">
      <c r="A11" t="s">
        <v>61</v>
      </c>
      <c r="B11" t="s">
        <v>1030</v>
      </c>
      <c r="C11" t="s">
        <v>62</v>
      </c>
      <c r="D11" t="s">
        <v>31</v>
      </c>
      <c r="E11" t="s">
        <v>63</v>
      </c>
      <c r="F11" t="s">
        <v>37</v>
      </c>
      <c r="G11">
        <v>27</v>
      </c>
      <c r="H11">
        <v>18.98</v>
      </c>
      <c r="I11">
        <v>512.46</v>
      </c>
      <c r="J11">
        <v>28.89</v>
      </c>
      <c r="K11">
        <v>139.32</v>
      </c>
      <c r="L11" t="s">
        <v>26</v>
      </c>
      <c r="M11" t="s">
        <v>32</v>
      </c>
      <c r="N11" t="s">
        <v>28</v>
      </c>
    </row>
    <row r="12" spans="1:14" x14ac:dyDescent="0.25">
      <c r="A12" t="s">
        <v>64</v>
      </c>
      <c r="B12" t="s">
        <v>987</v>
      </c>
      <c r="C12" t="s">
        <v>65</v>
      </c>
      <c r="D12" t="s">
        <v>55</v>
      </c>
      <c r="E12" t="s">
        <v>17</v>
      </c>
      <c r="F12" t="s">
        <v>18</v>
      </c>
      <c r="G12">
        <v>32</v>
      </c>
      <c r="H12">
        <v>57.84</v>
      </c>
      <c r="I12">
        <v>1850.88</v>
      </c>
      <c r="J12">
        <v>55.15</v>
      </c>
      <c r="K12">
        <v>675.73</v>
      </c>
      <c r="L12" t="s">
        <v>19</v>
      </c>
      <c r="M12" t="s">
        <v>20</v>
      </c>
      <c r="N12" t="s">
        <v>58</v>
      </c>
    </row>
    <row r="13" spans="1:14" x14ac:dyDescent="0.25">
      <c r="A13" t="s">
        <v>66</v>
      </c>
      <c r="B13" t="s">
        <v>1042</v>
      </c>
      <c r="C13" t="s">
        <v>67</v>
      </c>
      <c r="D13" t="s">
        <v>42</v>
      </c>
      <c r="E13" t="s">
        <v>43</v>
      </c>
      <c r="F13" t="s">
        <v>44</v>
      </c>
      <c r="G13">
        <v>49</v>
      </c>
      <c r="H13">
        <v>58.77</v>
      </c>
      <c r="I13">
        <v>2879.73</v>
      </c>
      <c r="J13">
        <v>140.29</v>
      </c>
      <c r="K13">
        <v>779.44</v>
      </c>
      <c r="L13" t="s">
        <v>38</v>
      </c>
      <c r="M13" t="s">
        <v>32</v>
      </c>
      <c r="N13" t="s">
        <v>21</v>
      </c>
    </row>
    <row r="14" spans="1:14" x14ac:dyDescent="0.25">
      <c r="A14" t="s">
        <v>68</v>
      </c>
      <c r="B14" t="s">
        <v>1003</v>
      </c>
      <c r="C14" t="s">
        <v>65</v>
      </c>
      <c r="D14" t="s">
        <v>69</v>
      </c>
      <c r="E14" t="s">
        <v>17</v>
      </c>
      <c r="F14" t="s">
        <v>18</v>
      </c>
      <c r="G14">
        <v>43</v>
      </c>
      <c r="H14">
        <v>56.92</v>
      </c>
      <c r="I14">
        <v>2447.56</v>
      </c>
      <c r="J14">
        <v>140.4</v>
      </c>
      <c r="K14">
        <v>802.16</v>
      </c>
      <c r="L14" t="s">
        <v>19</v>
      </c>
      <c r="M14" t="s">
        <v>27</v>
      </c>
      <c r="N14" t="s">
        <v>58</v>
      </c>
    </row>
    <row r="15" spans="1:14" x14ac:dyDescent="0.25">
      <c r="A15" t="s">
        <v>70</v>
      </c>
      <c r="B15" t="s">
        <v>803</v>
      </c>
      <c r="C15" t="s">
        <v>71</v>
      </c>
      <c r="D15" t="s">
        <v>31</v>
      </c>
      <c r="E15" t="s">
        <v>56</v>
      </c>
      <c r="F15" t="s">
        <v>57</v>
      </c>
      <c r="G15">
        <v>32</v>
      </c>
      <c r="H15">
        <v>43.45</v>
      </c>
      <c r="I15">
        <v>1390.4</v>
      </c>
      <c r="J15">
        <v>30.04</v>
      </c>
      <c r="K15">
        <v>560.36</v>
      </c>
      <c r="L15" t="s">
        <v>19</v>
      </c>
      <c r="M15" t="s">
        <v>32</v>
      </c>
      <c r="N15" t="s">
        <v>28</v>
      </c>
    </row>
    <row r="16" spans="1:14" x14ac:dyDescent="0.25">
      <c r="A16" t="s">
        <v>72</v>
      </c>
      <c r="B16" t="s">
        <v>982</v>
      </c>
      <c r="C16" t="s">
        <v>73</v>
      </c>
      <c r="D16" t="s">
        <v>74</v>
      </c>
      <c r="E16" t="s">
        <v>56</v>
      </c>
      <c r="F16" t="s">
        <v>57</v>
      </c>
      <c r="G16">
        <v>22</v>
      </c>
      <c r="H16">
        <v>42.59</v>
      </c>
      <c r="I16">
        <v>936.98</v>
      </c>
      <c r="J16">
        <v>29.87</v>
      </c>
      <c r="K16">
        <v>357.11</v>
      </c>
      <c r="L16" t="s">
        <v>26</v>
      </c>
      <c r="M16" t="s">
        <v>32</v>
      </c>
      <c r="N16" t="s">
        <v>58</v>
      </c>
    </row>
    <row r="17" spans="1:14" x14ac:dyDescent="0.25">
      <c r="A17" t="s">
        <v>75</v>
      </c>
      <c r="B17" t="s">
        <v>1041</v>
      </c>
      <c r="C17" t="s">
        <v>76</v>
      </c>
      <c r="D17" t="s">
        <v>77</v>
      </c>
      <c r="E17" t="s">
        <v>48</v>
      </c>
      <c r="F17" t="s">
        <v>37</v>
      </c>
      <c r="G17">
        <v>48</v>
      </c>
      <c r="H17">
        <v>25.36</v>
      </c>
      <c r="I17">
        <v>1217.28</v>
      </c>
      <c r="J17">
        <v>49.68</v>
      </c>
      <c r="K17">
        <v>207.6</v>
      </c>
      <c r="L17" t="s">
        <v>26</v>
      </c>
      <c r="M17" t="s">
        <v>20</v>
      </c>
      <c r="N17" t="s">
        <v>58</v>
      </c>
    </row>
    <row r="18" spans="1:14" x14ac:dyDescent="0.25">
      <c r="A18" t="s">
        <v>78</v>
      </c>
      <c r="B18" t="s">
        <v>838</v>
      </c>
      <c r="C18" t="s">
        <v>65</v>
      </c>
      <c r="D18" t="s">
        <v>74</v>
      </c>
      <c r="E18" t="s">
        <v>25</v>
      </c>
      <c r="F18" t="s">
        <v>18</v>
      </c>
      <c r="G18">
        <v>48</v>
      </c>
      <c r="H18">
        <v>30.07</v>
      </c>
      <c r="I18">
        <v>1443.36</v>
      </c>
      <c r="J18">
        <v>102.31</v>
      </c>
      <c r="K18">
        <v>477.05</v>
      </c>
      <c r="L18" t="s">
        <v>38</v>
      </c>
      <c r="M18" t="s">
        <v>20</v>
      </c>
      <c r="N18" t="s">
        <v>58</v>
      </c>
    </row>
    <row r="19" spans="1:14" x14ac:dyDescent="0.25">
      <c r="A19" t="s">
        <v>79</v>
      </c>
      <c r="B19" t="s">
        <v>847</v>
      </c>
      <c r="C19" t="s">
        <v>46</v>
      </c>
      <c r="D19" t="s">
        <v>74</v>
      </c>
      <c r="E19" t="s">
        <v>48</v>
      </c>
      <c r="F19" t="s">
        <v>37</v>
      </c>
      <c r="G19">
        <v>6</v>
      </c>
      <c r="H19">
        <v>32.17</v>
      </c>
      <c r="I19">
        <v>193.02</v>
      </c>
      <c r="J19">
        <v>14.45</v>
      </c>
      <c r="K19">
        <v>58.57</v>
      </c>
      <c r="L19" t="s">
        <v>38</v>
      </c>
      <c r="M19" t="s">
        <v>20</v>
      </c>
      <c r="N19" t="s">
        <v>58</v>
      </c>
    </row>
    <row r="20" spans="1:14" x14ac:dyDescent="0.25">
      <c r="A20" t="s">
        <v>80</v>
      </c>
      <c r="B20" t="s">
        <v>805</v>
      </c>
      <c r="C20" t="s">
        <v>81</v>
      </c>
      <c r="D20" t="s">
        <v>69</v>
      </c>
      <c r="E20" t="s">
        <v>25</v>
      </c>
      <c r="F20" t="s">
        <v>18</v>
      </c>
      <c r="G20">
        <v>37</v>
      </c>
      <c r="H20">
        <v>24.14</v>
      </c>
      <c r="I20">
        <v>893.18</v>
      </c>
      <c r="J20">
        <v>31.39</v>
      </c>
      <c r="K20">
        <v>195.79</v>
      </c>
      <c r="L20" t="s">
        <v>26</v>
      </c>
      <c r="M20" t="s">
        <v>27</v>
      </c>
      <c r="N20" t="s">
        <v>58</v>
      </c>
    </row>
    <row r="21" spans="1:14" x14ac:dyDescent="0.25">
      <c r="A21" t="s">
        <v>82</v>
      </c>
      <c r="B21" t="s">
        <v>1040</v>
      </c>
      <c r="C21" t="s">
        <v>41</v>
      </c>
      <c r="D21" t="s">
        <v>24</v>
      </c>
      <c r="E21" t="s">
        <v>83</v>
      </c>
      <c r="F21" t="s">
        <v>52</v>
      </c>
      <c r="G21">
        <v>39</v>
      </c>
      <c r="H21">
        <v>37.840000000000003</v>
      </c>
      <c r="I21">
        <v>1475.76</v>
      </c>
      <c r="J21">
        <v>73.400000000000006</v>
      </c>
      <c r="K21">
        <v>310.36</v>
      </c>
      <c r="L21" t="s">
        <v>26</v>
      </c>
      <c r="M21" t="s">
        <v>32</v>
      </c>
      <c r="N21" t="s">
        <v>28</v>
      </c>
    </row>
    <row r="22" spans="1:14" x14ac:dyDescent="0.25">
      <c r="A22" t="s">
        <v>84</v>
      </c>
      <c r="B22" t="s">
        <v>860</v>
      </c>
      <c r="C22" t="s">
        <v>85</v>
      </c>
      <c r="D22" t="s">
        <v>86</v>
      </c>
      <c r="E22" t="s">
        <v>43</v>
      </c>
      <c r="F22" t="s">
        <v>44</v>
      </c>
      <c r="G22">
        <v>6</v>
      </c>
      <c r="H22">
        <v>68.77</v>
      </c>
      <c r="I22">
        <v>412.62</v>
      </c>
      <c r="J22">
        <v>17.18</v>
      </c>
      <c r="K22">
        <v>155.44</v>
      </c>
      <c r="L22" t="s">
        <v>26</v>
      </c>
      <c r="M22" t="s">
        <v>20</v>
      </c>
      <c r="N22" t="s">
        <v>87</v>
      </c>
    </row>
    <row r="23" spans="1:14" x14ac:dyDescent="0.25">
      <c r="A23" t="s">
        <v>88</v>
      </c>
      <c r="B23" t="s">
        <v>1039</v>
      </c>
      <c r="C23" t="s">
        <v>89</v>
      </c>
      <c r="D23" t="s">
        <v>42</v>
      </c>
      <c r="E23" t="s">
        <v>63</v>
      </c>
      <c r="F23" t="s">
        <v>37</v>
      </c>
      <c r="G23">
        <v>6</v>
      </c>
      <c r="H23">
        <v>18.5</v>
      </c>
      <c r="I23">
        <v>111</v>
      </c>
      <c r="J23">
        <v>5.26</v>
      </c>
      <c r="K23">
        <v>29.24</v>
      </c>
      <c r="L23" t="s">
        <v>38</v>
      </c>
      <c r="M23" t="s">
        <v>27</v>
      </c>
      <c r="N23" t="s">
        <v>21</v>
      </c>
    </row>
    <row r="24" spans="1:14" x14ac:dyDescent="0.25">
      <c r="A24" t="s">
        <v>90</v>
      </c>
      <c r="B24" t="s">
        <v>992</v>
      </c>
      <c r="C24" t="s">
        <v>91</v>
      </c>
      <c r="D24" t="s">
        <v>31</v>
      </c>
      <c r="E24" t="s">
        <v>51</v>
      </c>
      <c r="F24" t="s">
        <v>52</v>
      </c>
      <c r="G24">
        <v>33</v>
      </c>
      <c r="H24">
        <v>28.96</v>
      </c>
      <c r="I24">
        <v>955.68</v>
      </c>
      <c r="J24">
        <v>49.07</v>
      </c>
      <c r="K24">
        <v>164.11</v>
      </c>
      <c r="L24" t="s">
        <v>26</v>
      </c>
      <c r="M24" t="s">
        <v>20</v>
      </c>
      <c r="N24" t="s">
        <v>28</v>
      </c>
    </row>
    <row r="25" spans="1:14" x14ac:dyDescent="0.25">
      <c r="A25" t="s">
        <v>92</v>
      </c>
      <c r="B25" t="s">
        <v>1038</v>
      </c>
      <c r="C25" t="s">
        <v>93</v>
      </c>
      <c r="D25" t="s">
        <v>42</v>
      </c>
      <c r="E25" t="s">
        <v>51</v>
      </c>
      <c r="F25" t="s">
        <v>52</v>
      </c>
      <c r="G25">
        <v>31</v>
      </c>
      <c r="H25">
        <v>35.020000000000003</v>
      </c>
      <c r="I25">
        <v>1085.6199999999999</v>
      </c>
      <c r="J25">
        <v>74.650000000000006</v>
      </c>
      <c r="K25">
        <v>313.47000000000003</v>
      </c>
      <c r="L25" t="s">
        <v>38</v>
      </c>
      <c r="M25" t="s">
        <v>20</v>
      </c>
      <c r="N25" t="s">
        <v>21</v>
      </c>
    </row>
    <row r="26" spans="1:14" x14ac:dyDescent="0.25">
      <c r="A26" t="s">
        <v>94</v>
      </c>
      <c r="B26" t="s">
        <v>742</v>
      </c>
      <c r="C26" t="s">
        <v>95</v>
      </c>
      <c r="D26" t="s">
        <v>42</v>
      </c>
      <c r="E26" t="s">
        <v>48</v>
      </c>
      <c r="F26" t="s">
        <v>37</v>
      </c>
      <c r="G26">
        <v>25</v>
      </c>
      <c r="H26">
        <v>31.57</v>
      </c>
      <c r="I26">
        <v>789.25</v>
      </c>
      <c r="J26">
        <v>56.47</v>
      </c>
      <c r="K26">
        <v>232.78</v>
      </c>
      <c r="L26" t="s">
        <v>26</v>
      </c>
      <c r="M26" t="s">
        <v>27</v>
      </c>
      <c r="N26" t="s">
        <v>21</v>
      </c>
    </row>
    <row r="27" spans="1:14" x14ac:dyDescent="0.25">
      <c r="A27" t="s">
        <v>96</v>
      </c>
      <c r="B27" t="s">
        <v>862</v>
      </c>
      <c r="C27" t="s">
        <v>97</v>
      </c>
      <c r="D27" t="s">
        <v>31</v>
      </c>
      <c r="E27" t="s">
        <v>60</v>
      </c>
      <c r="F27" t="s">
        <v>52</v>
      </c>
      <c r="G27">
        <v>14</v>
      </c>
      <c r="H27">
        <v>27.08</v>
      </c>
      <c r="I27">
        <v>379.12</v>
      </c>
      <c r="J27">
        <v>11.12</v>
      </c>
      <c r="K27">
        <v>151</v>
      </c>
      <c r="L27" t="s">
        <v>26</v>
      </c>
      <c r="M27" t="s">
        <v>32</v>
      </c>
      <c r="N27" t="s">
        <v>28</v>
      </c>
    </row>
    <row r="28" spans="1:14" x14ac:dyDescent="0.25">
      <c r="A28" t="s">
        <v>98</v>
      </c>
      <c r="B28" t="s">
        <v>1010</v>
      </c>
      <c r="C28" t="s">
        <v>34</v>
      </c>
      <c r="D28" t="s">
        <v>31</v>
      </c>
      <c r="E28" t="s">
        <v>83</v>
      </c>
      <c r="F28" t="s">
        <v>52</v>
      </c>
      <c r="G28">
        <v>39</v>
      </c>
      <c r="H28">
        <v>35.32</v>
      </c>
      <c r="I28">
        <v>1377.48</v>
      </c>
      <c r="J28">
        <v>63.72</v>
      </c>
      <c r="K28">
        <v>221.76</v>
      </c>
      <c r="L28" t="s">
        <v>26</v>
      </c>
      <c r="M28" t="s">
        <v>27</v>
      </c>
      <c r="N28" t="s">
        <v>28</v>
      </c>
    </row>
    <row r="29" spans="1:14" x14ac:dyDescent="0.25">
      <c r="A29" t="s">
        <v>99</v>
      </c>
      <c r="B29" t="s">
        <v>1037</v>
      </c>
      <c r="C29" t="s">
        <v>100</v>
      </c>
      <c r="D29" t="s">
        <v>55</v>
      </c>
      <c r="E29" t="s">
        <v>51</v>
      </c>
      <c r="F29" t="s">
        <v>52</v>
      </c>
      <c r="G29">
        <v>6</v>
      </c>
      <c r="H29">
        <v>39.630000000000003</v>
      </c>
      <c r="I29">
        <v>237.78</v>
      </c>
      <c r="J29">
        <v>8.08</v>
      </c>
      <c r="K29">
        <v>94.7</v>
      </c>
      <c r="L29" t="s">
        <v>19</v>
      </c>
      <c r="M29" t="s">
        <v>32</v>
      </c>
      <c r="N29" t="s">
        <v>58</v>
      </c>
    </row>
    <row r="30" spans="1:14" x14ac:dyDescent="0.25">
      <c r="A30" t="s">
        <v>101</v>
      </c>
      <c r="B30" t="s">
        <v>901</v>
      </c>
      <c r="C30" t="s">
        <v>102</v>
      </c>
      <c r="D30" t="s">
        <v>86</v>
      </c>
      <c r="E30" t="s">
        <v>43</v>
      </c>
      <c r="F30" t="s">
        <v>44</v>
      </c>
      <c r="G30">
        <v>36</v>
      </c>
      <c r="H30">
        <v>68.400000000000006</v>
      </c>
      <c r="I30">
        <v>2462.4</v>
      </c>
      <c r="J30">
        <v>150.83000000000001</v>
      </c>
      <c r="K30">
        <v>871.57</v>
      </c>
      <c r="L30" t="s">
        <v>26</v>
      </c>
      <c r="M30" t="s">
        <v>20</v>
      </c>
      <c r="N30" t="s">
        <v>87</v>
      </c>
    </row>
    <row r="31" spans="1:14" x14ac:dyDescent="0.25">
      <c r="A31" t="s">
        <v>103</v>
      </c>
      <c r="B31" t="s">
        <v>1036</v>
      </c>
      <c r="C31" t="s">
        <v>76</v>
      </c>
      <c r="D31" t="s">
        <v>31</v>
      </c>
      <c r="E31" t="s">
        <v>56</v>
      </c>
      <c r="F31" t="s">
        <v>57</v>
      </c>
      <c r="G31">
        <v>1</v>
      </c>
      <c r="H31">
        <v>44.98</v>
      </c>
      <c r="I31">
        <v>44.98</v>
      </c>
      <c r="J31">
        <v>2.81</v>
      </c>
      <c r="K31">
        <v>17.170000000000002</v>
      </c>
      <c r="L31" t="s">
        <v>26</v>
      </c>
      <c r="M31" t="s">
        <v>27</v>
      </c>
      <c r="N31" t="s">
        <v>28</v>
      </c>
    </row>
    <row r="32" spans="1:14" x14ac:dyDescent="0.25">
      <c r="A32" t="s">
        <v>104</v>
      </c>
      <c r="B32" t="s">
        <v>812</v>
      </c>
      <c r="C32" t="s">
        <v>105</v>
      </c>
      <c r="D32" t="s">
        <v>106</v>
      </c>
      <c r="E32" t="s">
        <v>83</v>
      </c>
      <c r="F32" t="s">
        <v>52</v>
      </c>
      <c r="G32">
        <v>3</v>
      </c>
      <c r="H32">
        <v>37.74</v>
      </c>
      <c r="I32">
        <v>113.22</v>
      </c>
      <c r="J32">
        <v>4.04</v>
      </c>
      <c r="K32">
        <v>25.18</v>
      </c>
      <c r="L32" t="s">
        <v>26</v>
      </c>
      <c r="M32" t="s">
        <v>27</v>
      </c>
      <c r="N32" t="s">
        <v>28</v>
      </c>
    </row>
    <row r="33" spans="1:14" x14ac:dyDescent="0.25">
      <c r="A33" t="s">
        <v>107</v>
      </c>
      <c r="B33" t="s">
        <v>929</v>
      </c>
      <c r="C33" t="s">
        <v>108</v>
      </c>
      <c r="D33" t="s">
        <v>106</v>
      </c>
      <c r="E33" t="s">
        <v>56</v>
      </c>
      <c r="F33" t="s">
        <v>57</v>
      </c>
      <c r="G33">
        <v>12</v>
      </c>
      <c r="H33">
        <v>39.799999999999997</v>
      </c>
      <c r="I33">
        <v>477.6</v>
      </c>
      <c r="J33">
        <v>20.54</v>
      </c>
      <c r="K33">
        <v>157.06</v>
      </c>
      <c r="L33" t="s">
        <v>38</v>
      </c>
      <c r="M33" t="s">
        <v>27</v>
      </c>
      <c r="N33" t="s">
        <v>28</v>
      </c>
    </row>
    <row r="34" spans="1:14" x14ac:dyDescent="0.25">
      <c r="A34" t="s">
        <v>109</v>
      </c>
      <c r="B34" t="s">
        <v>1035</v>
      </c>
      <c r="C34" t="s">
        <v>110</v>
      </c>
      <c r="D34" t="s">
        <v>55</v>
      </c>
      <c r="E34" t="s">
        <v>36</v>
      </c>
      <c r="F34" t="s">
        <v>37</v>
      </c>
      <c r="G34">
        <v>26</v>
      </c>
      <c r="H34">
        <v>43.23</v>
      </c>
      <c r="I34">
        <v>1123.98</v>
      </c>
      <c r="J34">
        <v>57.2</v>
      </c>
      <c r="K34">
        <v>234.78</v>
      </c>
      <c r="L34" t="s">
        <v>26</v>
      </c>
      <c r="M34" t="s">
        <v>32</v>
      </c>
      <c r="N34" t="s">
        <v>58</v>
      </c>
    </row>
    <row r="35" spans="1:14" x14ac:dyDescent="0.25">
      <c r="A35" t="s">
        <v>111</v>
      </c>
      <c r="B35" t="s">
        <v>864</v>
      </c>
      <c r="C35" t="s">
        <v>34</v>
      </c>
      <c r="D35" t="s">
        <v>31</v>
      </c>
      <c r="E35" t="s">
        <v>43</v>
      </c>
      <c r="F35" t="s">
        <v>44</v>
      </c>
      <c r="G35">
        <v>17</v>
      </c>
      <c r="H35">
        <v>66.34</v>
      </c>
      <c r="I35">
        <v>1127.78</v>
      </c>
      <c r="J35">
        <v>81.150000000000006</v>
      </c>
      <c r="K35">
        <v>366.63</v>
      </c>
      <c r="L35" t="s">
        <v>26</v>
      </c>
      <c r="M35" t="s">
        <v>32</v>
      </c>
      <c r="N35" t="s">
        <v>28</v>
      </c>
    </row>
    <row r="36" spans="1:14" x14ac:dyDescent="0.25">
      <c r="A36" t="s">
        <v>112</v>
      </c>
      <c r="B36" t="s">
        <v>1034</v>
      </c>
      <c r="C36" t="s">
        <v>113</v>
      </c>
      <c r="D36" t="s">
        <v>69</v>
      </c>
      <c r="E36" t="s">
        <v>56</v>
      </c>
      <c r="F36" t="s">
        <v>57</v>
      </c>
      <c r="G36">
        <v>4</v>
      </c>
      <c r="H36">
        <v>33.869999999999997</v>
      </c>
      <c r="I36">
        <v>135.47999999999999</v>
      </c>
      <c r="J36">
        <v>6.59</v>
      </c>
      <c r="K36">
        <v>28.89</v>
      </c>
      <c r="L36" t="s">
        <v>19</v>
      </c>
      <c r="M36" t="s">
        <v>32</v>
      </c>
      <c r="N36" t="s">
        <v>58</v>
      </c>
    </row>
    <row r="37" spans="1:14" x14ac:dyDescent="0.25">
      <c r="A37" t="s">
        <v>114</v>
      </c>
      <c r="B37" t="s">
        <v>1033</v>
      </c>
      <c r="C37" t="s">
        <v>115</v>
      </c>
      <c r="D37" t="s">
        <v>31</v>
      </c>
      <c r="E37" t="s">
        <v>43</v>
      </c>
      <c r="F37" t="s">
        <v>44</v>
      </c>
      <c r="G37">
        <v>10</v>
      </c>
      <c r="H37">
        <v>64.650000000000006</v>
      </c>
      <c r="I37">
        <v>646.5</v>
      </c>
      <c r="J37">
        <v>17.89</v>
      </c>
      <c r="K37">
        <v>228.61</v>
      </c>
      <c r="L37" t="s">
        <v>38</v>
      </c>
      <c r="M37" t="s">
        <v>20</v>
      </c>
      <c r="N37" t="s">
        <v>28</v>
      </c>
    </row>
    <row r="38" spans="1:14" x14ac:dyDescent="0.25">
      <c r="A38" t="s">
        <v>116</v>
      </c>
      <c r="B38" t="s">
        <v>763</v>
      </c>
      <c r="C38" t="s">
        <v>117</v>
      </c>
      <c r="D38" t="s">
        <v>86</v>
      </c>
      <c r="E38" t="s">
        <v>51</v>
      </c>
      <c r="F38" t="s">
        <v>52</v>
      </c>
      <c r="G38">
        <v>12</v>
      </c>
      <c r="H38">
        <v>29.56</v>
      </c>
      <c r="I38">
        <v>354.72</v>
      </c>
      <c r="J38">
        <v>21.4</v>
      </c>
      <c r="K38">
        <v>63.32</v>
      </c>
      <c r="L38" t="s">
        <v>26</v>
      </c>
      <c r="M38" t="s">
        <v>20</v>
      </c>
      <c r="N38" t="s">
        <v>87</v>
      </c>
    </row>
    <row r="39" spans="1:14" x14ac:dyDescent="0.25">
      <c r="A39" t="s">
        <v>118</v>
      </c>
      <c r="B39" t="s">
        <v>1032</v>
      </c>
      <c r="C39" t="s">
        <v>119</v>
      </c>
      <c r="D39" t="s">
        <v>16</v>
      </c>
      <c r="E39" t="s">
        <v>56</v>
      </c>
      <c r="F39" t="s">
        <v>57</v>
      </c>
      <c r="G39">
        <v>4</v>
      </c>
      <c r="H39">
        <v>35.36</v>
      </c>
      <c r="I39">
        <v>141.44</v>
      </c>
      <c r="J39">
        <v>8.66</v>
      </c>
      <c r="K39">
        <v>32.78</v>
      </c>
      <c r="L39" t="s">
        <v>38</v>
      </c>
      <c r="M39" t="s">
        <v>27</v>
      </c>
      <c r="N39" t="s">
        <v>21</v>
      </c>
    </row>
    <row r="40" spans="1:14" x14ac:dyDescent="0.25">
      <c r="A40" t="s">
        <v>120</v>
      </c>
      <c r="B40" t="s">
        <v>1031</v>
      </c>
      <c r="C40" t="s">
        <v>121</v>
      </c>
      <c r="D40" t="s">
        <v>31</v>
      </c>
      <c r="E40" t="s">
        <v>48</v>
      </c>
      <c r="F40" t="s">
        <v>37</v>
      </c>
      <c r="G40">
        <v>28</v>
      </c>
      <c r="H40">
        <v>31.42</v>
      </c>
      <c r="I40">
        <v>879.76</v>
      </c>
      <c r="J40">
        <v>69.319999999999993</v>
      </c>
      <c r="K40">
        <v>250.44</v>
      </c>
      <c r="L40" t="s">
        <v>19</v>
      </c>
      <c r="M40" t="s">
        <v>32</v>
      </c>
      <c r="N40" t="s">
        <v>28</v>
      </c>
    </row>
    <row r="41" spans="1:14" x14ac:dyDescent="0.25">
      <c r="A41" t="s">
        <v>122</v>
      </c>
      <c r="B41" t="s">
        <v>857</v>
      </c>
      <c r="C41" t="s">
        <v>123</v>
      </c>
      <c r="D41" t="s">
        <v>16</v>
      </c>
      <c r="E41" t="s">
        <v>17</v>
      </c>
      <c r="F41" t="s">
        <v>18</v>
      </c>
      <c r="G41">
        <v>35</v>
      </c>
      <c r="H41">
        <v>55.12</v>
      </c>
      <c r="I41">
        <v>1929.2</v>
      </c>
      <c r="J41">
        <v>58.22</v>
      </c>
      <c r="K41">
        <v>645.98</v>
      </c>
      <c r="L41" t="s">
        <v>19</v>
      </c>
      <c r="M41" t="s">
        <v>20</v>
      </c>
      <c r="N41" t="s">
        <v>21</v>
      </c>
    </row>
    <row r="42" spans="1:14" x14ac:dyDescent="0.25">
      <c r="A42" t="s">
        <v>124</v>
      </c>
      <c r="B42" t="s">
        <v>820</v>
      </c>
      <c r="C42" t="s">
        <v>125</v>
      </c>
      <c r="D42" t="s">
        <v>74</v>
      </c>
      <c r="E42" t="s">
        <v>51</v>
      </c>
      <c r="F42" t="s">
        <v>52</v>
      </c>
      <c r="G42">
        <v>41</v>
      </c>
      <c r="H42">
        <v>33.94</v>
      </c>
      <c r="I42">
        <v>1391.54</v>
      </c>
      <c r="J42">
        <v>33.26</v>
      </c>
      <c r="K42">
        <v>435.78</v>
      </c>
      <c r="L42" t="s">
        <v>19</v>
      </c>
      <c r="M42" t="s">
        <v>32</v>
      </c>
      <c r="N42" t="s">
        <v>58</v>
      </c>
    </row>
    <row r="43" spans="1:14" x14ac:dyDescent="0.25">
      <c r="A43" t="s">
        <v>126</v>
      </c>
      <c r="B43" t="s">
        <v>1030</v>
      </c>
      <c r="C43" t="s">
        <v>71</v>
      </c>
      <c r="D43" t="s">
        <v>69</v>
      </c>
      <c r="E43" t="s">
        <v>51</v>
      </c>
      <c r="F43" t="s">
        <v>52</v>
      </c>
      <c r="G43">
        <v>20</v>
      </c>
      <c r="H43">
        <v>38.43</v>
      </c>
      <c r="I43">
        <v>768.6</v>
      </c>
      <c r="J43">
        <v>60.07</v>
      </c>
      <c r="K43">
        <v>258.52999999999997</v>
      </c>
      <c r="L43" t="s">
        <v>38</v>
      </c>
      <c r="M43" t="s">
        <v>32</v>
      </c>
      <c r="N43" t="s">
        <v>58</v>
      </c>
    </row>
    <row r="44" spans="1:14" x14ac:dyDescent="0.25">
      <c r="A44" t="s">
        <v>127</v>
      </c>
      <c r="B44" t="s">
        <v>1029</v>
      </c>
      <c r="C44" t="s">
        <v>73</v>
      </c>
      <c r="D44" t="s">
        <v>35</v>
      </c>
      <c r="E44" t="s">
        <v>56</v>
      </c>
      <c r="F44" t="s">
        <v>57</v>
      </c>
      <c r="G44">
        <v>23</v>
      </c>
      <c r="H44">
        <v>35.07</v>
      </c>
      <c r="I44">
        <v>806.61</v>
      </c>
      <c r="J44">
        <v>21.23</v>
      </c>
      <c r="K44">
        <v>210.38</v>
      </c>
      <c r="L44" t="s">
        <v>19</v>
      </c>
      <c r="M44" t="s">
        <v>32</v>
      </c>
      <c r="N44" t="s">
        <v>39</v>
      </c>
    </row>
    <row r="45" spans="1:14" x14ac:dyDescent="0.25">
      <c r="A45" t="s">
        <v>128</v>
      </c>
      <c r="B45" t="s">
        <v>937</v>
      </c>
      <c r="C45" t="s">
        <v>67</v>
      </c>
      <c r="D45" t="s">
        <v>129</v>
      </c>
      <c r="E45" t="s">
        <v>43</v>
      </c>
      <c r="F45" t="s">
        <v>44</v>
      </c>
      <c r="G45">
        <v>35</v>
      </c>
      <c r="H45">
        <v>71.44</v>
      </c>
      <c r="I45">
        <v>2500.4</v>
      </c>
      <c r="J45">
        <v>166.81</v>
      </c>
      <c r="K45">
        <v>933.59</v>
      </c>
      <c r="L45" t="s">
        <v>26</v>
      </c>
      <c r="M45" t="s">
        <v>27</v>
      </c>
      <c r="N45" t="s">
        <v>130</v>
      </c>
    </row>
    <row r="46" spans="1:14" x14ac:dyDescent="0.25">
      <c r="A46" t="s">
        <v>131</v>
      </c>
      <c r="B46" t="s">
        <v>1028</v>
      </c>
      <c r="C46" t="s">
        <v>115</v>
      </c>
      <c r="D46" t="s">
        <v>42</v>
      </c>
      <c r="E46" t="s">
        <v>25</v>
      </c>
      <c r="F46" t="s">
        <v>18</v>
      </c>
      <c r="G46">
        <v>11</v>
      </c>
      <c r="H46">
        <v>26.05</v>
      </c>
      <c r="I46">
        <v>286.55</v>
      </c>
      <c r="J46">
        <v>13.39</v>
      </c>
      <c r="K46">
        <v>75.16</v>
      </c>
      <c r="L46" t="s">
        <v>26</v>
      </c>
      <c r="M46" t="s">
        <v>20</v>
      </c>
      <c r="N46" t="s">
        <v>21</v>
      </c>
    </row>
    <row r="47" spans="1:14" x14ac:dyDescent="0.25">
      <c r="A47" t="s">
        <v>132</v>
      </c>
      <c r="B47" t="s">
        <v>1027</v>
      </c>
      <c r="C47" t="s">
        <v>41</v>
      </c>
      <c r="D47" t="s">
        <v>24</v>
      </c>
      <c r="E47" t="s">
        <v>60</v>
      </c>
      <c r="F47" t="s">
        <v>52</v>
      </c>
      <c r="G47">
        <v>46</v>
      </c>
      <c r="H47">
        <v>26.67</v>
      </c>
      <c r="I47">
        <v>1226.82</v>
      </c>
      <c r="J47">
        <v>83.55</v>
      </c>
      <c r="K47">
        <v>430.27</v>
      </c>
      <c r="L47" t="s">
        <v>19</v>
      </c>
      <c r="M47" t="s">
        <v>32</v>
      </c>
      <c r="N47" t="s">
        <v>28</v>
      </c>
    </row>
    <row r="48" spans="1:14" x14ac:dyDescent="0.25">
      <c r="A48" t="s">
        <v>133</v>
      </c>
      <c r="B48" t="s">
        <v>1026</v>
      </c>
      <c r="C48" t="s">
        <v>91</v>
      </c>
      <c r="D48" t="s">
        <v>24</v>
      </c>
      <c r="E48" t="s">
        <v>83</v>
      </c>
      <c r="F48" t="s">
        <v>52</v>
      </c>
      <c r="G48">
        <v>12</v>
      </c>
      <c r="H48">
        <v>42.84</v>
      </c>
      <c r="I48">
        <v>514.08000000000004</v>
      </c>
      <c r="J48">
        <v>22.74</v>
      </c>
      <c r="K48">
        <v>155.34</v>
      </c>
      <c r="L48" t="s">
        <v>38</v>
      </c>
      <c r="M48" t="s">
        <v>20</v>
      </c>
      <c r="N48" t="s">
        <v>28</v>
      </c>
    </row>
    <row r="49" spans="1:14" x14ac:dyDescent="0.25">
      <c r="A49" t="s">
        <v>134</v>
      </c>
      <c r="B49" t="s">
        <v>1025</v>
      </c>
      <c r="C49" t="s">
        <v>135</v>
      </c>
      <c r="D49" t="s">
        <v>69</v>
      </c>
      <c r="E49" t="s">
        <v>25</v>
      </c>
      <c r="F49" t="s">
        <v>18</v>
      </c>
      <c r="G49">
        <v>18</v>
      </c>
      <c r="H49">
        <v>30.89</v>
      </c>
      <c r="I49">
        <v>556.02</v>
      </c>
      <c r="J49">
        <v>12</v>
      </c>
      <c r="K49">
        <v>220.02</v>
      </c>
      <c r="L49" t="s">
        <v>26</v>
      </c>
      <c r="M49" t="s">
        <v>20</v>
      </c>
      <c r="N49" t="s">
        <v>58</v>
      </c>
    </row>
    <row r="50" spans="1:14" x14ac:dyDescent="0.25">
      <c r="A50" t="s">
        <v>136</v>
      </c>
      <c r="B50" t="s">
        <v>791</v>
      </c>
      <c r="C50" t="s">
        <v>137</v>
      </c>
      <c r="D50" t="s">
        <v>42</v>
      </c>
      <c r="E50" t="s">
        <v>17</v>
      </c>
      <c r="F50" t="s">
        <v>18</v>
      </c>
      <c r="G50">
        <v>21</v>
      </c>
      <c r="H50">
        <v>52.41</v>
      </c>
      <c r="I50">
        <v>1100.6099999999999</v>
      </c>
      <c r="J50">
        <v>81.099999999999994</v>
      </c>
      <c r="K50">
        <v>284.51</v>
      </c>
      <c r="L50" t="s">
        <v>38</v>
      </c>
      <c r="M50" t="s">
        <v>27</v>
      </c>
      <c r="N50" t="s">
        <v>21</v>
      </c>
    </row>
    <row r="51" spans="1:14" x14ac:dyDescent="0.25">
      <c r="A51" t="s">
        <v>138</v>
      </c>
      <c r="B51" t="s">
        <v>1024</v>
      </c>
      <c r="C51" t="s">
        <v>139</v>
      </c>
      <c r="D51" t="s">
        <v>129</v>
      </c>
      <c r="E51" t="s">
        <v>83</v>
      </c>
      <c r="F51" t="s">
        <v>52</v>
      </c>
      <c r="G51">
        <v>17</v>
      </c>
      <c r="H51">
        <v>38.64</v>
      </c>
      <c r="I51">
        <v>656.88</v>
      </c>
      <c r="J51">
        <v>13.86</v>
      </c>
      <c r="K51">
        <v>167.02</v>
      </c>
      <c r="L51" t="s">
        <v>26</v>
      </c>
      <c r="M51" t="s">
        <v>20</v>
      </c>
      <c r="N51" t="s">
        <v>130</v>
      </c>
    </row>
    <row r="52" spans="1:14" x14ac:dyDescent="0.25">
      <c r="A52" t="s">
        <v>140</v>
      </c>
      <c r="B52" t="s">
        <v>755</v>
      </c>
      <c r="C52" t="s">
        <v>119</v>
      </c>
      <c r="D52" t="s">
        <v>77</v>
      </c>
      <c r="E52" t="s">
        <v>25</v>
      </c>
      <c r="F52" t="s">
        <v>18</v>
      </c>
      <c r="G52">
        <v>41</v>
      </c>
      <c r="H52">
        <v>25.79</v>
      </c>
      <c r="I52">
        <v>1057.3900000000001</v>
      </c>
      <c r="J52">
        <v>71.22</v>
      </c>
      <c r="K52">
        <v>248.17</v>
      </c>
      <c r="L52" t="s">
        <v>26</v>
      </c>
      <c r="M52" t="s">
        <v>27</v>
      </c>
      <c r="N52" t="s">
        <v>58</v>
      </c>
    </row>
    <row r="53" spans="1:14" x14ac:dyDescent="0.25">
      <c r="A53" t="s">
        <v>141</v>
      </c>
      <c r="B53" t="s">
        <v>1009</v>
      </c>
      <c r="C53" t="s">
        <v>142</v>
      </c>
      <c r="D53" t="s">
        <v>77</v>
      </c>
      <c r="E53" t="s">
        <v>83</v>
      </c>
      <c r="F53" t="s">
        <v>52</v>
      </c>
      <c r="G53">
        <v>41</v>
      </c>
      <c r="H53">
        <v>41.13</v>
      </c>
      <c r="I53">
        <v>1686.33</v>
      </c>
      <c r="J53">
        <v>80.12</v>
      </c>
      <c r="K53">
        <v>458.21</v>
      </c>
      <c r="L53" t="s">
        <v>26</v>
      </c>
      <c r="M53" t="s">
        <v>32</v>
      </c>
      <c r="N53" t="s">
        <v>58</v>
      </c>
    </row>
    <row r="54" spans="1:14" x14ac:dyDescent="0.25">
      <c r="A54" t="s">
        <v>143</v>
      </c>
      <c r="B54" t="s">
        <v>845</v>
      </c>
      <c r="C54" t="s">
        <v>67</v>
      </c>
      <c r="D54" t="s">
        <v>55</v>
      </c>
      <c r="E54" t="s">
        <v>43</v>
      </c>
      <c r="F54" t="s">
        <v>44</v>
      </c>
      <c r="G54">
        <v>33</v>
      </c>
      <c r="H54">
        <v>55.67</v>
      </c>
      <c r="I54">
        <v>1837.11</v>
      </c>
      <c r="J54">
        <v>144.32</v>
      </c>
      <c r="K54">
        <v>372.79</v>
      </c>
      <c r="L54" t="s">
        <v>19</v>
      </c>
      <c r="M54" t="s">
        <v>20</v>
      </c>
      <c r="N54" t="s">
        <v>58</v>
      </c>
    </row>
    <row r="55" spans="1:14" x14ac:dyDescent="0.25">
      <c r="A55" t="s">
        <v>144</v>
      </c>
      <c r="B55" t="s">
        <v>1023</v>
      </c>
      <c r="C55" t="s">
        <v>145</v>
      </c>
      <c r="D55" t="s">
        <v>77</v>
      </c>
      <c r="E55" t="s">
        <v>43</v>
      </c>
      <c r="F55" t="s">
        <v>44</v>
      </c>
      <c r="G55">
        <v>18</v>
      </c>
      <c r="H55">
        <v>50.87</v>
      </c>
      <c r="I55">
        <v>915.66</v>
      </c>
      <c r="J55">
        <v>49.93</v>
      </c>
      <c r="K55">
        <v>145.72999999999999</v>
      </c>
      <c r="L55" t="s">
        <v>19</v>
      </c>
      <c r="M55" t="s">
        <v>27</v>
      </c>
      <c r="N55" t="s">
        <v>58</v>
      </c>
    </row>
    <row r="56" spans="1:14" x14ac:dyDescent="0.25">
      <c r="A56" t="s">
        <v>146</v>
      </c>
      <c r="B56" t="s">
        <v>1022</v>
      </c>
      <c r="C56" t="s">
        <v>147</v>
      </c>
      <c r="D56" t="s">
        <v>86</v>
      </c>
      <c r="E56" t="s">
        <v>60</v>
      </c>
      <c r="F56" t="s">
        <v>52</v>
      </c>
      <c r="G56">
        <v>14</v>
      </c>
      <c r="H56">
        <v>26.7</v>
      </c>
      <c r="I56">
        <v>373.8</v>
      </c>
      <c r="J56">
        <v>11.84</v>
      </c>
      <c r="K56">
        <v>144.96</v>
      </c>
      <c r="L56" t="s">
        <v>38</v>
      </c>
      <c r="M56" t="s">
        <v>20</v>
      </c>
      <c r="N56" t="s">
        <v>87</v>
      </c>
    </row>
    <row r="57" spans="1:14" x14ac:dyDescent="0.25">
      <c r="A57" t="s">
        <v>148</v>
      </c>
      <c r="B57" t="s">
        <v>1021</v>
      </c>
      <c r="C57" t="s">
        <v>149</v>
      </c>
      <c r="D57" t="s">
        <v>16</v>
      </c>
      <c r="E57" t="s">
        <v>25</v>
      </c>
      <c r="F57" t="s">
        <v>18</v>
      </c>
      <c r="G57">
        <v>16</v>
      </c>
      <c r="H57">
        <v>28.96</v>
      </c>
      <c r="I57">
        <v>463.36</v>
      </c>
      <c r="J57">
        <v>35.65</v>
      </c>
      <c r="K57">
        <v>139.71</v>
      </c>
      <c r="L57" t="s">
        <v>19</v>
      </c>
      <c r="M57" t="s">
        <v>32</v>
      </c>
      <c r="N57" t="s">
        <v>21</v>
      </c>
    </row>
    <row r="58" spans="1:14" x14ac:dyDescent="0.25">
      <c r="A58" t="s">
        <v>150</v>
      </c>
      <c r="B58" t="s">
        <v>979</v>
      </c>
      <c r="C58" t="s">
        <v>67</v>
      </c>
      <c r="D58" t="s">
        <v>151</v>
      </c>
      <c r="E58" t="s">
        <v>25</v>
      </c>
      <c r="F58" t="s">
        <v>18</v>
      </c>
      <c r="G58">
        <v>47</v>
      </c>
      <c r="H58">
        <v>23.03</v>
      </c>
      <c r="I58">
        <v>1082.4100000000001</v>
      </c>
      <c r="J58">
        <v>50.12</v>
      </c>
      <c r="K58">
        <v>186.29</v>
      </c>
      <c r="L58" t="s">
        <v>38</v>
      </c>
      <c r="M58" t="s">
        <v>20</v>
      </c>
      <c r="N58" t="s">
        <v>28</v>
      </c>
    </row>
    <row r="59" spans="1:14" x14ac:dyDescent="0.25">
      <c r="A59" t="s">
        <v>152</v>
      </c>
      <c r="B59" t="s">
        <v>758</v>
      </c>
      <c r="C59" t="s">
        <v>149</v>
      </c>
      <c r="D59" t="s">
        <v>129</v>
      </c>
      <c r="E59" t="s">
        <v>17</v>
      </c>
      <c r="F59" t="s">
        <v>18</v>
      </c>
      <c r="G59">
        <v>18</v>
      </c>
      <c r="H59">
        <v>50.03</v>
      </c>
      <c r="I59">
        <v>900.54</v>
      </c>
      <c r="J59">
        <v>68.44</v>
      </c>
      <c r="K59">
        <v>202.1</v>
      </c>
      <c r="L59" t="s">
        <v>38</v>
      </c>
      <c r="M59" t="s">
        <v>20</v>
      </c>
      <c r="N59" t="s">
        <v>130</v>
      </c>
    </row>
    <row r="60" spans="1:14" x14ac:dyDescent="0.25">
      <c r="A60" t="s">
        <v>153</v>
      </c>
      <c r="B60" t="s">
        <v>1020</v>
      </c>
      <c r="C60" t="s">
        <v>154</v>
      </c>
      <c r="D60" t="s">
        <v>24</v>
      </c>
      <c r="E60" t="s">
        <v>56</v>
      </c>
      <c r="F60" t="s">
        <v>57</v>
      </c>
      <c r="G60">
        <v>38</v>
      </c>
      <c r="H60">
        <v>32.07</v>
      </c>
      <c r="I60">
        <v>1218.6600000000001</v>
      </c>
      <c r="J60">
        <v>54.49</v>
      </c>
      <c r="K60">
        <v>214.17</v>
      </c>
      <c r="L60" t="s">
        <v>38</v>
      </c>
      <c r="M60" t="s">
        <v>32</v>
      </c>
      <c r="N60" t="s">
        <v>28</v>
      </c>
    </row>
    <row r="61" spans="1:14" x14ac:dyDescent="0.25">
      <c r="A61" t="s">
        <v>155</v>
      </c>
      <c r="B61" t="s">
        <v>824</v>
      </c>
      <c r="C61" t="s">
        <v>156</v>
      </c>
      <c r="D61" t="s">
        <v>35</v>
      </c>
      <c r="E61" t="s">
        <v>36</v>
      </c>
      <c r="F61" t="s">
        <v>37</v>
      </c>
      <c r="G61">
        <v>23</v>
      </c>
      <c r="H61">
        <v>50.96</v>
      </c>
      <c r="I61">
        <v>1172.08</v>
      </c>
      <c r="J61">
        <v>61</v>
      </c>
      <c r="K61">
        <v>375.08</v>
      </c>
      <c r="L61" t="s">
        <v>38</v>
      </c>
      <c r="M61" t="s">
        <v>27</v>
      </c>
      <c r="N61" t="s">
        <v>39</v>
      </c>
    </row>
    <row r="62" spans="1:14" x14ac:dyDescent="0.25">
      <c r="A62" t="s">
        <v>157</v>
      </c>
      <c r="B62" t="s">
        <v>1019</v>
      </c>
      <c r="C62" t="s">
        <v>158</v>
      </c>
      <c r="D62" t="s">
        <v>77</v>
      </c>
      <c r="E62" t="s">
        <v>43</v>
      </c>
      <c r="F62" t="s">
        <v>44</v>
      </c>
      <c r="G62">
        <v>46</v>
      </c>
      <c r="H62">
        <v>70.599999999999994</v>
      </c>
      <c r="I62">
        <v>3247.6</v>
      </c>
      <c r="J62">
        <v>166.91</v>
      </c>
      <c r="K62">
        <v>1240.69</v>
      </c>
      <c r="L62" t="s">
        <v>38</v>
      </c>
      <c r="M62" t="s">
        <v>27</v>
      </c>
      <c r="N62" t="s">
        <v>58</v>
      </c>
    </row>
    <row r="63" spans="1:14" x14ac:dyDescent="0.25">
      <c r="A63" t="s">
        <v>159</v>
      </c>
      <c r="B63" t="s">
        <v>1018</v>
      </c>
      <c r="C63" t="s">
        <v>91</v>
      </c>
      <c r="D63" t="s">
        <v>77</v>
      </c>
      <c r="E63" t="s">
        <v>43</v>
      </c>
      <c r="F63" t="s">
        <v>44</v>
      </c>
      <c r="G63">
        <v>15</v>
      </c>
      <c r="H63">
        <v>53.36</v>
      </c>
      <c r="I63">
        <v>800.4</v>
      </c>
      <c r="J63">
        <v>56.29</v>
      </c>
      <c r="K63">
        <v>144.11000000000001</v>
      </c>
      <c r="L63" t="s">
        <v>19</v>
      </c>
      <c r="M63" t="s">
        <v>20</v>
      </c>
      <c r="N63" t="s">
        <v>58</v>
      </c>
    </row>
    <row r="64" spans="1:14" x14ac:dyDescent="0.25">
      <c r="A64" t="s">
        <v>160</v>
      </c>
      <c r="B64" t="s">
        <v>989</v>
      </c>
      <c r="C64" t="s">
        <v>161</v>
      </c>
      <c r="D64" t="s">
        <v>129</v>
      </c>
      <c r="E64" t="s">
        <v>36</v>
      </c>
      <c r="F64" t="s">
        <v>37</v>
      </c>
      <c r="G64">
        <v>42</v>
      </c>
      <c r="H64">
        <v>39.840000000000003</v>
      </c>
      <c r="I64">
        <v>1673.28</v>
      </c>
      <c r="J64">
        <v>132.74</v>
      </c>
      <c r="K64">
        <v>196.54</v>
      </c>
      <c r="L64" t="s">
        <v>19</v>
      </c>
      <c r="M64" t="s">
        <v>32</v>
      </c>
      <c r="N64" t="s">
        <v>130</v>
      </c>
    </row>
    <row r="65" spans="1:14" x14ac:dyDescent="0.25">
      <c r="A65" t="s">
        <v>162</v>
      </c>
      <c r="B65" t="s">
        <v>964</v>
      </c>
      <c r="C65" t="s">
        <v>145</v>
      </c>
      <c r="D65" t="s">
        <v>77</v>
      </c>
      <c r="E65" t="s">
        <v>56</v>
      </c>
      <c r="F65" t="s">
        <v>57</v>
      </c>
      <c r="G65">
        <v>31</v>
      </c>
      <c r="H65">
        <v>38.26</v>
      </c>
      <c r="I65">
        <v>1186.06</v>
      </c>
      <c r="J65">
        <v>69.33</v>
      </c>
      <c r="K65">
        <v>341.73</v>
      </c>
      <c r="L65" t="s">
        <v>26</v>
      </c>
      <c r="M65" t="s">
        <v>20</v>
      </c>
      <c r="N65" t="s">
        <v>58</v>
      </c>
    </row>
    <row r="66" spans="1:14" x14ac:dyDescent="0.25">
      <c r="A66" t="s">
        <v>163</v>
      </c>
      <c r="B66" t="s">
        <v>861</v>
      </c>
      <c r="C66" t="s">
        <v>147</v>
      </c>
      <c r="D66" t="s">
        <v>106</v>
      </c>
      <c r="E66" t="s">
        <v>60</v>
      </c>
      <c r="F66" t="s">
        <v>52</v>
      </c>
      <c r="G66">
        <v>2</v>
      </c>
      <c r="H66">
        <v>23.09</v>
      </c>
      <c r="I66">
        <v>46.18</v>
      </c>
      <c r="J66">
        <v>2.52</v>
      </c>
      <c r="K66">
        <v>12.66</v>
      </c>
      <c r="L66" t="s">
        <v>26</v>
      </c>
      <c r="M66" t="s">
        <v>27</v>
      </c>
      <c r="N66" t="s">
        <v>28</v>
      </c>
    </row>
    <row r="67" spans="1:14" x14ac:dyDescent="0.25">
      <c r="A67" t="s">
        <v>164</v>
      </c>
      <c r="B67" t="s">
        <v>897</v>
      </c>
      <c r="C67" t="s">
        <v>50</v>
      </c>
      <c r="D67" t="s">
        <v>74</v>
      </c>
      <c r="E67" t="s">
        <v>36</v>
      </c>
      <c r="F67" t="s">
        <v>37</v>
      </c>
      <c r="G67">
        <v>40</v>
      </c>
      <c r="H67">
        <v>46.81</v>
      </c>
      <c r="I67">
        <v>1872.4</v>
      </c>
      <c r="J67">
        <v>43.01</v>
      </c>
      <c r="K67">
        <v>549.39</v>
      </c>
      <c r="L67" t="s">
        <v>19</v>
      </c>
      <c r="M67" t="s">
        <v>32</v>
      </c>
      <c r="N67" t="s">
        <v>58</v>
      </c>
    </row>
    <row r="68" spans="1:14" x14ac:dyDescent="0.25">
      <c r="A68" t="s">
        <v>165</v>
      </c>
      <c r="B68" t="s">
        <v>1017</v>
      </c>
      <c r="C68" t="s">
        <v>166</v>
      </c>
      <c r="D68" t="s">
        <v>55</v>
      </c>
      <c r="E68" t="s">
        <v>36</v>
      </c>
      <c r="F68" t="s">
        <v>37</v>
      </c>
      <c r="G68">
        <v>43</v>
      </c>
      <c r="H68">
        <v>57.01</v>
      </c>
      <c r="I68">
        <v>2451.4299999999998</v>
      </c>
      <c r="J68">
        <v>115.04</v>
      </c>
      <c r="K68">
        <v>960.39</v>
      </c>
      <c r="L68" t="s">
        <v>26</v>
      </c>
      <c r="M68" t="s">
        <v>20</v>
      </c>
      <c r="N68" t="s">
        <v>58</v>
      </c>
    </row>
    <row r="69" spans="1:14" x14ac:dyDescent="0.25">
      <c r="A69" t="s">
        <v>167</v>
      </c>
      <c r="B69" t="s">
        <v>750</v>
      </c>
      <c r="C69" t="s">
        <v>168</v>
      </c>
      <c r="D69" t="s">
        <v>47</v>
      </c>
      <c r="E69" t="s">
        <v>63</v>
      </c>
      <c r="F69" t="s">
        <v>37</v>
      </c>
      <c r="G69">
        <v>15</v>
      </c>
      <c r="H69">
        <v>22.23</v>
      </c>
      <c r="I69">
        <v>333.45</v>
      </c>
      <c r="J69">
        <v>16.89</v>
      </c>
      <c r="K69">
        <v>125.31</v>
      </c>
      <c r="L69" t="s">
        <v>38</v>
      </c>
      <c r="M69" t="s">
        <v>27</v>
      </c>
      <c r="N69" t="s">
        <v>21</v>
      </c>
    </row>
    <row r="70" spans="1:14" x14ac:dyDescent="0.25">
      <c r="A70" t="s">
        <v>169</v>
      </c>
      <c r="B70" t="s">
        <v>827</v>
      </c>
      <c r="C70" t="s">
        <v>170</v>
      </c>
      <c r="D70" t="s">
        <v>106</v>
      </c>
      <c r="E70" t="s">
        <v>60</v>
      </c>
      <c r="F70" t="s">
        <v>52</v>
      </c>
      <c r="G70">
        <v>15</v>
      </c>
      <c r="H70">
        <v>19.23</v>
      </c>
      <c r="I70">
        <v>288.45</v>
      </c>
      <c r="J70">
        <v>20.22</v>
      </c>
      <c r="K70">
        <v>35.729999999999997</v>
      </c>
      <c r="L70" t="s">
        <v>19</v>
      </c>
      <c r="M70" t="s">
        <v>20</v>
      </c>
      <c r="N70" t="s">
        <v>28</v>
      </c>
    </row>
    <row r="71" spans="1:14" x14ac:dyDescent="0.25">
      <c r="A71" t="s">
        <v>171</v>
      </c>
      <c r="B71" t="s">
        <v>984</v>
      </c>
      <c r="C71" t="s">
        <v>93</v>
      </c>
      <c r="D71" t="s">
        <v>31</v>
      </c>
      <c r="E71" t="s">
        <v>83</v>
      </c>
      <c r="F71" t="s">
        <v>52</v>
      </c>
      <c r="G71">
        <v>34</v>
      </c>
      <c r="H71">
        <v>45.54</v>
      </c>
      <c r="I71">
        <v>1548.36</v>
      </c>
      <c r="J71">
        <v>36.76</v>
      </c>
      <c r="K71">
        <v>559.6</v>
      </c>
      <c r="L71" t="s">
        <v>19</v>
      </c>
      <c r="M71" t="s">
        <v>20</v>
      </c>
      <c r="N71" t="s">
        <v>28</v>
      </c>
    </row>
    <row r="72" spans="1:14" x14ac:dyDescent="0.25">
      <c r="A72" t="s">
        <v>172</v>
      </c>
      <c r="B72" t="s">
        <v>792</v>
      </c>
      <c r="C72" t="s">
        <v>173</v>
      </c>
      <c r="D72" t="s">
        <v>106</v>
      </c>
      <c r="E72" t="s">
        <v>43</v>
      </c>
      <c r="F72" t="s">
        <v>44</v>
      </c>
      <c r="G72">
        <v>33</v>
      </c>
      <c r="H72">
        <v>63.88</v>
      </c>
      <c r="I72">
        <v>2108.04</v>
      </c>
      <c r="J72">
        <v>111.7</v>
      </c>
      <c r="K72">
        <v>676.34</v>
      </c>
      <c r="L72" t="s">
        <v>19</v>
      </c>
      <c r="M72" t="s">
        <v>32</v>
      </c>
      <c r="N72" t="s">
        <v>28</v>
      </c>
    </row>
    <row r="73" spans="1:14" x14ac:dyDescent="0.25">
      <c r="A73" t="s">
        <v>174</v>
      </c>
      <c r="B73" t="s">
        <v>1016</v>
      </c>
      <c r="C73" t="s">
        <v>91</v>
      </c>
      <c r="D73" t="s">
        <v>151</v>
      </c>
      <c r="E73" t="s">
        <v>25</v>
      </c>
      <c r="F73" t="s">
        <v>18</v>
      </c>
      <c r="G73">
        <v>39</v>
      </c>
      <c r="H73">
        <v>25.38</v>
      </c>
      <c r="I73">
        <v>989.82</v>
      </c>
      <c r="J73">
        <v>50.82</v>
      </c>
      <c r="K73">
        <v>237</v>
      </c>
      <c r="L73" t="s">
        <v>26</v>
      </c>
      <c r="M73" t="s">
        <v>27</v>
      </c>
      <c r="N73" t="s">
        <v>28</v>
      </c>
    </row>
    <row r="74" spans="1:14" x14ac:dyDescent="0.25">
      <c r="A74" t="s">
        <v>175</v>
      </c>
      <c r="B74" t="s">
        <v>945</v>
      </c>
      <c r="C74" t="s">
        <v>176</v>
      </c>
      <c r="D74" t="s">
        <v>177</v>
      </c>
      <c r="E74" t="s">
        <v>56</v>
      </c>
      <c r="F74" t="s">
        <v>57</v>
      </c>
      <c r="G74">
        <v>9</v>
      </c>
      <c r="H74">
        <v>38.979999999999997</v>
      </c>
      <c r="I74">
        <v>350.82</v>
      </c>
      <c r="J74">
        <v>25.56</v>
      </c>
      <c r="K74">
        <v>100.26</v>
      </c>
      <c r="L74" t="s">
        <v>19</v>
      </c>
      <c r="M74" t="s">
        <v>20</v>
      </c>
      <c r="N74" t="s">
        <v>58</v>
      </c>
    </row>
    <row r="75" spans="1:14" x14ac:dyDescent="0.25">
      <c r="A75" t="s">
        <v>178</v>
      </c>
      <c r="B75" t="s">
        <v>1015</v>
      </c>
      <c r="C75" t="s">
        <v>179</v>
      </c>
      <c r="D75" t="s">
        <v>86</v>
      </c>
      <c r="E75" t="s">
        <v>48</v>
      </c>
      <c r="F75" t="s">
        <v>37</v>
      </c>
      <c r="G75">
        <v>14</v>
      </c>
      <c r="H75">
        <v>35.86</v>
      </c>
      <c r="I75">
        <v>502.04</v>
      </c>
      <c r="J75">
        <v>40.130000000000003</v>
      </c>
      <c r="K75">
        <v>181.91</v>
      </c>
      <c r="L75" t="s">
        <v>38</v>
      </c>
      <c r="M75" t="s">
        <v>32</v>
      </c>
      <c r="N75" t="s">
        <v>87</v>
      </c>
    </row>
    <row r="76" spans="1:14" x14ac:dyDescent="0.25">
      <c r="A76" t="s">
        <v>180</v>
      </c>
      <c r="B76" t="s">
        <v>1014</v>
      </c>
      <c r="C76" t="s">
        <v>181</v>
      </c>
      <c r="D76" t="s">
        <v>77</v>
      </c>
      <c r="E76" t="s">
        <v>60</v>
      </c>
      <c r="F76" t="s">
        <v>52</v>
      </c>
      <c r="G76">
        <v>49</v>
      </c>
      <c r="H76">
        <v>21.37</v>
      </c>
      <c r="I76">
        <v>1047.1300000000001</v>
      </c>
      <c r="J76">
        <v>65.98</v>
      </c>
      <c r="K76">
        <v>221.65</v>
      </c>
      <c r="L76" t="s">
        <v>38</v>
      </c>
      <c r="M76" t="s">
        <v>32</v>
      </c>
      <c r="N76" t="s">
        <v>58</v>
      </c>
    </row>
    <row r="77" spans="1:14" x14ac:dyDescent="0.25">
      <c r="A77" t="s">
        <v>182</v>
      </c>
      <c r="B77" t="s">
        <v>937</v>
      </c>
      <c r="C77" t="s">
        <v>183</v>
      </c>
      <c r="D77" t="s">
        <v>47</v>
      </c>
      <c r="E77" t="s">
        <v>25</v>
      </c>
      <c r="F77" t="s">
        <v>18</v>
      </c>
      <c r="G77">
        <v>42</v>
      </c>
      <c r="H77">
        <v>24.57</v>
      </c>
      <c r="I77">
        <v>1031.94</v>
      </c>
      <c r="J77">
        <v>56.45</v>
      </c>
      <c r="K77">
        <v>219.49</v>
      </c>
      <c r="L77" t="s">
        <v>26</v>
      </c>
      <c r="M77" t="s">
        <v>20</v>
      </c>
      <c r="N77" t="s">
        <v>21</v>
      </c>
    </row>
    <row r="78" spans="1:14" x14ac:dyDescent="0.25">
      <c r="A78" t="s">
        <v>184</v>
      </c>
      <c r="B78" t="s">
        <v>1013</v>
      </c>
      <c r="C78" t="s">
        <v>183</v>
      </c>
      <c r="D78" t="s">
        <v>69</v>
      </c>
      <c r="E78" t="s">
        <v>25</v>
      </c>
      <c r="F78" t="s">
        <v>18</v>
      </c>
      <c r="G78">
        <v>42</v>
      </c>
      <c r="H78">
        <v>26.39</v>
      </c>
      <c r="I78">
        <v>1108.3800000000001</v>
      </c>
      <c r="J78">
        <v>44.56</v>
      </c>
      <c r="K78">
        <v>307.82</v>
      </c>
      <c r="L78" t="s">
        <v>26</v>
      </c>
      <c r="M78" t="s">
        <v>20</v>
      </c>
      <c r="N78" t="s">
        <v>58</v>
      </c>
    </row>
    <row r="79" spans="1:14" x14ac:dyDescent="0.25">
      <c r="A79" t="s">
        <v>185</v>
      </c>
      <c r="B79" t="s">
        <v>896</v>
      </c>
      <c r="C79" t="s">
        <v>181</v>
      </c>
      <c r="D79" t="s">
        <v>42</v>
      </c>
      <c r="E79" t="s">
        <v>48</v>
      </c>
      <c r="F79" t="s">
        <v>37</v>
      </c>
      <c r="G79">
        <v>50</v>
      </c>
      <c r="H79">
        <v>29.73</v>
      </c>
      <c r="I79">
        <v>1486.5</v>
      </c>
      <c r="J79">
        <v>96.77</v>
      </c>
      <c r="K79">
        <v>389.73</v>
      </c>
      <c r="L79" t="s">
        <v>38</v>
      </c>
      <c r="M79" t="s">
        <v>20</v>
      </c>
      <c r="N79" t="s">
        <v>21</v>
      </c>
    </row>
    <row r="80" spans="1:14" x14ac:dyDescent="0.25">
      <c r="A80" t="s">
        <v>186</v>
      </c>
      <c r="B80" t="s">
        <v>1012</v>
      </c>
      <c r="C80" t="s">
        <v>179</v>
      </c>
      <c r="D80" t="s">
        <v>55</v>
      </c>
      <c r="E80" t="s">
        <v>60</v>
      </c>
      <c r="F80" t="s">
        <v>52</v>
      </c>
      <c r="G80">
        <v>39</v>
      </c>
      <c r="H80">
        <v>20.56</v>
      </c>
      <c r="I80">
        <v>801.84</v>
      </c>
      <c r="J80">
        <v>43.55</v>
      </c>
      <c r="K80">
        <v>153.79</v>
      </c>
      <c r="L80" t="s">
        <v>19</v>
      </c>
      <c r="M80" t="s">
        <v>20</v>
      </c>
      <c r="N80" t="s">
        <v>58</v>
      </c>
    </row>
    <row r="81" spans="1:14" x14ac:dyDescent="0.25">
      <c r="A81" t="s">
        <v>187</v>
      </c>
      <c r="B81" t="s">
        <v>1011</v>
      </c>
      <c r="C81" t="s">
        <v>23</v>
      </c>
      <c r="D81" t="s">
        <v>55</v>
      </c>
      <c r="E81" t="s">
        <v>60</v>
      </c>
      <c r="F81" t="s">
        <v>52</v>
      </c>
      <c r="G81">
        <v>48</v>
      </c>
      <c r="H81">
        <v>24.36</v>
      </c>
      <c r="I81">
        <v>1169.28</v>
      </c>
      <c r="J81">
        <v>81.599999999999994</v>
      </c>
      <c r="K81">
        <v>343.68</v>
      </c>
      <c r="L81" t="s">
        <v>38</v>
      </c>
      <c r="M81" t="s">
        <v>32</v>
      </c>
      <c r="N81" t="s">
        <v>58</v>
      </c>
    </row>
    <row r="82" spans="1:14" x14ac:dyDescent="0.25">
      <c r="A82" t="s">
        <v>188</v>
      </c>
      <c r="B82" t="s">
        <v>761</v>
      </c>
      <c r="C82" t="s">
        <v>189</v>
      </c>
      <c r="D82" t="s">
        <v>151</v>
      </c>
      <c r="E82" t="s">
        <v>51</v>
      </c>
      <c r="F82" t="s">
        <v>52</v>
      </c>
      <c r="G82">
        <v>40</v>
      </c>
      <c r="H82">
        <v>27.95</v>
      </c>
      <c r="I82">
        <v>1118</v>
      </c>
      <c r="J82">
        <v>37.590000000000003</v>
      </c>
      <c r="K82">
        <v>180.41</v>
      </c>
      <c r="L82" t="s">
        <v>38</v>
      </c>
      <c r="M82" t="s">
        <v>32</v>
      </c>
      <c r="N82" t="s">
        <v>28</v>
      </c>
    </row>
    <row r="83" spans="1:14" x14ac:dyDescent="0.25">
      <c r="A83" t="s">
        <v>190</v>
      </c>
      <c r="B83" t="s">
        <v>770</v>
      </c>
      <c r="C83" t="s">
        <v>119</v>
      </c>
      <c r="D83" t="s">
        <v>177</v>
      </c>
      <c r="E83" t="s">
        <v>83</v>
      </c>
      <c r="F83" t="s">
        <v>52</v>
      </c>
      <c r="G83">
        <v>21</v>
      </c>
      <c r="H83">
        <v>40.19</v>
      </c>
      <c r="I83">
        <v>843.99</v>
      </c>
      <c r="J83">
        <v>32.4</v>
      </c>
      <c r="K83">
        <v>223.59</v>
      </c>
      <c r="L83" t="s">
        <v>26</v>
      </c>
      <c r="M83" t="s">
        <v>27</v>
      </c>
      <c r="N83" t="s">
        <v>58</v>
      </c>
    </row>
    <row r="84" spans="1:14" x14ac:dyDescent="0.25">
      <c r="A84" t="s">
        <v>191</v>
      </c>
      <c r="B84" t="s">
        <v>1010</v>
      </c>
      <c r="C84" t="s">
        <v>89</v>
      </c>
      <c r="D84" t="s">
        <v>69</v>
      </c>
      <c r="E84" t="s">
        <v>63</v>
      </c>
      <c r="F84" t="s">
        <v>37</v>
      </c>
      <c r="G84">
        <v>26</v>
      </c>
      <c r="H84">
        <v>16.670000000000002</v>
      </c>
      <c r="I84">
        <v>433.42</v>
      </c>
      <c r="J84">
        <v>32.79</v>
      </c>
      <c r="K84">
        <v>69.13</v>
      </c>
      <c r="L84" t="s">
        <v>38</v>
      </c>
      <c r="M84" t="s">
        <v>27</v>
      </c>
      <c r="N84" t="s">
        <v>58</v>
      </c>
    </row>
    <row r="85" spans="1:14" x14ac:dyDescent="0.25">
      <c r="A85" t="s">
        <v>192</v>
      </c>
      <c r="B85" t="s">
        <v>790</v>
      </c>
      <c r="C85" t="s">
        <v>193</v>
      </c>
      <c r="D85" t="s">
        <v>35</v>
      </c>
      <c r="E85" t="s">
        <v>36</v>
      </c>
      <c r="F85" t="s">
        <v>37</v>
      </c>
      <c r="G85">
        <v>28</v>
      </c>
      <c r="H85">
        <v>39.85</v>
      </c>
      <c r="I85">
        <v>1115.8</v>
      </c>
      <c r="J85">
        <v>43.87</v>
      </c>
      <c r="K85">
        <v>175.93</v>
      </c>
      <c r="L85" t="s">
        <v>38</v>
      </c>
      <c r="M85" t="s">
        <v>20</v>
      </c>
      <c r="N85" t="s">
        <v>39</v>
      </c>
    </row>
    <row r="86" spans="1:14" x14ac:dyDescent="0.25">
      <c r="A86" t="s">
        <v>194</v>
      </c>
      <c r="B86" t="s">
        <v>948</v>
      </c>
      <c r="C86" t="s">
        <v>193</v>
      </c>
      <c r="D86" t="s">
        <v>47</v>
      </c>
      <c r="E86" t="s">
        <v>63</v>
      </c>
      <c r="F86" t="s">
        <v>37</v>
      </c>
      <c r="G86">
        <v>47</v>
      </c>
      <c r="H86">
        <v>15.97</v>
      </c>
      <c r="I86">
        <v>750.59</v>
      </c>
      <c r="J86">
        <v>48.55</v>
      </c>
      <c r="K86">
        <v>102.79</v>
      </c>
      <c r="L86" t="s">
        <v>38</v>
      </c>
      <c r="M86" t="s">
        <v>32</v>
      </c>
      <c r="N86" t="s">
        <v>21</v>
      </c>
    </row>
    <row r="87" spans="1:14" x14ac:dyDescent="0.25">
      <c r="A87" t="s">
        <v>195</v>
      </c>
      <c r="B87" t="s">
        <v>974</v>
      </c>
      <c r="C87" t="s">
        <v>135</v>
      </c>
      <c r="D87" t="s">
        <v>55</v>
      </c>
      <c r="E87" t="s">
        <v>43</v>
      </c>
      <c r="F87" t="s">
        <v>44</v>
      </c>
      <c r="G87">
        <v>28</v>
      </c>
      <c r="H87">
        <v>53.6</v>
      </c>
      <c r="I87">
        <v>1500.8</v>
      </c>
      <c r="J87">
        <v>68.55</v>
      </c>
      <c r="K87">
        <v>312.25</v>
      </c>
      <c r="L87" t="s">
        <v>26</v>
      </c>
      <c r="M87" t="s">
        <v>27</v>
      </c>
      <c r="N87" t="s">
        <v>58</v>
      </c>
    </row>
    <row r="88" spans="1:14" x14ac:dyDescent="0.25">
      <c r="A88" t="s">
        <v>196</v>
      </c>
      <c r="B88" t="s">
        <v>897</v>
      </c>
      <c r="C88" t="s">
        <v>108</v>
      </c>
      <c r="D88" t="s">
        <v>177</v>
      </c>
      <c r="E88" t="s">
        <v>83</v>
      </c>
      <c r="F88" t="s">
        <v>52</v>
      </c>
      <c r="G88">
        <v>37</v>
      </c>
      <c r="H88">
        <v>40.049999999999997</v>
      </c>
      <c r="I88">
        <v>1481.85</v>
      </c>
      <c r="J88">
        <v>45.6</v>
      </c>
      <c r="K88">
        <v>400.25</v>
      </c>
      <c r="L88" t="s">
        <v>19</v>
      </c>
      <c r="M88" t="s">
        <v>32</v>
      </c>
      <c r="N88" t="s">
        <v>58</v>
      </c>
    </row>
    <row r="89" spans="1:14" x14ac:dyDescent="0.25">
      <c r="A89" t="s">
        <v>197</v>
      </c>
      <c r="B89" t="s">
        <v>940</v>
      </c>
      <c r="C89" t="s">
        <v>139</v>
      </c>
      <c r="D89" t="s">
        <v>31</v>
      </c>
      <c r="E89" t="s">
        <v>17</v>
      </c>
      <c r="F89" t="s">
        <v>18</v>
      </c>
      <c r="G89">
        <v>45</v>
      </c>
      <c r="H89">
        <v>43.74</v>
      </c>
      <c r="I89">
        <v>1968.3</v>
      </c>
      <c r="J89">
        <v>80.55</v>
      </c>
      <c r="K89">
        <v>312.75</v>
      </c>
      <c r="L89" t="s">
        <v>26</v>
      </c>
      <c r="M89" t="s">
        <v>32</v>
      </c>
      <c r="N89" t="s">
        <v>28</v>
      </c>
    </row>
    <row r="90" spans="1:14" x14ac:dyDescent="0.25">
      <c r="A90" t="s">
        <v>198</v>
      </c>
      <c r="B90" t="s">
        <v>875</v>
      </c>
      <c r="C90" t="s">
        <v>199</v>
      </c>
      <c r="D90" t="s">
        <v>24</v>
      </c>
      <c r="E90" t="s">
        <v>60</v>
      </c>
      <c r="F90" t="s">
        <v>52</v>
      </c>
      <c r="G90">
        <v>9</v>
      </c>
      <c r="H90">
        <v>24.63</v>
      </c>
      <c r="I90">
        <v>221.67</v>
      </c>
      <c r="J90">
        <v>13.53</v>
      </c>
      <c r="K90">
        <v>68.64</v>
      </c>
      <c r="L90" t="s">
        <v>26</v>
      </c>
      <c r="M90" t="s">
        <v>32</v>
      </c>
      <c r="N90" t="s">
        <v>28</v>
      </c>
    </row>
    <row r="91" spans="1:14" x14ac:dyDescent="0.25">
      <c r="A91" t="s">
        <v>200</v>
      </c>
      <c r="B91" t="s">
        <v>780</v>
      </c>
      <c r="C91" t="s">
        <v>41</v>
      </c>
      <c r="D91" t="s">
        <v>86</v>
      </c>
      <c r="E91" t="s">
        <v>60</v>
      </c>
      <c r="F91" t="s">
        <v>52</v>
      </c>
      <c r="G91">
        <v>6</v>
      </c>
      <c r="H91">
        <v>21.79</v>
      </c>
      <c r="I91">
        <v>130.74</v>
      </c>
      <c r="J91">
        <v>7.75</v>
      </c>
      <c r="K91">
        <v>29.99</v>
      </c>
      <c r="L91" t="s">
        <v>26</v>
      </c>
      <c r="M91" t="s">
        <v>32</v>
      </c>
      <c r="N91" t="s">
        <v>87</v>
      </c>
    </row>
    <row r="92" spans="1:14" x14ac:dyDescent="0.25">
      <c r="A92" t="s">
        <v>201</v>
      </c>
      <c r="B92" t="s">
        <v>1009</v>
      </c>
      <c r="C92" t="s">
        <v>202</v>
      </c>
      <c r="D92" t="s">
        <v>106</v>
      </c>
      <c r="E92" t="s">
        <v>17</v>
      </c>
      <c r="F92" t="s">
        <v>18</v>
      </c>
      <c r="G92">
        <v>23</v>
      </c>
      <c r="H92">
        <v>58.43</v>
      </c>
      <c r="I92">
        <v>1343.89</v>
      </c>
      <c r="J92">
        <v>38.729999999999997</v>
      </c>
      <c r="K92">
        <v>500.16</v>
      </c>
      <c r="L92" t="s">
        <v>26</v>
      </c>
      <c r="M92" t="s">
        <v>20</v>
      </c>
      <c r="N92" t="s">
        <v>28</v>
      </c>
    </row>
    <row r="93" spans="1:14" x14ac:dyDescent="0.25">
      <c r="A93" t="s">
        <v>203</v>
      </c>
      <c r="B93" t="s">
        <v>1003</v>
      </c>
      <c r="C93" t="s">
        <v>204</v>
      </c>
      <c r="D93" t="s">
        <v>69</v>
      </c>
      <c r="E93" t="s">
        <v>43</v>
      </c>
      <c r="F93" t="s">
        <v>44</v>
      </c>
      <c r="G93">
        <v>19</v>
      </c>
      <c r="H93">
        <v>67.06</v>
      </c>
      <c r="I93">
        <v>1274.1400000000001</v>
      </c>
      <c r="J93">
        <v>85.73</v>
      </c>
      <c r="K93">
        <v>428.41</v>
      </c>
      <c r="L93" t="s">
        <v>19</v>
      </c>
      <c r="M93" t="s">
        <v>27</v>
      </c>
      <c r="N93" t="s">
        <v>58</v>
      </c>
    </row>
    <row r="94" spans="1:14" x14ac:dyDescent="0.25">
      <c r="A94" t="s">
        <v>205</v>
      </c>
      <c r="B94" t="s">
        <v>996</v>
      </c>
      <c r="C94" t="s">
        <v>199</v>
      </c>
      <c r="D94" t="s">
        <v>31</v>
      </c>
      <c r="E94" t="s">
        <v>25</v>
      </c>
      <c r="F94" t="s">
        <v>18</v>
      </c>
      <c r="G94">
        <v>4</v>
      </c>
      <c r="H94">
        <v>25.13</v>
      </c>
      <c r="I94">
        <v>100.52</v>
      </c>
      <c r="J94">
        <v>5.6</v>
      </c>
      <c r="K94">
        <v>22.92</v>
      </c>
      <c r="L94" t="s">
        <v>26</v>
      </c>
      <c r="M94" t="s">
        <v>32</v>
      </c>
      <c r="N94" t="s">
        <v>28</v>
      </c>
    </row>
    <row r="95" spans="1:14" x14ac:dyDescent="0.25">
      <c r="A95" t="s">
        <v>206</v>
      </c>
      <c r="B95" t="s">
        <v>966</v>
      </c>
      <c r="C95" t="s">
        <v>207</v>
      </c>
      <c r="D95" t="s">
        <v>31</v>
      </c>
      <c r="E95" t="s">
        <v>60</v>
      </c>
      <c r="F95" t="s">
        <v>52</v>
      </c>
      <c r="G95">
        <v>26</v>
      </c>
      <c r="H95">
        <v>19.34</v>
      </c>
      <c r="I95">
        <v>502.84</v>
      </c>
      <c r="J95">
        <v>26.51</v>
      </c>
      <c r="K95">
        <v>73.33</v>
      </c>
      <c r="L95" t="s">
        <v>26</v>
      </c>
      <c r="M95" t="s">
        <v>20</v>
      </c>
      <c r="N95" t="s">
        <v>28</v>
      </c>
    </row>
    <row r="96" spans="1:14" x14ac:dyDescent="0.25">
      <c r="A96" t="s">
        <v>208</v>
      </c>
      <c r="B96" t="s">
        <v>978</v>
      </c>
      <c r="C96" t="s">
        <v>209</v>
      </c>
      <c r="D96" t="s">
        <v>86</v>
      </c>
      <c r="E96" t="s">
        <v>48</v>
      </c>
      <c r="F96" t="s">
        <v>37</v>
      </c>
      <c r="G96">
        <v>26</v>
      </c>
      <c r="H96">
        <v>35.81</v>
      </c>
      <c r="I96">
        <v>931.06</v>
      </c>
      <c r="J96">
        <v>61.06</v>
      </c>
      <c r="K96">
        <v>350</v>
      </c>
      <c r="L96" t="s">
        <v>19</v>
      </c>
      <c r="M96" t="s">
        <v>20</v>
      </c>
      <c r="N96" t="s">
        <v>87</v>
      </c>
    </row>
    <row r="97" spans="1:14" x14ac:dyDescent="0.25">
      <c r="A97" t="s">
        <v>210</v>
      </c>
      <c r="B97" t="s">
        <v>1008</v>
      </c>
      <c r="C97" t="s">
        <v>211</v>
      </c>
      <c r="D97" t="s">
        <v>69</v>
      </c>
      <c r="E97" t="s">
        <v>51</v>
      </c>
      <c r="F97" t="s">
        <v>52</v>
      </c>
      <c r="G97">
        <v>42</v>
      </c>
      <c r="H97">
        <v>39.950000000000003</v>
      </c>
      <c r="I97">
        <v>1677.9</v>
      </c>
      <c r="J97">
        <v>93.95</v>
      </c>
      <c r="K97">
        <v>638.95000000000005</v>
      </c>
      <c r="L97" t="s">
        <v>26</v>
      </c>
      <c r="M97" t="s">
        <v>27</v>
      </c>
      <c r="N97" t="s">
        <v>58</v>
      </c>
    </row>
    <row r="98" spans="1:14" x14ac:dyDescent="0.25">
      <c r="A98" t="s">
        <v>212</v>
      </c>
      <c r="B98" t="s">
        <v>1007</v>
      </c>
      <c r="C98" t="s">
        <v>89</v>
      </c>
      <c r="D98" t="s">
        <v>74</v>
      </c>
      <c r="E98" t="s">
        <v>17</v>
      </c>
      <c r="F98" t="s">
        <v>18</v>
      </c>
      <c r="G98">
        <v>38</v>
      </c>
      <c r="H98">
        <v>49.98</v>
      </c>
      <c r="I98">
        <v>1899.24</v>
      </c>
      <c r="J98">
        <v>112.91</v>
      </c>
      <c r="K98">
        <v>456.33</v>
      </c>
      <c r="L98" t="s">
        <v>38</v>
      </c>
      <c r="M98" t="s">
        <v>32</v>
      </c>
      <c r="N98" t="s">
        <v>58</v>
      </c>
    </row>
    <row r="99" spans="1:14" x14ac:dyDescent="0.25">
      <c r="A99" t="s">
        <v>213</v>
      </c>
      <c r="B99" t="s">
        <v>1006</v>
      </c>
      <c r="C99" t="s">
        <v>119</v>
      </c>
      <c r="D99" t="s">
        <v>77</v>
      </c>
      <c r="E99" t="s">
        <v>83</v>
      </c>
      <c r="F99" t="s">
        <v>52</v>
      </c>
      <c r="G99">
        <v>1</v>
      </c>
      <c r="H99">
        <v>45.84</v>
      </c>
      <c r="I99">
        <v>45.84</v>
      </c>
      <c r="J99">
        <v>1.26</v>
      </c>
      <c r="K99">
        <v>16.579999999999998</v>
      </c>
      <c r="L99" t="s">
        <v>38</v>
      </c>
      <c r="M99" t="s">
        <v>20</v>
      </c>
      <c r="N99" t="s">
        <v>58</v>
      </c>
    </row>
    <row r="100" spans="1:14" x14ac:dyDescent="0.25">
      <c r="A100" t="s">
        <v>214</v>
      </c>
      <c r="B100" t="s">
        <v>816</v>
      </c>
      <c r="C100" t="s">
        <v>189</v>
      </c>
      <c r="D100" t="s">
        <v>129</v>
      </c>
      <c r="E100" t="s">
        <v>25</v>
      </c>
      <c r="F100" t="s">
        <v>18</v>
      </c>
      <c r="G100">
        <v>38</v>
      </c>
      <c r="H100">
        <v>26.34</v>
      </c>
      <c r="I100">
        <v>1000.92</v>
      </c>
      <c r="J100">
        <v>47.88</v>
      </c>
      <c r="K100">
        <v>269.04000000000002</v>
      </c>
      <c r="L100" t="s">
        <v>19</v>
      </c>
      <c r="M100" t="s">
        <v>27</v>
      </c>
      <c r="N100" t="s">
        <v>130</v>
      </c>
    </row>
    <row r="101" spans="1:14" x14ac:dyDescent="0.25">
      <c r="A101" t="s">
        <v>215</v>
      </c>
      <c r="B101" t="s">
        <v>1005</v>
      </c>
      <c r="C101" t="s">
        <v>168</v>
      </c>
      <c r="D101" t="s">
        <v>106</v>
      </c>
      <c r="E101" t="s">
        <v>56</v>
      </c>
      <c r="F101" t="s">
        <v>57</v>
      </c>
      <c r="G101">
        <v>30</v>
      </c>
      <c r="H101">
        <v>36.43</v>
      </c>
      <c r="I101">
        <v>1092.9000000000001</v>
      </c>
      <c r="J101">
        <v>61.97</v>
      </c>
      <c r="K101">
        <v>280.93</v>
      </c>
      <c r="L101" t="s">
        <v>38</v>
      </c>
      <c r="M101" t="s">
        <v>27</v>
      </c>
      <c r="N101" t="s">
        <v>28</v>
      </c>
    </row>
    <row r="102" spans="1:14" x14ac:dyDescent="0.25">
      <c r="A102" t="s">
        <v>216</v>
      </c>
      <c r="B102" t="s">
        <v>1004</v>
      </c>
      <c r="C102" t="s">
        <v>193</v>
      </c>
      <c r="D102" t="s">
        <v>31</v>
      </c>
      <c r="E102" t="s">
        <v>63</v>
      </c>
      <c r="F102" t="s">
        <v>37</v>
      </c>
      <c r="G102">
        <v>9</v>
      </c>
      <c r="H102">
        <v>22.27</v>
      </c>
      <c r="I102">
        <v>200.43</v>
      </c>
      <c r="J102">
        <v>13.21</v>
      </c>
      <c r="K102">
        <v>72.47</v>
      </c>
      <c r="L102" t="s">
        <v>26</v>
      </c>
      <c r="M102" t="s">
        <v>27</v>
      </c>
      <c r="N102" t="s">
        <v>28</v>
      </c>
    </row>
    <row r="103" spans="1:14" x14ac:dyDescent="0.25">
      <c r="A103" t="s">
        <v>217</v>
      </c>
      <c r="B103" t="s">
        <v>1003</v>
      </c>
      <c r="C103" t="s">
        <v>100</v>
      </c>
      <c r="D103" t="s">
        <v>129</v>
      </c>
      <c r="E103" t="s">
        <v>60</v>
      </c>
      <c r="F103" t="s">
        <v>52</v>
      </c>
      <c r="G103">
        <v>26</v>
      </c>
      <c r="H103">
        <v>27.65</v>
      </c>
      <c r="I103">
        <v>718.9</v>
      </c>
      <c r="J103">
        <v>46.25</v>
      </c>
      <c r="K103">
        <v>269.64999999999998</v>
      </c>
      <c r="L103" t="s">
        <v>26</v>
      </c>
      <c r="M103" t="s">
        <v>32</v>
      </c>
      <c r="N103" t="s">
        <v>130</v>
      </c>
    </row>
    <row r="104" spans="1:14" x14ac:dyDescent="0.25">
      <c r="A104" t="s">
        <v>218</v>
      </c>
      <c r="B104" t="s">
        <v>973</v>
      </c>
      <c r="C104" t="s">
        <v>189</v>
      </c>
      <c r="D104" t="s">
        <v>24</v>
      </c>
      <c r="E104" t="s">
        <v>60</v>
      </c>
      <c r="F104" t="s">
        <v>52</v>
      </c>
      <c r="G104">
        <v>23</v>
      </c>
      <c r="H104">
        <v>22.45</v>
      </c>
      <c r="I104">
        <v>516.35</v>
      </c>
      <c r="J104">
        <v>15.68</v>
      </c>
      <c r="K104">
        <v>144.16999999999999</v>
      </c>
      <c r="L104" t="s">
        <v>38</v>
      </c>
      <c r="M104" t="s">
        <v>32</v>
      </c>
      <c r="N104" t="s">
        <v>28</v>
      </c>
    </row>
    <row r="105" spans="1:14" x14ac:dyDescent="0.25">
      <c r="A105" t="s">
        <v>219</v>
      </c>
      <c r="B105" t="s">
        <v>909</v>
      </c>
      <c r="C105" t="s">
        <v>123</v>
      </c>
      <c r="D105" t="s">
        <v>24</v>
      </c>
      <c r="E105" t="s">
        <v>60</v>
      </c>
      <c r="F105" t="s">
        <v>52</v>
      </c>
      <c r="G105">
        <v>30</v>
      </c>
      <c r="H105">
        <v>21.93</v>
      </c>
      <c r="I105">
        <v>657.9</v>
      </c>
      <c r="J105">
        <v>24.66</v>
      </c>
      <c r="K105">
        <v>168.24</v>
      </c>
      <c r="L105" t="s">
        <v>26</v>
      </c>
      <c r="M105" t="s">
        <v>20</v>
      </c>
      <c r="N105" t="s">
        <v>28</v>
      </c>
    </row>
    <row r="106" spans="1:14" x14ac:dyDescent="0.25">
      <c r="A106" t="s">
        <v>220</v>
      </c>
      <c r="B106" t="s">
        <v>796</v>
      </c>
      <c r="C106" t="s">
        <v>221</v>
      </c>
      <c r="D106" t="s">
        <v>69</v>
      </c>
      <c r="E106" t="s">
        <v>63</v>
      </c>
      <c r="F106" t="s">
        <v>37</v>
      </c>
      <c r="G106">
        <v>43</v>
      </c>
      <c r="H106">
        <v>21.92</v>
      </c>
      <c r="I106">
        <v>942.56</v>
      </c>
      <c r="J106">
        <v>51.15</v>
      </c>
      <c r="K106">
        <v>343.16</v>
      </c>
      <c r="L106" t="s">
        <v>19</v>
      </c>
      <c r="M106" t="s">
        <v>32</v>
      </c>
      <c r="N106" t="s">
        <v>58</v>
      </c>
    </row>
    <row r="107" spans="1:14" x14ac:dyDescent="0.25">
      <c r="A107" t="s">
        <v>222</v>
      </c>
      <c r="B107" t="s">
        <v>771</v>
      </c>
      <c r="C107" t="s">
        <v>62</v>
      </c>
      <c r="D107" t="s">
        <v>35</v>
      </c>
      <c r="E107" t="s">
        <v>43</v>
      </c>
      <c r="F107" t="s">
        <v>44</v>
      </c>
      <c r="G107">
        <v>3</v>
      </c>
      <c r="H107">
        <v>56.21</v>
      </c>
      <c r="I107">
        <v>168.63</v>
      </c>
      <c r="J107">
        <v>7.56</v>
      </c>
      <c r="K107">
        <v>41.07</v>
      </c>
      <c r="L107" t="s">
        <v>38</v>
      </c>
      <c r="M107" t="s">
        <v>20</v>
      </c>
      <c r="N107" t="s">
        <v>39</v>
      </c>
    </row>
    <row r="108" spans="1:14" x14ac:dyDescent="0.25">
      <c r="A108" t="s">
        <v>223</v>
      </c>
      <c r="B108" t="s">
        <v>1002</v>
      </c>
      <c r="C108" t="s">
        <v>15</v>
      </c>
      <c r="D108" t="s">
        <v>31</v>
      </c>
      <c r="E108" t="s">
        <v>63</v>
      </c>
      <c r="F108" t="s">
        <v>37</v>
      </c>
      <c r="G108">
        <v>33</v>
      </c>
      <c r="H108">
        <v>15.44</v>
      </c>
      <c r="I108">
        <v>509.52</v>
      </c>
      <c r="J108">
        <v>19.7</v>
      </c>
      <c r="K108">
        <v>69.069999999999993</v>
      </c>
      <c r="L108" t="s">
        <v>19</v>
      </c>
      <c r="M108" t="s">
        <v>32</v>
      </c>
      <c r="N108" t="s">
        <v>28</v>
      </c>
    </row>
    <row r="109" spans="1:14" x14ac:dyDescent="0.25">
      <c r="A109" t="s">
        <v>224</v>
      </c>
      <c r="B109" t="s">
        <v>1001</v>
      </c>
      <c r="C109" t="s">
        <v>93</v>
      </c>
      <c r="D109" t="s">
        <v>86</v>
      </c>
      <c r="E109" t="s">
        <v>60</v>
      </c>
      <c r="F109" t="s">
        <v>52</v>
      </c>
      <c r="G109">
        <v>50</v>
      </c>
      <c r="H109">
        <v>23.02</v>
      </c>
      <c r="I109">
        <v>1151</v>
      </c>
      <c r="J109">
        <v>69.3</v>
      </c>
      <c r="K109">
        <v>306.7</v>
      </c>
      <c r="L109" t="s">
        <v>26</v>
      </c>
      <c r="M109" t="s">
        <v>27</v>
      </c>
      <c r="N109" t="s">
        <v>87</v>
      </c>
    </row>
    <row r="110" spans="1:14" x14ac:dyDescent="0.25">
      <c r="A110" t="s">
        <v>225</v>
      </c>
      <c r="B110" t="s">
        <v>750</v>
      </c>
      <c r="C110" t="s">
        <v>226</v>
      </c>
      <c r="D110" t="s">
        <v>35</v>
      </c>
      <c r="E110" t="s">
        <v>63</v>
      </c>
      <c r="F110" t="s">
        <v>37</v>
      </c>
      <c r="G110">
        <v>8</v>
      </c>
      <c r="H110">
        <v>17.010000000000002</v>
      </c>
      <c r="I110">
        <v>136.08000000000001</v>
      </c>
      <c r="J110">
        <v>8.84</v>
      </c>
      <c r="K110">
        <v>25.24</v>
      </c>
      <c r="L110" t="s">
        <v>19</v>
      </c>
      <c r="M110" t="s">
        <v>32</v>
      </c>
      <c r="N110" t="s">
        <v>39</v>
      </c>
    </row>
    <row r="111" spans="1:14" x14ac:dyDescent="0.25">
      <c r="A111" t="s">
        <v>227</v>
      </c>
      <c r="B111" t="s">
        <v>1000</v>
      </c>
      <c r="C111" t="s">
        <v>189</v>
      </c>
      <c r="D111" t="s">
        <v>106</v>
      </c>
      <c r="E111" t="s">
        <v>25</v>
      </c>
      <c r="F111" t="s">
        <v>18</v>
      </c>
      <c r="G111">
        <v>16</v>
      </c>
      <c r="H111">
        <v>26.47</v>
      </c>
      <c r="I111">
        <v>423.52</v>
      </c>
      <c r="J111">
        <v>15.87</v>
      </c>
      <c r="K111">
        <v>119.65</v>
      </c>
      <c r="L111" t="s">
        <v>26</v>
      </c>
      <c r="M111" t="s">
        <v>20</v>
      </c>
      <c r="N111" t="s">
        <v>28</v>
      </c>
    </row>
    <row r="112" spans="1:14" x14ac:dyDescent="0.25">
      <c r="A112" t="s">
        <v>228</v>
      </c>
      <c r="B112" t="s">
        <v>999</v>
      </c>
      <c r="C112" t="s">
        <v>170</v>
      </c>
      <c r="D112" t="s">
        <v>35</v>
      </c>
      <c r="E112" t="s">
        <v>36</v>
      </c>
      <c r="F112" t="s">
        <v>37</v>
      </c>
      <c r="G112">
        <v>32</v>
      </c>
      <c r="H112">
        <v>43.18</v>
      </c>
      <c r="I112">
        <v>1381.76</v>
      </c>
      <c r="J112">
        <v>88.54</v>
      </c>
      <c r="K112">
        <v>269.22000000000003</v>
      </c>
      <c r="L112" t="s">
        <v>26</v>
      </c>
      <c r="M112" t="s">
        <v>32</v>
      </c>
      <c r="N112" t="s">
        <v>39</v>
      </c>
    </row>
    <row r="113" spans="1:14" x14ac:dyDescent="0.25">
      <c r="A113" t="s">
        <v>229</v>
      </c>
      <c r="B113" t="s">
        <v>907</v>
      </c>
      <c r="C113" t="s">
        <v>110</v>
      </c>
      <c r="D113" t="s">
        <v>129</v>
      </c>
      <c r="E113" t="s">
        <v>60</v>
      </c>
      <c r="F113" t="s">
        <v>52</v>
      </c>
      <c r="G113">
        <v>29</v>
      </c>
      <c r="H113">
        <v>18.850000000000001</v>
      </c>
      <c r="I113">
        <v>546.65</v>
      </c>
      <c r="J113">
        <v>13.22</v>
      </c>
      <c r="K113">
        <v>83.93</v>
      </c>
      <c r="L113" t="s">
        <v>19</v>
      </c>
      <c r="M113" t="s">
        <v>32</v>
      </c>
      <c r="N113" t="s">
        <v>130</v>
      </c>
    </row>
    <row r="114" spans="1:14" x14ac:dyDescent="0.25">
      <c r="A114" t="s">
        <v>230</v>
      </c>
      <c r="B114" t="s">
        <v>998</v>
      </c>
      <c r="C114" t="s">
        <v>231</v>
      </c>
      <c r="D114" t="s">
        <v>106</v>
      </c>
      <c r="E114" t="s">
        <v>43</v>
      </c>
      <c r="F114" t="s">
        <v>44</v>
      </c>
      <c r="G114">
        <v>16</v>
      </c>
      <c r="H114">
        <v>64.400000000000006</v>
      </c>
      <c r="I114">
        <v>1030.4000000000001</v>
      </c>
      <c r="J114">
        <v>61.72</v>
      </c>
      <c r="K114">
        <v>328.68</v>
      </c>
      <c r="L114" t="s">
        <v>26</v>
      </c>
      <c r="M114" t="s">
        <v>27</v>
      </c>
      <c r="N114" t="s">
        <v>28</v>
      </c>
    </row>
    <row r="115" spans="1:14" x14ac:dyDescent="0.25">
      <c r="A115" t="s">
        <v>232</v>
      </c>
      <c r="B115" t="s">
        <v>997</v>
      </c>
      <c r="C115" t="s">
        <v>233</v>
      </c>
      <c r="D115" t="s">
        <v>69</v>
      </c>
      <c r="E115" t="s">
        <v>60</v>
      </c>
      <c r="F115" t="s">
        <v>52</v>
      </c>
      <c r="G115">
        <v>15</v>
      </c>
      <c r="H115">
        <v>19.53</v>
      </c>
      <c r="I115">
        <v>292.95</v>
      </c>
      <c r="J115">
        <v>7.15</v>
      </c>
      <c r="K115">
        <v>53.3</v>
      </c>
      <c r="L115" t="s">
        <v>38</v>
      </c>
      <c r="M115" t="s">
        <v>27</v>
      </c>
      <c r="N115" t="s">
        <v>58</v>
      </c>
    </row>
    <row r="116" spans="1:14" x14ac:dyDescent="0.25">
      <c r="A116" t="s">
        <v>234</v>
      </c>
      <c r="B116" t="s">
        <v>996</v>
      </c>
      <c r="C116" t="s">
        <v>113</v>
      </c>
      <c r="D116" t="s">
        <v>151</v>
      </c>
      <c r="E116" t="s">
        <v>48</v>
      </c>
      <c r="F116" t="s">
        <v>37</v>
      </c>
      <c r="G116">
        <v>36</v>
      </c>
      <c r="H116">
        <v>26.05</v>
      </c>
      <c r="I116">
        <v>937.8</v>
      </c>
      <c r="J116">
        <v>32.799999999999997</v>
      </c>
      <c r="K116">
        <v>185</v>
      </c>
      <c r="L116" t="s">
        <v>19</v>
      </c>
      <c r="M116" t="s">
        <v>32</v>
      </c>
      <c r="N116" t="s">
        <v>28</v>
      </c>
    </row>
    <row r="117" spans="1:14" x14ac:dyDescent="0.25">
      <c r="A117" t="s">
        <v>235</v>
      </c>
      <c r="B117" t="s">
        <v>995</v>
      </c>
      <c r="C117" t="s">
        <v>54</v>
      </c>
      <c r="D117" t="s">
        <v>86</v>
      </c>
      <c r="E117" t="s">
        <v>36</v>
      </c>
      <c r="F117" t="s">
        <v>37</v>
      </c>
      <c r="G117">
        <v>26</v>
      </c>
      <c r="H117">
        <v>47.52</v>
      </c>
      <c r="I117">
        <v>1235.52</v>
      </c>
      <c r="J117">
        <v>31.41</v>
      </c>
      <c r="K117">
        <v>372.11</v>
      </c>
      <c r="L117" t="s">
        <v>26</v>
      </c>
      <c r="M117" t="s">
        <v>20</v>
      </c>
      <c r="N117" t="s">
        <v>87</v>
      </c>
    </row>
    <row r="118" spans="1:14" x14ac:dyDescent="0.25">
      <c r="A118" t="s">
        <v>236</v>
      </c>
      <c r="B118" t="s">
        <v>847</v>
      </c>
      <c r="C118" t="s">
        <v>211</v>
      </c>
      <c r="D118" t="s">
        <v>106</v>
      </c>
      <c r="E118" t="s">
        <v>25</v>
      </c>
      <c r="F118" t="s">
        <v>18</v>
      </c>
      <c r="G118">
        <v>38</v>
      </c>
      <c r="H118">
        <v>26.38</v>
      </c>
      <c r="I118">
        <v>1002.44</v>
      </c>
      <c r="J118">
        <v>33.049999999999997</v>
      </c>
      <c r="K118">
        <v>285.39</v>
      </c>
      <c r="L118" t="s">
        <v>26</v>
      </c>
      <c r="M118" t="s">
        <v>20</v>
      </c>
      <c r="N118" t="s">
        <v>28</v>
      </c>
    </row>
    <row r="119" spans="1:14" x14ac:dyDescent="0.25">
      <c r="A119" t="s">
        <v>237</v>
      </c>
      <c r="B119" t="s">
        <v>966</v>
      </c>
      <c r="C119" t="s">
        <v>139</v>
      </c>
      <c r="D119" t="s">
        <v>77</v>
      </c>
      <c r="E119" t="s">
        <v>63</v>
      </c>
      <c r="F119" t="s">
        <v>37</v>
      </c>
      <c r="G119">
        <v>7</v>
      </c>
      <c r="H119">
        <v>17.66</v>
      </c>
      <c r="I119">
        <v>123.62</v>
      </c>
      <c r="J119">
        <v>6.95</v>
      </c>
      <c r="K119">
        <v>27.42</v>
      </c>
      <c r="L119" t="s">
        <v>19</v>
      </c>
      <c r="M119" t="s">
        <v>20</v>
      </c>
      <c r="N119" t="s">
        <v>58</v>
      </c>
    </row>
    <row r="120" spans="1:14" x14ac:dyDescent="0.25">
      <c r="A120" t="s">
        <v>238</v>
      </c>
      <c r="B120" t="s">
        <v>948</v>
      </c>
      <c r="C120" t="s">
        <v>142</v>
      </c>
      <c r="D120" t="s">
        <v>129</v>
      </c>
      <c r="E120" t="s">
        <v>17</v>
      </c>
      <c r="F120" t="s">
        <v>18</v>
      </c>
      <c r="G120">
        <v>26</v>
      </c>
      <c r="H120">
        <v>51.5</v>
      </c>
      <c r="I120">
        <v>1339</v>
      </c>
      <c r="J120">
        <v>92.09</v>
      </c>
      <c r="K120">
        <v>336.91</v>
      </c>
      <c r="L120" t="s">
        <v>26</v>
      </c>
      <c r="M120" t="s">
        <v>27</v>
      </c>
      <c r="N120" t="s">
        <v>130</v>
      </c>
    </row>
    <row r="121" spans="1:14" x14ac:dyDescent="0.25">
      <c r="A121" t="s">
        <v>239</v>
      </c>
      <c r="B121" t="s">
        <v>994</v>
      </c>
      <c r="C121" t="s">
        <v>240</v>
      </c>
      <c r="D121" t="s">
        <v>16</v>
      </c>
      <c r="E121" t="s">
        <v>60</v>
      </c>
      <c r="F121" t="s">
        <v>52</v>
      </c>
      <c r="G121">
        <v>27</v>
      </c>
      <c r="H121">
        <v>25</v>
      </c>
      <c r="I121">
        <v>675</v>
      </c>
      <c r="J121">
        <v>15.49</v>
      </c>
      <c r="K121">
        <v>241.01</v>
      </c>
      <c r="L121" t="s">
        <v>26</v>
      </c>
      <c r="M121" t="s">
        <v>27</v>
      </c>
      <c r="N121" t="s">
        <v>21</v>
      </c>
    </row>
    <row r="122" spans="1:14" x14ac:dyDescent="0.25">
      <c r="A122" t="s">
        <v>241</v>
      </c>
      <c r="B122" t="s">
        <v>993</v>
      </c>
      <c r="C122" t="s">
        <v>46</v>
      </c>
      <c r="D122" t="s">
        <v>86</v>
      </c>
      <c r="E122" t="s">
        <v>63</v>
      </c>
      <c r="F122" t="s">
        <v>37</v>
      </c>
      <c r="G122">
        <v>4</v>
      </c>
      <c r="H122">
        <v>19</v>
      </c>
      <c r="I122">
        <v>76</v>
      </c>
      <c r="J122">
        <v>3.78</v>
      </c>
      <c r="K122">
        <v>21.22</v>
      </c>
      <c r="L122" t="s">
        <v>26</v>
      </c>
      <c r="M122" t="s">
        <v>32</v>
      </c>
      <c r="N122" t="s">
        <v>87</v>
      </c>
    </row>
    <row r="123" spans="1:14" x14ac:dyDescent="0.25">
      <c r="A123" t="s">
        <v>242</v>
      </c>
      <c r="B123" t="s">
        <v>992</v>
      </c>
      <c r="C123" t="s">
        <v>193</v>
      </c>
      <c r="D123" t="s">
        <v>42</v>
      </c>
      <c r="E123" t="s">
        <v>60</v>
      </c>
      <c r="F123" t="s">
        <v>52</v>
      </c>
      <c r="G123">
        <v>24</v>
      </c>
      <c r="H123">
        <v>26.63</v>
      </c>
      <c r="I123">
        <v>639.12</v>
      </c>
      <c r="J123">
        <v>31.92</v>
      </c>
      <c r="K123">
        <v>235.2</v>
      </c>
      <c r="L123" t="s">
        <v>38</v>
      </c>
      <c r="M123" t="s">
        <v>32</v>
      </c>
      <c r="N123" t="s">
        <v>21</v>
      </c>
    </row>
    <row r="124" spans="1:14" x14ac:dyDescent="0.25">
      <c r="A124" t="s">
        <v>243</v>
      </c>
      <c r="B124" t="s">
        <v>795</v>
      </c>
      <c r="C124" t="s">
        <v>81</v>
      </c>
      <c r="D124" t="s">
        <v>69</v>
      </c>
      <c r="E124" t="s">
        <v>56</v>
      </c>
      <c r="F124" t="s">
        <v>57</v>
      </c>
      <c r="G124">
        <v>26</v>
      </c>
      <c r="H124">
        <v>43.14</v>
      </c>
      <c r="I124">
        <v>1121.6400000000001</v>
      </c>
      <c r="J124">
        <v>48.08</v>
      </c>
      <c r="K124">
        <v>423.56</v>
      </c>
      <c r="L124" t="s">
        <v>19</v>
      </c>
      <c r="M124" t="s">
        <v>27</v>
      </c>
      <c r="N124" t="s">
        <v>58</v>
      </c>
    </row>
    <row r="125" spans="1:14" x14ac:dyDescent="0.25">
      <c r="A125" t="s">
        <v>244</v>
      </c>
      <c r="B125" t="s">
        <v>913</v>
      </c>
      <c r="C125" t="s">
        <v>199</v>
      </c>
      <c r="D125" t="s">
        <v>42</v>
      </c>
      <c r="E125" t="s">
        <v>56</v>
      </c>
      <c r="F125" t="s">
        <v>57</v>
      </c>
      <c r="G125">
        <v>39</v>
      </c>
      <c r="H125">
        <v>30.01</v>
      </c>
      <c r="I125">
        <v>1170.3900000000001</v>
      </c>
      <c r="J125">
        <v>60.43</v>
      </c>
      <c r="K125">
        <v>134.96</v>
      </c>
      <c r="L125" t="s">
        <v>26</v>
      </c>
      <c r="M125" t="s">
        <v>20</v>
      </c>
      <c r="N125" t="s">
        <v>21</v>
      </c>
    </row>
    <row r="126" spans="1:14" x14ac:dyDescent="0.25">
      <c r="A126" t="s">
        <v>245</v>
      </c>
      <c r="B126" t="s">
        <v>986</v>
      </c>
      <c r="C126" t="s">
        <v>246</v>
      </c>
      <c r="D126" t="s">
        <v>151</v>
      </c>
      <c r="E126" t="s">
        <v>51</v>
      </c>
      <c r="F126" t="s">
        <v>52</v>
      </c>
      <c r="G126">
        <v>5</v>
      </c>
      <c r="H126">
        <v>31.31</v>
      </c>
      <c r="I126">
        <v>156.55000000000001</v>
      </c>
      <c r="J126">
        <v>4.04</v>
      </c>
      <c r="K126">
        <v>40.01</v>
      </c>
      <c r="L126" t="s">
        <v>38</v>
      </c>
      <c r="M126" t="s">
        <v>32</v>
      </c>
      <c r="N126" t="s">
        <v>28</v>
      </c>
    </row>
    <row r="127" spans="1:14" x14ac:dyDescent="0.25">
      <c r="A127" t="s">
        <v>247</v>
      </c>
      <c r="B127" t="s">
        <v>889</v>
      </c>
      <c r="C127" t="s">
        <v>183</v>
      </c>
      <c r="D127" t="s">
        <v>16</v>
      </c>
      <c r="E127" t="s">
        <v>83</v>
      </c>
      <c r="F127" t="s">
        <v>52</v>
      </c>
      <c r="G127">
        <v>42</v>
      </c>
      <c r="H127">
        <v>36.950000000000003</v>
      </c>
      <c r="I127">
        <v>1551.9</v>
      </c>
      <c r="J127">
        <v>74.260000000000005</v>
      </c>
      <c r="K127">
        <v>301.64</v>
      </c>
      <c r="L127" t="s">
        <v>26</v>
      </c>
      <c r="M127" t="s">
        <v>27</v>
      </c>
      <c r="N127" t="s">
        <v>21</v>
      </c>
    </row>
    <row r="128" spans="1:14" x14ac:dyDescent="0.25">
      <c r="A128" t="s">
        <v>248</v>
      </c>
      <c r="B128" t="s">
        <v>902</v>
      </c>
      <c r="C128" t="s">
        <v>249</v>
      </c>
      <c r="D128" t="s">
        <v>69</v>
      </c>
      <c r="E128" t="s">
        <v>43</v>
      </c>
      <c r="F128" t="s">
        <v>44</v>
      </c>
      <c r="G128">
        <v>36</v>
      </c>
      <c r="H128">
        <v>57.37</v>
      </c>
      <c r="I128">
        <v>2065.3200000000002</v>
      </c>
      <c r="J128">
        <v>94.34</v>
      </c>
      <c r="K128">
        <v>530.98</v>
      </c>
      <c r="L128" t="s">
        <v>38</v>
      </c>
      <c r="M128" t="s">
        <v>20</v>
      </c>
      <c r="N128" t="s">
        <v>58</v>
      </c>
    </row>
    <row r="129" spans="1:14" x14ac:dyDescent="0.25">
      <c r="A129" t="s">
        <v>250</v>
      </c>
      <c r="B129" t="s">
        <v>939</v>
      </c>
      <c r="C129" t="s">
        <v>34</v>
      </c>
      <c r="D129" t="s">
        <v>74</v>
      </c>
      <c r="E129" t="s">
        <v>83</v>
      </c>
      <c r="F129" t="s">
        <v>52</v>
      </c>
      <c r="G129">
        <v>13</v>
      </c>
      <c r="H129">
        <v>40.18</v>
      </c>
      <c r="I129">
        <v>522.34</v>
      </c>
      <c r="J129">
        <v>37.369999999999997</v>
      </c>
      <c r="K129">
        <v>120.97</v>
      </c>
      <c r="L129" t="s">
        <v>26</v>
      </c>
      <c r="M129" t="s">
        <v>32</v>
      </c>
      <c r="N129" t="s">
        <v>58</v>
      </c>
    </row>
    <row r="130" spans="1:14" x14ac:dyDescent="0.25">
      <c r="A130" t="s">
        <v>251</v>
      </c>
      <c r="B130" t="s">
        <v>949</v>
      </c>
      <c r="C130" t="s">
        <v>207</v>
      </c>
      <c r="D130" t="s">
        <v>77</v>
      </c>
      <c r="E130" t="s">
        <v>36</v>
      </c>
      <c r="F130" t="s">
        <v>37</v>
      </c>
      <c r="G130">
        <v>37</v>
      </c>
      <c r="H130">
        <v>39.299999999999997</v>
      </c>
      <c r="I130">
        <v>1454.1</v>
      </c>
      <c r="J130">
        <v>67.08</v>
      </c>
      <c r="K130">
        <v>203.02</v>
      </c>
      <c r="L130" t="s">
        <v>38</v>
      </c>
      <c r="M130" t="s">
        <v>20</v>
      </c>
      <c r="N130" t="s">
        <v>58</v>
      </c>
    </row>
    <row r="131" spans="1:14" x14ac:dyDescent="0.25">
      <c r="A131" t="s">
        <v>252</v>
      </c>
      <c r="B131" t="s">
        <v>991</v>
      </c>
      <c r="C131" t="s">
        <v>193</v>
      </c>
      <c r="D131" t="s">
        <v>42</v>
      </c>
      <c r="E131" t="s">
        <v>36</v>
      </c>
      <c r="F131" t="s">
        <v>37</v>
      </c>
      <c r="G131">
        <v>17</v>
      </c>
      <c r="H131">
        <v>43.28</v>
      </c>
      <c r="I131">
        <v>735.76</v>
      </c>
      <c r="J131">
        <v>50.96</v>
      </c>
      <c r="K131">
        <v>140.80000000000001</v>
      </c>
      <c r="L131" t="s">
        <v>26</v>
      </c>
      <c r="M131" t="s">
        <v>27</v>
      </c>
      <c r="N131" t="s">
        <v>21</v>
      </c>
    </row>
    <row r="132" spans="1:14" x14ac:dyDescent="0.25">
      <c r="A132" t="s">
        <v>253</v>
      </c>
      <c r="B132" t="s">
        <v>956</v>
      </c>
      <c r="C132" t="s">
        <v>15</v>
      </c>
      <c r="D132" t="s">
        <v>74</v>
      </c>
      <c r="E132" t="s">
        <v>17</v>
      </c>
      <c r="F132" t="s">
        <v>18</v>
      </c>
      <c r="G132">
        <v>22</v>
      </c>
      <c r="H132">
        <v>62.79</v>
      </c>
      <c r="I132">
        <v>1381.38</v>
      </c>
      <c r="J132">
        <v>75.84</v>
      </c>
      <c r="K132">
        <v>535.54</v>
      </c>
      <c r="L132" t="s">
        <v>38</v>
      </c>
      <c r="M132" t="s">
        <v>32</v>
      </c>
      <c r="N132" t="s">
        <v>58</v>
      </c>
    </row>
    <row r="133" spans="1:14" x14ac:dyDescent="0.25">
      <c r="A133" t="s">
        <v>254</v>
      </c>
      <c r="B133" t="s">
        <v>760</v>
      </c>
      <c r="C133" t="s">
        <v>156</v>
      </c>
      <c r="D133" t="s">
        <v>151</v>
      </c>
      <c r="E133" t="s">
        <v>43</v>
      </c>
      <c r="F133" t="s">
        <v>44</v>
      </c>
      <c r="G133">
        <v>23</v>
      </c>
      <c r="H133">
        <v>56.76</v>
      </c>
      <c r="I133">
        <v>1305.48</v>
      </c>
      <c r="J133">
        <v>62.93</v>
      </c>
      <c r="K133">
        <v>322.55</v>
      </c>
      <c r="L133" t="s">
        <v>38</v>
      </c>
      <c r="M133" t="s">
        <v>32</v>
      </c>
      <c r="N133" t="s">
        <v>28</v>
      </c>
    </row>
    <row r="134" spans="1:14" x14ac:dyDescent="0.25">
      <c r="A134" t="s">
        <v>255</v>
      </c>
      <c r="B134" t="s">
        <v>868</v>
      </c>
      <c r="C134" t="s">
        <v>30</v>
      </c>
      <c r="D134" t="s">
        <v>24</v>
      </c>
      <c r="E134" t="s">
        <v>43</v>
      </c>
      <c r="F134" t="s">
        <v>44</v>
      </c>
      <c r="G134">
        <v>22</v>
      </c>
      <c r="H134">
        <v>60.13</v>
      </c>
      <c r="I134">
        <v>1322.86</v>
      </c>
      <c r="J134">
        <v>54.06</v>
      </c>
      <c r="K134">
        <v>388.8</v>
      </c>
      <c r="L134" t="s">
        <v>38</v>
      </c>
      <c r="M134" t="s">
        <v>27</v>
      </c>
      <c r="N134" t="s">
        <v>28</v>
      </c>
    </row>
    <row r="135" spans="1:14" x14ac:dyDescent="0.25">
      <c r="A135" t="s">
        <v>256</v>
      </c>
      <c r="B135" t="s">
        <v>795</v>
      </c>
      <c r="C135" t="s">
        <v>257</v>
      </c>
      <c r="D135" t="s">
        <v>69</v>
      </c>
      <c r="E135" t="s">
        <v>56</v>
      </c>
      <c r="F135" t="s">
        <v>57</v>
      </c>
      <c r="G135">
        <v>21</v>
      </c>
      <c r="H135">
        <v>40.98</v>
      </c>
      <c r="I135">
        <v>860.58</v>
      </c>
      <c r="J135">
        <v>37.01</v>
      </c>
      <c r="K135">
        <v>298.57</v>
      </c>
      <c r="L135" t="s">
        <v>19</v>
      </c>
      <c r="M135" t="s">
        <v>32</v>
      </c>
      <c r="N135" t="s">
        <v>58</v>
      </c>
    </row>
    <row r="136" spans="1:14" x14ac:dyDescent="0.25">
      <c r="A136" t="s">
        <v>258</v>
      </c>
      <c r="B136" t="s">
        <v>736</v>
      </c>
      <c r="C136" t="s">
        <v>117</v>
      </c>
      <c r="D136" t="s">
        <v>35</v>
      </c>
      <c r="E136" t="s">
        <v>43</v>
      </c>
      <c r="F136" t="s">
        <v>44</v>
      </c>
      <c r="G136">
        <v>36</v>
      </c>
      <c r="H136">
        <v>54.6</v>
      </c>
      <c r="I136">
        <v>1965.6</v>
      </c>
      <c r="J136">
        <v>150.34</v>
      </c>
      <c r="K136">
        <v>375.26</v>
      </c>
      <c r="L136" t="s">
        <v>26</v>
      </c>
      <c r="M136" t="s">
        <v>20</v>
      </c>
      <c r="N136" t="s">
        <v>39</v>
      </c>
    </row>
    <row r="137" spans="1:14" x14ac:dyDescent="0.25">
      <c r="A137" t="s">
        <v>259</v>
      </c>
      <c r="B137" t="s">
        <v>990</v>
      </c>
      <c r="C137" t="s">
        <v>226</v>
      </c>
      <c r="D137" t="s">
        <v>31</v>
      </c>
      <c r="E137" t="s">
        <v>60</v>
      </c>
      <c r="F137" t="s">
        <v>52</v>
      </c>
      <c r="G137">
        <v>1</v>
      </c>
      <c r="H137">
        <v>27.49</v>
      </c>
      <c r="I137">
        <v>27.49</v>
      </c>
      <c r="J137">
        <v>0.63</v>
      </c>
      <c r="K137">
        <v>11.36</v>
      </c>
      <c r="L137" t="s">
        <v>26</v>
      </c>
      <c r="M137" t="s">
        <v>32</v>
      </c>
      <c r="N137" t="s">
        <v>28</v>
      </c>
    </row>
    <row r="138" spans="1:14" x14ac:dyDescent="0.25">
      <c r="A138" t="s">
        <v>260</v>
      </c>
      <c r="B138" t="s">
        <v>806</v>
      </c>
      <c r="C138" t="s">
        <v>261</v>
      </c>
      <c r="D138" t="s">
        <v>69</v>
      </c>
      <c r="E138" t="s">
        <v>36</v>
      </c>
      <c r="F138" t="s">
        <v>37</v>
      </c>
      <c r="G138">
        <v>50</v>
      </c>
      <c r="H138">
        <v>41.11</v>
      </c>
      <c r="I138">
        <v>2055.5</v>
      </c>
      <c r="J138">
        <v>95.61</v>
      </c>
      <c r="K138">
        <v>359.89</v>
      </c>
      <c r="L138" t="s">
        <v>38</v>
      </c>
      <c r="M138" t="s">
        <v>27</v>
      </c>
      <c r="N138" t="s">
        <v>58</v>
      </c>
    </row>
    <row r="139" spans="1:14" x14ac:dyDescent="0.25">
      <c r="A139" t="s">
        <v>262</v>
      </c>
      <c r="B139" t="s">
        <v>826</v>
      </c>
      <c r="C139" t="s">
        <v>119</v>
      </c>
      <c r="D139" t="s">
        <v>55</v>
      </c>
      <c r="E139" t="s">
        <v>60</v>
      </c>
      <c r="F139" t="s">
        <v>52</v>
      </c>
      <c r="G139">
        <v>18</v>
      </c>
      <c r="H139">
        <v>25.54</v>
      </c>
      <c r="I139">
        <v>459.72</v>
      </c>
      <c r="J139">
        <v>27.02</v>
      </c>
      <c r="K139">
        <v>153.69999999999999</v>
      </c>
      <c r="L139" t="s">
        <v>26</v>
      </c>
      <c r="M139" t="s">
        <v>20</v>
      </c>
      <c r="N139" t="s">
        <v>58</v>
      </c>
    </row>
    <row r="140" spans="1:14" x14ac:dyDescent="0.25">
      <c r="A140" t="s">
        <v>263</v>
      </c>
      <c r="B140" t="s">
        <v>846</v>
      </c>
      <c r="C140" t="s">
        <v>231</v>
      </c>
      <c r="D140" t="s">
        <v>77</v>
      </c>
      <c r="E140" t="s">
        <v>83</v>
      </c>
      <c r="F140" t="s">
        <v>52</v>
      </c>
      <c r="G140">
        <v>4</v>
      </c>
      <c r="H140">
        <v>47.52</v>
      </c>
      <c r="I140">
        <v>190.08</v>
      </c>
      <c r="J140">
        <v>10.23</v>
      </c>
      <c r="K140">
        <v>67.849999999999994</v>
      </c>
      <c r="L140" t="s">
        <v>19</v>
      </c>
      <c r="M140" t="s">
        <v>20</v>
      </c>
      <c r="N140" t="s">
        <v>58</v>
      </c>
    </row>
    <row r="141" spans="1:14" x14ac:dyDescent="0.25">
      <c r="A141" t="s">
        <v>264</v>
      </c>
      <c r="B141" t="s">
        <v>893</v>
      </c>
      <c r="C141" t="s">
        <v>170</v>
      </c>
      <c r="D141" t="s">
        <v>31</v>
      </c>
      <c r="E141" t="s">
        <v>56</v>
      </c>
      <c r="F141" t="s">
        <v>57</v>
      </c>
      <c r="G141">
        <v>29</v>
      </c>
      <c r="H141">
        <v>30.48</v>
      </c>
      <c r="I141">
        <v>883.92</v>
      </c>
      <c r="J141">
        <v>33.15</v>
      </c>
      <c r="K141">
        <v>125.77</v>
      </c>
      <c r="L141" t="s">
        <v>38</v>
      </c>
      <c r="M141" t="s">
        <v>20</v>
      </c>
      <c r="N141" t="s">
        <v>28</v>
      </c>
    </row>
    <row r="142" spans="1:14" x14ac:dyDescent="0.25">
      <c r="A142" t="s">
        <v>265</v>
      </c>
      <c r="B142" t="s">
        <v>989</v>
      </c>
      <c r="C142" t="s">
        <v>168</v>
      </c>
      <c r="D142" t="s">
        <v>86</v>
      </c>
      <c r="E142" t="s">
        <v>43</v>
      </c>
      <c r="F142" t="s">
        <v>44</v>
      </c>
      <c r="G142">
        <v>27</v>
      </c>
      <c r="H142">
        <v>50.39</v>
      </c>
      <c r="I142">
        <v>1360.53</v>
      </c>
      <c r="J142">
        <v>106.4</v>
      </c>
      <c r="K142">
        <v>174.13</v>
      </c>
      <c r="L142" t="s">
        <v>26</v>
      </c>
      <c r="M142" t="s">
        <v>27</v>
      </c>
      <c r="N142" t="s">
        <v>87</v>
      </c>
    </row>
    <row r="143" spans="1:14" x14ac:dyDescent="0.25">
      <c r="A143" t="s">
        <v>266</v>
      </c>
      <c r="B143" t="s">
        <v>988</v>
      </c>
      <c r="C143" t="s">
        <v>145</v>
      </c>
      <c r="D143" t="s">
        <v>151</v>
      </c>
      <c r="E143" t="s">
        <v>56</v>
      </c>
      <c r="F143" t="s">
        <v>57</v>
      </c>
      <c r="G143">
        <v>34</v>
      </c>
      <c r="H143">
        <v>37.68</v>
      </c>
      <c r="I143">
        <v>1281.1199999999999</v>
      </c>
      <c r="J143">
        <v>54.86</v>
      </c>
      <c r="K143">
        <v>376.26</v>
      </c>
      <c r="L143" t="s">
        <v>38</v>
      </c>
      <c r="M143" t="s">
        <v>20</v>
      </c>
      <c r="N143" t="s">
        <v>28</v>
      </c>
    </row>
    <row r="144" spans="1:14" x14ac:dyDescent="0.25">
      <c r="A144" t="s">
        <v>267</v>
      </c>
      <c r="B144" t="s">
        <v>987</v>
      </c>
      <c r="C144" t="s">
        <v>268</v>
      </c>
      <c r="D144" t="s">
        <v>77</v>
      </c>
      <c r="E144" t="s">
        <v>56</v>
      </c>
      <c r="F144" t="s">
        <v>57</v>
      </c>
      <c r="G144">
        <v>3</v>
      </c>
      <c r="H144">
        <v>39.32</v>
      </c>
      <c r="I144">
        <v>117.96</v>
      </c>
      <c r="J144">
        <v>6.97</v>
      </c>
      <c r="K144">
        <v>35.99</v>
      </c>
      <c r="L144" t="s">
        <v>26</v>
      </c>
      <c r="M144" t="s">
        <v>27</v>
      </c>
      <c r="N144" t="s">
        <v>58</v>
      </c>
    </row>
    <row r="145" spans="1:14" x14ac:dyDescent="0.25">
      <c r="A145" t="s">
        <v>269</v>
      </c>
      <c r="B145" t="s">
        <v>986</v>
      </c>
      <c r="C145" t="s">
        <v>233</v>
      </c>
      <c r="D145" t="s">
        <v>42</v>
      </c>
      <c r="E145" t="s">
        <v>63</v>
      </c>
      <c r="F145" t="s">
        <v>37</v>
      </c>
      <c r="G145">
        <v>24</v>
      </c>
      <c r="H145">
        <v>18</v>
      </c>
      <c r="I145">
        <v>432</v>
      </c>
      <c r="J145">
        <v>22.68</v>
      </c>
      <c r="K145">
        <v>103.32</v>
      </c>
      <c r="L145" t="s">
        <v>19</v>
      </c>
      <c r="M145" t="s">
        <v>32</v>
      </c>
      <c r="N145" t="s">
        <v>21</v>
      </c>
    </row>
    <row r="146" spans="1:14" x14ac:dyDescent="0.25">
      <c r="A146" t="s">
        <v>270</v>
      </c>
      <c r="B146" t="s">
        <v>985</v>
      </c>
      <c r="C146" t="s">
        <v>100</v>
      </c>
      <c r="D146" t="s">
        <v>24</v>
      </c>
      <c r="E146" t="s">
        <v>51</v>
      </c>
      <c r="F146" t="s">
        <v>52</v>
      </c>
      <c r="G146">
        <v>5</v>
      </c>
      <c r="H146">
        <v>36.43</v>
      </c>
      <c r="I146">
        <v>182.15</v>
      </c>
      <c r="J146">
        <v>7.82</v>
      </c>
      <c r="K146">
        <v>61.83</v>
      </c>
      <c r="L146" t="s">
        <v>19</v>
      </c>
      <c r="M146" t="s">
        <v>32</v>
      </c>
      <c r="N146" t="s">
        <v>28</v>
      </c>
    </row>
    <row r="147" spans="1:14" x14ac:dyDescent="0.25">
      <c r="A147" t="s">
        <v>271</v>
      </c>
      <c r="B147" t="s">
        <v>831</v>
      </c>
      <c r="C147" t="s">
        <v>105</v>
      </c>
      <c r="D147" t="s">
        <v>55</v>
      </c>
      <c r="E147" t="s">
        <v>51</v>
      </c>
      <c r="F147" t="s">
        <v>52</v>
      </c>
      <c r="G147">
        <v>27</v>
      </c>
      <c r="H147">
        <v>38.39</v>
      </c>
      <c r="I147">
        <v>1036.53</v>
      </c>
      <c r="J147">
        <v>28.6</v>
      </c>
      <c r="K147">
        <v>400.43</v>
      </c>
      <c r="L147" t="s">
        <v>26</v>
      </c>
      <c r="M147" t="s">
        <v>20</v>
      </c>
      <c r="N147" t="s">
        <v>58</v>
      </c>
    </row>
    <row r="148" spans="1:14" x14ac:dyDescent="0.25">
      <c r="A148" t="s">
        <v>272</v>
      </c>
      <c r="B148" t="s">
        <v>906</v>
      </c>
      <c r="C148" t="s">
        <v>137</v>
      </c>
      <c r="D148" t="s">
        <v>35</v>
      </c>
      <c r="E148" t="s">
        <v>83</v>
      </c>
      <c r="F148" t="s">
        <v>52</v>
      </c>
      <c r="G148">
        <v>10</v>
      </c>
      <c r="H148">
        <v>47.5</v>
      </c>
      <c r="I148">
        <v>475</v>
      </c>
      <c r="J148">
        <v>15.95</v>
      </c>
      <c r="K148">
        <v>179.05</v>
      </c>
      <c r="L148" t="s">
        <v>19</v>
      </c>
      <c r="M148" t="s">
        <v>20</v>
      </c>
      <c r="N148" t="s">
        <v>39</v>
      </c>
    </row>
    <row r="149" spans="1:14" x14ac:dyDescent="0.25">
      <c r="A149" t="s">
        <v>273</v>
      </c>
      <c r="B149" t="s">
        <v>984</v>
      </c>
      <c r="C149" t="s">
        <v>274</v>
      </c>
      <c r="D149" t="s">
        <v>74</v>
      </c>
      <c r="E149" t="s">
        <v>36</v>
      </c>
      <c r="F149" t="s">
        <v>37</v>
      </c>
      <c r="G149">
        <v>47</v>
      </c>
      <c r="H149">
        <v>50.13</v>
      </c>
      <c r="I149">
        <v>2356.11</v>
      </c>
      <c r="J149">
        <v>166.22</v>
      </c>
      <c r="K149">
        <v>685.89</v>
      </c>
      <c r="L149" t="s">
        <v>19</v>
      </c>
      <c r="M149" t="s">
        <v>20</v>
      </c>
      <c r="N149" t="s">
        <v>58</v>
      </c>
    </row>
    <row r="150" spans="1:14" x14ac:dyDescent="0.25">
      <c r="A150" t="s">
        <v>275</v>
      </c>
      <c r="B150" t="s">
        <v>983</v>
      </c>
      <c r="C150" t="s">
        <v>276</v>
      </c>
      <c r="D150" t="s">
        <v>47</v>
      </c>
      <c r="E150" t="s">
        <v>83</v>
      </c>
      <c r="F150" t="s">
        <v>52</v>
      </c>
      <c r="G150">
        <v>47</v>
      </c>
      <c r="H150">
        <v>42.25</v>
      </c>
      <c r="I150">
        <v>1985.75</v>
      </c>
      <c r="J150">
        <v>116.75</v>
      </c>
      <c r="K150">
        <v>553</v>
      </c>
      <c r="L150" t="s">
        <v>26</v>
      </c>
      <c r="M150" t="s">
        <v>20</v>
      </c>
      <c r="N150" t="s">
        <v>21</v>
      </c>
    </row>
    <row r="151" spans="1:14" x14ac:dyDescent="0.25">
      <c r="A151" t="s">
        <v>277</v>
      </c>
      <c r="B151" t="s">
        <v>982</v>
      </c>
      <c r="C151" t="s">
        <v>278</v>
      </c>
      <c r="D151" t="s">
        <v>55</v>
      </c>
      <c r="E151" t="s">
        <v>56</v>
      </c>
      <c r="F151" t="s">
        <v>57</v>
      </c>
      <c r="G151">
        <v>18</v>
      </c>
      <c r="H151">
        <v>38.26</v>
      </c>
      <c r="I151">
        <v>688.68</v>
      </c>
      <c r="J151">
        <v>18.78</v>
      </c>
      <c r="K151">
        <v>219.9</v>
      </c>
      <c r="L151" t="s">
        <v>26</v>
      </c>
      <c r="M151" t="s">
        <v>20</v>
      </c>
      <c r="N151" t="s">
        <v>58</v>
      </c>
    </row>
    <row r="152" spans="1:14" x14ac:dyDescent="0.25">
      <c r="A152" t="s">
        <v>279</v>
      </c>
      <c r="B152" t="s">
        <v>957</v>
      </c>
      <c r="C152" t="s">
        <v>85</v>
      </c>
      <c r="D152" t="s">
        <v>69</v>
      </c>
      <c r="E152" t="s">
        <v>83</v>
      </c>
      <c r="F152" t="s">
        <v>52</v>
      </c>
      <c r="G152">
        <v>31</v>
      </c>
      <c r="H152">
        <v>46.66</v>
      </c>
      <c r="I152">
        <v>1446.46</v>
      </c>
      <c r="J152">
        <v>109.24</v>
      </c>
      <c r="K152">
        <v>469.22</v>
      </c>
      <c r="L152" t="s">
        <v>19</v>
      </c>
      <c r="M152" t="s">
        <v>32</v>
      </c>
      <c r="N152" t="s">
        <v>58</v>
      </c>
    </row>
    <row r="153" spans="1:14" x14ac:dyDescent="0.25">
      <c r="A153" t="s">
        <v>280</v>
      </c>
      <c r="B153" t="s">
        <v>981</v>
      </c>
      <c r="C153" t="s">
        <v>281</v>
      </c>
      <c r="D153" t="s">
        <v>86</v>
      </c>
      <c r="E153" t="s">
        <v>36</v>
      </c>
      <c r="F153" t="s">
        <v>37</v>
      </c>
      <c r="G153">
        <v>41</v>
      </c>
      <c r="H153">
        <v>52.65</v>
      </c>
      <c r="I153">
        <v>2158.65</v>
      </c>
      <c r="J153">
        <v>110.1</v>
      </c>
      <c r="K153">
        <v>736.55</v>
      </c>
      <c r="L153" t="s">
        <v>26</v>
      </c>
      <c r="M153" t="s">
        <v>32</v>
      </c>
      <c r="N153" t="s">
        <v>87</v>
      </c>
    </row>
    <row r="154" spans="1:14" x14ac:dyDescent="0.25">
      <c r="A154" t="s">
        <v>282</v>
      </c>
      <c r="B154" t="s">
        <v>890</v>
      </c>
      <c r="C154" t="s">
        <v>115</v>
      </c>
      <c r="D154" t="s">
        <v>77</v>
      </c>
      <c r="E154" t="s">
        <v>25</v>
      </c>
      <c r="F154" t="s">
        <v>18</v>
      </c>
      <c r="G154">
        <v>28</v>
      </c>
      <c r="H154">
        <v>22.66</v>
      </c>
      <c r="I154">
        <v>634.48</v>
      </c>
      <c r="J154">
        <v>15.55</v>
      </c>
      <c r="K154">
        <v>114.93</v>
      </c>
      <c r="L154" t="s">
        <v>38</v>
      </c>
      <c r="M154" t="s">
        <v>20</v>
      </c>
      <c r="N154" t="s">
        <v>58</v>
      </c>
    </row>
    <row r="155" spans="1:14" x14ac:dyDescent="0.25">
      <c r="A155" t="s">
        <v>283</v>
      </c>
      <c r="B155" t="s">
        <v>980</v>
      </c>
      <c r="C155" t="s">
        <v>268</v>
      </c>
      <c r="D155" t="s">
        <v>47</v>
      </c>
      <c r="E155" t="s">
        <v>60</v>
      </c>
      <c r="F155" t="s">
        <v>52</v>
      </c>
      <c r="G155">
        <v>48</v>
      </c>
      <c r="H155">
        <v>25.07</v>
      </c>
      <c r="I155">
        <v>1203.3599999999999</v>
      </c>
      <c r="J155">
        <v>29.93</v>
      </c>
      <c r="K155">
        <v>429.43</v>
      </c>
      <c r="L155" t="s">
        <v>26</v>
      </c>
      <c r="M155" t="s">
        <v>27</v>
      </c>
      <c r="N155" t="s">
        <v>21</v>
      </c>
    </row>
    <row r="156" spans="1:14" x14ac:dyDescent="0.25">
      <c r="A156" t="s">
        <v>284</v>
      </c>
      <c r="B156" t="s">
        <v>979</v>
      </c>
      <c r="C156" t="s">
        <v>34</v>
      </c>
      <c r="D156" t="s">
        <v>35</v>
      </c>
      <c r="E156" t="s">
        <v>25</v>
      </c>
      <c r="F156" t="s">
        <v>18</v>
      </c>
      <c r="G156">
        <v>31</v>
      </c>
      <c r="H156">
        <v>30.53</v>
      </c>
      <c r="I156">
        <v>946.43</v>
      </c>
      <c r="J156">
        <v>72.150000000000006</v>
      </c>
      <c r="K156">
        <v>316.27999999999997</v>
      </c>
      <c r="L156" t="s">
        <v>38</v>
      </c>
      <c r="M156" t="s">
        <v>27</v>
      </c>
      <c r="N156" t="s">
        <v>39</v>
      </c>
    </row>
    <row r="157" spans="1:14" x14ac:dyDescent="0.25">
      <c r="A157" t="s">
        <v>285</v>
      </c>
      <c r="B157" t="s">
        <v>969</v>
      </c>
      <c r="C157" t="s">
        <v>286</v>
      </c>
      <c r="D157" t="s">
        <v>86</v>
      </c>
      <c r="E157" t="s">
        <v>51</v>
      </c>
      <c r="F157" t="s">
        <v>52</v>
      </c>
      <c r="G157">
        <v>33</v>
      </c>
      <c r="H157">
        <v>31</v>
      </c>
      <c r="I157">
        <v>1023</v>
      </c>
      <c r="J157">
        <v>63.94</v>
      </c>
      <c r="K157">
        <v>216.56</v>
      </c>
      <c r="L157" t="s">
        <v>26</v>
      </c>
      <c r="M157" t="s">
        <v>20</v>
      </c>
      <c r="N157" t="s">
        <v>87</v>
      </c>
    </row>
    <row r="158" spans="1:14" x14ac:dyDescent="0.25">
      <c r="A158" t="s">
        <v>287</v>
      </c>
      <c r="B158" t="s">
        <v>768</v>
      </c>
      <c r="C158" t="s">
        <v>119</v>
      </c>
      <c r="D158" t="s">
        <v>24</v>
      </c>
      <c r="E158" t="s">
        <v>60</v>
      </c>
      <c r="F158" t="s">
        <v>52</v>
      </c>
      <c r="G158">
        <v>32</v>
      </c>
      <c r="H158">
        <v>20.86</v>
      </c>
      <c r="I158">
        <v>667.52</v>
      </c>
      <c r="J158">
        <v>21.62</v>
      </c>
      <c r="K158">
        <v>149.9</v>
      </c>
      <c r="L158" t="s">
        <v>38</v>
      </c>
      <c r="M158" t="s">
        <v>32</v>
      </c>
      <c r="N158" t="s">
        <v>28</v>
      </c>
    </row>
    <row r="159" spans="1:14" x14ac:dyDescent="0.25">
      <c r="A159" t="s">
        <v>288</v>
      </c>
      <c r="B159" t="s">
        <v>978</v>
      </c>
      <c r="C159" t="s">
        <v>139</v>
      </c>
      <c r="D159" t="s">
        <v>151</v>
      </c>
      <c r="E159" t="s">
        <v>48</v>
      </c>
      <c r="F159" t="s">
        <v>37</v>
      </c>
      <c r="G159">
        <v>18</v>
      </c>
      <c r="H159">
        <v>24.61</v>
      </c>
      <c r="I159">
        <v>442.98</v>
      </c>
      <c r="J159">
        <v>26.99</v>
      </c>
      <c r="K159">
        <v>55.99</v>
      </c>
      <c r="L159" t="s">
        <v>38</v>
      </c>
      <c r="M159" t="s">
        <v>20</v>
      </c>
      <c r="N159" t="s">
        <v>28</v>
      </c>
    </row>
    <row r="160" spans="1:14" x14ac:dyDescent="0.25">
      <c r="A160" t="s">
        <v>289</v>
      </c>
      <c r="B160" t="s">
        <v>977</v>
      </c>
      <c r="C160" t="s">
        <v>95</v>
      </c>
      <c r="D160" t="s">
        <v>69</v>
      </c>
      <c r="E160" t="s">
        <v>43</v>
      </c>
      <c r="F160" t="s">
        <v>44</v>
      </c>
      <c r="G160">
        <v>18</v>
      </c>
      <c r="H160">
        <v>64.83</v>
      </c>
      <c r="I160">
        <v>1166.94</v>
      </c>
      <c r="J160">
        <v>34.28</v>
      </c>
      <c r="K160">
        <v>412.66</v>
      </c>
      <c r="L160" t="s">
        <v>38</v>
      </c>
      <c r="M160" t="s">
        <v>20</v>
      </c>
      <c r="N160" t="s">
        <v>58</v>
      </c>
    </row>
    <row r="161" spans="1:14" x14ac:dyDescent="0.25">
      <c r="A161" t="s">
        <v>290</v>
      </c>
      <c r="B161" t="s">
        <v>805</v>
      </c>
      <c r="C161" t="s">
        <v>291</v>
      </c>
      <c r="D161" t="s">
        <v>47</v>
      </c>
      <c r="E161" t="s">
        <v>48</v>
      </c>
      <c r="F161" t="s">
        <v>37</v>
      </c>
      <c r="G161">
        <v>49</v>
      </c>
      <c r="H161">
        <v>29.52</v>
      </c>
      <c r="I161">
        <v>1446.48</v>
      </c>
      <c r="J161">
        <v>104.7</v>
      </c>
      <c r="K161">
        <v>361.78</v>
      </c>
      <c r="L161" t="s">
        <v>38</v>
      </c>
      <c r="M161" t="s">
        <v>32</v>
      </c>
      <c r="N161" t="s">
        <v>21</v>
      </c>
    </row>
    <row r="162" spans="1:14" x14ac:dyDescent="0.25">
      <c r="A162" t="s">
        <v>292</v>
      </c>
      <c r="B162" t="s">
        <v>888</v>
      </c>
      <c r="C162" t="s">
        <v>293</v>
      </c>
      <c r="D162" t="s">
        <v>86</v>
      </c>
      <c r="E162" t="s">
        <v>48</v>
      </c>
      <c r="F162" t="s">
        <v>37</v>
      </c>
      <c r="G162">
        <v>10</v>
      </c>
      <c r="H162">
        <v>26.73</v>
      </c>
      <c r="I162">
        <v>267.3</v>
      </c>
      <c r="J162">
        <v>10.210000000000001</v>
      </c>
      <c r="K162">
        <v>57.09</v>
      </c>
      <c r="L162" t="s">
        <v>38</v>
      </c>
      <c r="M162" t="s">
        <v>32</v>
      </c>
      <c r="N162" t="s">
        <v>87</v>
      </c>
    </row>
    <row r="163" spans="1:14" x14ac:dyDescent="0.25">
      <c r="A163" t="s">
        <v>294</v>
      </c>
      <c r="B163" t="s">
        <v>852</v>
      </c>
      <c r="C163" t="s">
        <v>62</v>
      </c>
      <c r="D163" t="s">
        <v>24</v>
      </c>
      <c r="E163" t="s">
        <v>36</v>
      </c>
      <c r="F163" t="s">
        <v>37</v>
      </c>
      <c r="G163">
        <v>10</v>
      </c>
      <c r="H163">
        <v>54.45</v>
      </c>
      <c r="I163">
        <v>544.5</v>
      </c>
      <c r="J163">
        <v>16.59</v>
      </c>
      <c r="K163">
        <v>207.91</v>
      </c>
      <c r="L163" t="s">
        <v>19</v>
      </c>
      <c r="M163" t="s">
        <v>20</v>
      </c>
      <c r="N163" t="s">
        <v>28</v>
      </c>
    </row>
    <row r="164" spans="1:14" x14ac:dyDescent="0.25">
      <c r="A164" t="s">
        <v>295</v>
      </c>
      <c r="B164" t="s">
        <v>976</v>
      </c>
      <c r="C164" t="s">
        <v>62</v>
      </c>
      <c r="D164" t="s">
        <v>177</v>
      </c>
      <c r="E164" t="s">
        <v>25</v>
      </c>
      <c r="F164" t="s">
        <v>18</v>
      </c>
      <c r="G164">
        <v>46</v>
      </c>
      <c r="H164">
        <v>30.06</v>
      </c>
      <c r="I164">
        <v>1382.76</v>
      </c>
      <c r="J164">
        <v>77.17</v>
      </c>
      <c r="K164">
        <v>477.59</v>
      </c>
      <c r="L164" t="s">
        <v>26</v>
      </c>
      <c r="M164" t="s">
        <v>27</v>
      </c>
      <c r="N164" t="s">
        <v>58</v>
      </c>
    </row>
    <row r="165" spans="1:14" x14ac:dyDescent="0.25">
      <c r="A165" t="s">
        <v>296</v>
      </c>
      <c r="B165" t="s">
        <v>803</v>
      </c>
      <c r="C165" t="s">
        <v>297</v>
      </c>
      <c r="D165" t="s">
        <v>47</v>
      </c>
      <c r="E165" t="s">
        <v>60</v>
      </c>
      <c r="F165" t="s">
        <v>52</v>
      </c>
      <c r="G165">
        <v>25</v>
      </c>
      <c r="H165">
        <v>21.52</v>
      </c>
      <c r="I165">
        <v>538</v>
      </c>
      <c r="J165">
        <v>26.73</v>
      </c>
      <c r="K165">
        <v>123.77</v>
      </c>
      <c r="L165" t="s">
        <v>26</v>
      </c>
      <c r="M165" t="s">
        <v>20</v>
      </c>
      <c r="N165" t="s">
        <v>21</v>
      </c>
    </row>
    <row r="166" spans="1:14" x14ac:dyDescent="0.25">
      <c r="A166" t="s">
        <v>298</v>
      </c>
      <c r="B166" t="s">
        <v>975</v>
      </c>
      <c r="C166" t="s">
        <v>211</v>
      </c>
      <c r="D166" t="s">
        <v>177</v>
      </c>
      <c r="E166" t="s">
        <v>25</v>
      </c>
      <c r="F166" t="s">
        <v>18</v>
      </c>
      <c r="G166">
        <v>5</v>
      </c>
      <c r="H166">
        <v>26.25</v>
      </c>
      <c r="I166">
        <v>131.25</v>
      </c>
      <c r="J166">
        <v>3.35</v>
      </c>
      <c r="K166">
        <v>37.9</v>
      </c>
      <c r="L166" t="s">
        <v>26</v>
      </c>
      <c r="M166" t="s">
        <v>27</v>
      </c>
      <c r="N166" t="s">
        <v>58</v>
      </c>
    </row>
    <row r="167" spans="1:14" x14ac:dyDescent="0.25">
      <c r="A167" t="s">
        <v>299</v>
      </c>
      <c r="B167" t="s">
        <v>945</v>
      </c>
      <c r="C167" t="s">
        <v>300</v>
      </c>
      <c r="D167" t="s">
        <v>24</v>
      </c>
      <c r="E167" t="s">
        <v>56</v>
      </c>
      <c r="F167" t="s">
        <v>57</v>
      </c>
      <c r="G167">
        <v>10</v>
      </c>
      <c r="H167">
        <v>31.48</v>
      </c>
      <c r="I167">
        <v>314.8</v>
      </c>
      <c r="J167">
        <v>10.23</v>
      </c>
      <c r="K167">
        <v>54.57</v>
      </c>
      <c r="L167" t="s">
        <v>38</v>
      </c>
      <c r="M167" t="s">
        <v>32</v>
      </c>
      <c r="N167" t="s">
        <v>28</v>
      </c>
    </row>
    <row r="168" spans="1:14" x14ac:dyDescent="0.25">
      <c r="A168" t="s">
        <v>301</v>
      </c>
      <c r="B168" t="s">
        <v>837</v>
      </c>
      <c r="C168" t="s">
        <v>110</v>
      </c>
      <c r="D168" t="s">
        <v>35</v>
      </c>
      <c r="E168" t="s">
        <v>48</v>
      </c>
      <c r="F168" t="s">
        <v>37</v>
      </c>
      <c r="G168">
        <v>21</v>
      </c>
      <c r="H168">
        <v>30.91</v>
      </c>
      <c r="I168">
        <v>649.11</v>
      </c>
      <c r="J168">
        <v>38.42</v>
      </c>
      <c r="K168">
        <v>190.69</v>
      </c>
      <c r="L168" t="s">
        <v>26</v>
      </c>
      <c r="M168" t="s">
        <v>32</v>
      </c>
      <c r="N168" t="s">
        <v>39</v>
      </c>
    </row>
    <row r="169" spans="1:14" x14ac:dyDescent="0.25">
      <c r="A169" t="s">
        <v>302</v>
      </c>
      <c r="B169" t="s">
        <v>936</v>
      </c>
      <c r="C169" t="s">
        <v>303</v>
      </c>
      <c r="D169" t="s">
        <v>69</v>
      </c>
      <c r="E169" t="s">
        <v>63</v>
      </c>
      <c r="F169" t="s">
        <v>37</v>
      </c>
      <c r="G169">
        <v>29</v>
      </c>
      <c r="H169">
        <v>18.47</v>
      </c>
      <c r="I169">
        <v>535.63</v>
      </c>
      <c r="J169">
        <v>13.21</v>
      </c>
      <c r="K169">
        <v>152.66999999999999</v>
      </c>
      <c r="L169" t="s">
        <v>19</v>
      </c>
      <c r="M169" t="s">
        <v>20</v>
      </c>
      <c r="N169" t="s">
        <v>58</v>
      </c>
    </row>
    <row r="170" spans="1:14" x14ac:dyDescent="0.25">
      <c r="A170" t="s">
        <v>304</v>
      </c>
      <c r="B170" t="s">
        <v>935</v>
      </c>
      <c r="C170" t="s">
        <v>115</v>
      </c>
      <c r="D170" t="s">
        <v>47</v>
      </c>
      <c r="E170" t="s">
        <v>17</v>
      </c>
      <c r="F170" t="s">
        <v>18</v>
      </c>
      <c r="G170">
        <v>36</v>
      </c>
      <c r="H170">
        <v>44.79</v>
      </c>
      <c r="I170">
        <v>1612.44</v>
      </c>
      <c r="J170">
        <v>68.599999999999994</v>
      </c>
      <c r="K170">
        <v>283.83999999999997</v>
      </c>
      <c r="L170" t="s">
        <v>38</v>
      </c>
      <c r="M170" t="s">
        <v>27</v>
      </c>
      <c r="N170" t="s">
        <v>21</v>
      </c>
    </row>
    <row r="171" spans="1:14" x14ac:dyDescent="0.25">
      <c r="A171" t="s">
        <v>305</v>
      </c>
      <c r="B171" t="s">
        <v>762</v>
      </c>
      <c r="C171" t="s">
        <v>306</v>
      </c>
      <c r="D171" t="s">
        <v>35</v>
      </c>
      <c r="E171" t="s">
        <v>60</v>
      </c>
      <c r="F171" t="s">
        <v>52</v>
      </c>
      <c r="G171">
        <v>3</v>
      </c>
      <c r="H171">
        <v>18.86</v>
      </c>
      <c r="I171">
        <v>56.58</v>
      </c>
      <c r="J171">
        <v>2.61</v>
      </c>
      <c r="K171">
        <v>7.47</v>
      </c>
      <c r="L171" t="s">
        <v>26</v>
      </c>
      <c r="M171" t="s">
        <v>32</v>
      </c>
      <c r="N171" t="s">
        <v>39</v>
      </c>
    </row>
    <row r="172" spans="1:14" x14ac:dyDescent="0.25">
      <c r="A172" t="s">
        <v>307</v>
      </c>
      <c r="B172" t="s">
        <v>974</v>
      </c>
      <c r="C172" t="s">
        <v>50</v>
      </c>
      <c r="D172" t="s">
        <v>55</v>
      </c>
      <c r="E172" t="s">
        <v>83</v>
      </c>
      <c r="F172" t="s">
        <v>52</v>
      </c>
      <c r="G172">
        <v>10</v>
      </c>
      <c r="H172">
        <v>45.86</v>
      </c>
      <c r="I172">
        <v>458.6</v>
      </c>
      <c r="J172">
        <v>14.4</v>
      </c>
      <c r="K172">
        <v>164.2</v>
      </c>
      <c r="L172" t="s">
        <v>38</v>
      </c>
      <c r="M172" t="s">
        <v>20</v>
      </c>
      <c r="N172" t="s">
        <v>58</v>
      </c>
    </row>
    <row r="173" spans="1:14" x14ac:dyDescent="0.25">
      <c r="A173" t="s">
        <v>308</v>
      </c>
      <c r="B173" t="s">
        <v>815</v>
      </c>
      <c r="C173" t="s">
        <v>306</v>
      </c>
      <c r="D173" t="s">
        <v>31</v>
      </c>
      <c r="E173" t="s">
        <v>25</v>
      </c>
      <c r="F173" t="s">
        <v>18</v>
      </c>
      <c r="G173">
        <v>1</v>
      </c>
      <c r="H173">
        <v>24.64</v>
      </c>
      <c r="I173">
        <v>24.64</v>
      </c>
      <c r="J173">
        <v>0.65</v>
      </c>
      <c r="K173">
        <v>5.99</v>
      </c>
      <c r="L173" t="s">
        <v>38</v>
      </c>
      <c r="M173" t="s">
        <v>27</v>
      </c>
      <c r="N173" t="s">
        <v>28</v>
      </c>
    </row>
    <row r="174" spans="1:14" x14ac:dyDescent="0.25">
      <c r="A174" t="s">
        <v>309</v>
      </c>
      <c r="B174" t="s">
        <v>973</v>
      </c>
      <c r="C174" t="s">
        <v>154</v>
      </c>
      <c r="D174" t="s">
        <v>31</v>
      </c>
      <c r="E174" t="s">
        <v>60</v>
      </c>
      <c r="F174" t="s">
        <v>52</v>
      </c>
      <c r="G174">
        <v>49</v>
      </c>
      <c r="H174">
        <v>22.8</v>
      </c>
      <c r="I174">
        <v>1117.2</v>
      </c>
      <c r="J174">
        <v>51.06</v>
      </c>
      <c r="K174">
        <v>306.64</v>
      </c>
      <c r="L174" t="s">
        <v>19</v>
      </c>
      <c r="M174" t="s">
        <v>27</v>
      </c>
      <c r="N174" t="s">
        <v>28</v>
      </c>
    </row>
    <row r="175" spans="1:14" x14ac:dyDescent="0.25">
      <c r="A175" t="s">
        <v>310</v>
      </c>
      <c r="B175" t="s">
        <v>972</v>
      </c>
      <c r="C175" t="s">
        <v>193</v>
      </c>
      <c r="D175" t="s">
        <v>47</v>
      </c>
      <c r="E175" t="s">
        <v>17</v>
      </c>
      <c r="F175" t="s">
        <v>18</v>
      </c>
      <c r="G175">
        <v>32</v>
      </c>
      <c r="H175">
        <v>44.5</v>
      </c>
      <c r="I175">
        <v>1424</v>
      </c>
      <c r="J175">
        <v>43.92</v>
      </c>
      <c r="K175">
        <v>260.08</v>
      </c>
      <c r="L175" t="s">
        <v>38</v>
      </c>
      <c r="M175" t="s">
        <v>27</v>
      </c>
      <c r="N175" t="s">
        <v>21</v>
      </c>
    </row>
    <row r="176" spans="1:14" x14ac:dyDescent="0.25">
      <c r="A176" t="s">
        <v>311</v>
      </c>
      <c r="B176" t="s">
        <v>960</v>
      </c>
      <c r="C176" t="s">
        <v>209</v>
      </c>
      <c r="D176" t="s">
        <v>35</v>
      </c>
      <c r="E176" t="s">
        <v>17</v>
      </c>
      <c r="F176" t="s">
        <v>18</v>
      </c>
      <c r="G176">
        <v>43</v>
      </c>
      <c r="H176">
        <v>55.74</v>
      </c>
      <c r="I176">
        <v>2396.8200000000002</v>
      </c>
      <c r="J176">
        <v>63.85</v>
      </c>
      <c r="K176">
        <v>827.97</v>
      </c>
      <c r="L176" t="s">
        <v>26</v>
      </c>
      <c r="M176" t="s">
        <v>32</v>
      </c>
      <c r="N176" t="s">
        <v>39</v>
      </c>
    </row>
    <row r="177" spans="1:14" x14ac:dyDescent="0.25">
      <c r="A177" t="s">
        <v>312</v>
      </c>
      <c r="B177" t="s">
        <v>883</v>
      </c>
      <c r="C177" t="s">
        <v>105</v>
      </c>
      <c r="D177" t="s">
        <v>69</v>
      </c>
      <c r="E177" t="s">
        <v>60</v>
      </c>
      <c r="F177" t="s">
        <v>52</v>
      </c>
      <c r="G177">
        <v>19</v>
      </c>
      <c r="H177">
        <v>25.78</v>
      </c>
      <c r="I177">
        <v>489.82</v>
      </c>
      <c r="J177">
        <v>28.4</v>
      </c>
      <c r="K177">
        <v>166.92</v>
      </c>
      <c r="L177" t="s">
        <v>38</v>
      </c>
      <c r="M177" t="s">
        <v>27</v>
      </c>
      <c r="N177" t="s">
        <v>58</v>
      </c>
    </row>
    <row r="178" spans="1:14" x14ac:dyDescent="0.25">
      <c r="A178" t="s">
        <v>313</v>
      </c>
      <c r="B178" t="s">
        <v>971</v>
      </c>
      <c r="C178" t="s">
        <v>246</v>
      </c>
      <c r="D178" t="s">
        <v>47</v>
      </c>
      <c r="E178" t="s">
        <v>25</v>
      </c>
      <c r="F178" t="s">
        <v>18</v>
      </c>
      <c r="G178">
        <v>43</v>
      </c>
      <c r="H178">
        <v>30.43</v>
      </c>
      <c r="I178">
        <v>1308.49</v>
      </c>
      <c r="J178">
        <v>35.340000000000003</v>
      </c>
      <c r="K178">
        <v>499.15</v>
      </c>
      <c r="L178" t="s">
        <v>26</v>
      </c>
      <c r="M178" t="s">
        <v>27</v>
      </c>
      <c r="N178" t="s">
        <v>21</v>
      </c>
    </row>
    <row r="179" spans="1:14" x14ac:dyDescent="0.25">
      <c r="A179" t="s">
        <v>314</v>
      </c>
      <c r="B179" t="s">
        <v>969</v>
      </c>
      <c r="C179" t="s">
        <v>315</v>
      </c>
      <c r="D179" t="s">
        <v>106</v>
      </c>
      <c r="E179" t="s">
        <v>60</v>
      </c>
      <c r="F179" t="s">
        <v>52</v>
      </c>
      <c r="G179">
        <v>17</v>
      </c>
      <c r="H179">
        <v>18.71</v>
      </c>
      <c r="I179">
        <v>318.07</v>
      </c>
      <c r="J179">
        <v>22.03</v>
      </c>
      <c r="K179">
        <v>32.54</v>
      </c>
      <c r="L179" t="s">
        <v>38</v>
      </c>
      <c r="M179" t="s">
        <v>20</v>
      </c>
      <c r="N179" t="s">
        <v>28</v>
      </c>
    </row>
    <row r="180" spans="1:14" x14ac:dyDescent="0.25">
      <c r="A180" t="s">
        <v>316</v>
      </c>
      <c r="B180" t="s">
        <v>750</v>
      </c>
      <c r="C180" t="s">
        <v>41</v>
      </c>
      <c r="D180" t="s">
        <v>55</v>
      </c>
      <c r="E180" t="s">
        <v>60</v>
      </c>
      <c r="F180" t="s">
        <v>52</v>
      </c>
      <c r="G180">
        <v>44</v>
      </c>
      <c r="H180">
        <v>23.87</v>
      </c>
      <c r="I180">
        <v>1050.28</v>
      </c>
      <c r="J180">
        <v>33.51</v>
      </c>
      <c r="K180">
        <v>334.77</v>
      </c>
      <c r="L180" t="s">
        <v>19</v>
      </c>
      <c r="M180" t="s">
        <v>27</v>
      </c>
      <c r="N180" t="s">
        <v>58</v>
      </c>
    </row>
    <row r="181" spans="1:14" x14ac:dyDescent="0.25">
      <c r="A181" t="s">
        <v>317</v>
      </c>
      <c r="B181" t="s">
        <v>854</v>
      </c>
      <c r="C181" t="s">
        <v>121</v>
      </c>
      <c r="D181" t="s">
        <v>129</v>
      </c>
      <c r="E181" t="s">
        <v>36</v>
      </c>
      <c r="F181" t="s">
        <v>37</v>
      </c>
      <c r="G181">
        <v>12</v>
      </c>
      <c r="H181">
        <v>42.91</v>
      </c>
      <c r="I181">
        <v>514.91999999999996</v>
      </c>
      <c r="J181">
        <v>15.18</v>
      </c>
      <c r="K181">
        <v>115.74</v>
      </c>
      <c r="L181" t="s">
        <v>38</v>
      </c>
      <c r="M181" t="s">
        <v>32</v>
      </c>
      <c r="N181" t="s">
        <v>130</v>
      </c>
    </row>
    <row r="182" spans="1:14" x14ac:dyDescent="0.25">
      <c r="A182" t="s">
        <v>318</v>
      </c>
      <c r="B182" t="s">
        <v>970</v>
      </c>
      <c r="C182" t="s">
        <v>319</v>
      </c>
      <c r="D182" t="s">
        <v>177</v>
      </c>
      <c r="E182" t="s">
        <v>43</v>
      </c>
      <c r="F182" t="s">
        <v>44</v>
      </c>
      <c r="G182">
        <v>21</v>
      </c>
      <c r="H182">
        <v>50.49</v>
      </c>
      <c r="I182">
        <v>1060.29</v>
      </c>
      <c r="J182">
        <v>32.340000000000003</v>
      </c>
      <c r="K182">
        <v>187.95</v>
      </c>
      <c r="L182" t="s">
        <v>38</v>
      </c>
      <c r="M182" t="s">
        <v>20</v>
      </c>
      <c r="N182" t="s">
        <v>58</v>
      </c>
    </row>
    <row r="183" spans="1:14" x14ac:dyDescent="0.25">
      <c r="A183" t="s">
        <v>320</v>
      </c>
      <c r="B183" t="s">
        <v>969</v>
      </c>
      <c r="C183" t="s">
        <v>193</v>
      </c>
      <c r="D183" t="s">
        <v>31</v>
      </c>
      <c r="E183" t="s">
        <v>17</v>
      </c>
      <c r="F183" t="s">
        <v>18</v>
      </c>
      <c r="G183">
        <v>41</v>
      </c>
      <c r="H183">
        <v>43.18</v>
      </c>
      <c r="I183">
        <v>1770.38</v>
      </c>
      <c r="J183">
        <v>128.4</v>
      </c>
      <c r="K183">
        <v>206.98</v>
      </c>
      <c r="L183" t="s">
        <v>26</v>
      </c>
      <c r="M183" t="s">
        <v>32</v>
      </c>
      <c r="N183" t="s">
        <v>28</v>
      </c>
    </row>
    <row r="184" spans="1:14" x14ac:dyDescent="0.25">
      <c r="A184" t="s">
        <v>321</v>
      </c>
      <c r="B184" t="s">
        <v>968</v>
      </c>
      <c r="C184" t="s">
        <v>100</v>
      </c>
      <c r="D184" t="s">
        <v>129</v>
      </c>
      <c r="E184" t="s">
        <v>63</v>
      </c>
      <c r="F184" t="s">
        <v>37</v>
      </c>
      <c r="G184">
        <v>37</v>
      </c>
      <c r="H184">
        <v>19.8</v>
      </c>
      <c r="I184">
        <v>732.6</v>
      </c>
      <c r="J184">
        <v>54.68</v>
      </c>
      <c r="K184">
        <v>206.17</v>
      </c>
      <c r="L184" t="s">
        <v>19</v>
      </c>
      <c r="M184" t="s">
        <v>27</v>
      </c>
      <c r="N184" t="s">
        <v>130</v>
      </c>
    </row>
    <row r="185" spans="1:14" x14ac:dyDescent="0.25">
      <c r="A185" t="s">
        <v>322</v>
      </c>
      <c r="B185" t="s">
        <v>967</v>
      </c>
      <c r="C185" t="s">
        <v>323</v>
      </c>
      <c r="D185" t="s">
        <v>47</v>
      </c>
      <c r="E185" t="s">
        <v>63</v>
      </c>
      <c r="F185" t="s">
        <v>37</v>
      </c>
      <c r="G185">
        <v>4</v>
      </c>
      <c r="H185">
        <v>18.059999999999999</v>
      </c>
      <c r="I185">
        <v>72.239999999999995</v>
      </c>
      <c r="J185">
        <v>4.66</v>
      </c>
      <c r="K185">
        <v>16.579999999999998</v>
      </c>
      <c r="L185" t="s">
        <v>19</v>
      </c>
      <c r="M185" t="s">
        <v>20</v>
      </c>
      <c r="N185" t="s">
        <v>21</v>
      </c>
    </row>
    <row r="186" spans="1:14" x14ac:dyDescent="0.25">
      <c r="A186" t="s">
        <v>324</v>
      </c>
      <c r="B186" t="s">
        <v>736</v>
      </c>
      <c r="C186" t="s">
        <v>246</v>
      </c>
      <c r="D186" t="s">
        <v>16</v>
      </c>
      <c r="E186" t="s">
        <v>17</v>
      </c>
      <c r="F186" t="s">
        <v>18</v>
      </c>
      <c r="G186">
        <v>40</v>
      </c>
      <c r="H186">
        <v>55.59</v>
      </c>
      <c r="I186">
        <v>2223.6</v>
      </c>
      <c r="J186">
        <v>74.569999999999993</v>
      </c>
      <c r="K186">
        <v>749.03</v>
      </c>
      <c r="L186" t="s">
        <v>19</v>
      </c>
      <c r="M186" t="s">
        <v>20</v>
      </c>
      <c r="N186" t="s">
        <v>21</v>
      </c>
    </row>
    <row r="187" spans="1:14" x14ac:dyDescent="0.25">
      <c r="A187" t="s">
        <v>325</v>
      </c>
      <c r="B187" t="s">
        <v>966</v>
      </c>
      <c r="C187" t="s">
        <v>15</v>
      </c>
      <c r="D187" t="s">
        <v>77</v>
      </c>
      <c r="E187" t="s">
        <v>56</v>
      </c>
      <c r="F187" t="s">
        <v>57</v>
      </c>
      <c r="G187">
        <v>5</v>
      </c>
      <c r="H187">
        <v>31.58</v>
      </c>
      <c r="I187">
        <v>157.9</v>
      </c>
      <c r="J187">
        <v>3.73</v>
      </c>
      <c r="K187">
        <v>29.17</v>
      </c>
      <c r="L187" t="s">
        <v>19</v>
      </c>
      <c r="M187" t="s">
        <v>27</v>
      </c>
      <c r="N187" t="s">
        <v>58</v>
      </c>
    </row>
    <row r="188" spans="1:14" x14ac:dyDescent="0.25">
      <c r="A188" t="s">
        <v>326</v>
      </c>
      <c r="B188" t="s">
        <v>767</v>
      </c>
      <c r="C188" t="s">
        <v>117</v>
      </c>
      <c r="D188" t="s">
        <v>42</v>
      </c>
      <c r="E188" t="s">
        <v>25</v>
      </c>
      <c r="F188" t="s">
        <v>18</v>
      </c>
      <c r="G188">
        <v>50</v>
      </c>
      <c r="H188">
        <v>26.67</v>
      </c>
      <c r="I188">
        <v>1333.5</v>
      </c>
      <c r="J188">
        <v>80.150000000000006</v>
      </c>
      <c r="K188">
        <v>353.35</v>
      </c>
      <c r="L188" t="s">
        <v>38</v>
      </c>
      <c r="M188" t="s">
        <v>20</v>
      </c>
      <c r="N188" t="s">
        <v>21</v>
      </c>
    </row>
    <row r="189" spans="1:14" x14ac:dyDescent="0.25">
      <c r="A189" t="s">
        <v>327</v>
      </c>
      <c r="B189" t="s">
        <v>965</v>
      </c>
      <c r="C189" t="s">
        <v>221</v>
      </c>
      <c r="D189" t="s">
        <v>69</v>
      </c>
      <c r="E189" t="s">
        <v>60</v>
      </c>
      <c r="F189" t="s">
        <v>52</v>
      </c>
      <c r="G189">
        <v>17</v>
      </c>
      <c r="H189">
        <v>20.68</v>
      </c>
      <c r="I189">
        <v>351.56</v>
      </c>
      <c r="J189">
        <v>18.47</v>
      </c>
      <c r="K189">
        <v>69.59</v>
      </c>
      <c r="L189" t="s">
        <v>38</v>
      </c>
      <c r="M189" t="s">
        <v>27</v>
      </c>
      <c r="N189" t="s">
        <v>58</v>
      </c>
    </row>
    <row r="190" spans="1:14" x14ac:dyDescent="0.25">
      <c r="A190" t="s">
        <v>328</v>
      </c>
      <c r="B190" t="s">
        <v>964</v>
      </c>
      <c r="C190" t="s">
        <v>276</v>
      </c>
      <c r="D190" t="s">
        <v>86</v>
      </c>
      <c r="E190" t="s">
        <v>17</v>
      </c>
      <c r="F190" t="s">
        <v>18</v>
      </c>
      <c r="G190">
        <v>29</v>
      </c>
      <c r="H190">
        <v>55.19</v>
      </c>
      <c r="I190">
        <v>1600.51</v>
      </c>
      <c r="J190">
        <v>103.06</v>
      </c>
      <c r="K190">
        <v>482.45</v>
      </c>
      <c r="L190" t="s">
        <v>19</v>
      </c>
      <c r="M190" t="s">
        <v>32</v>
      </c>
      <c r="N190" t="s">
        <v>87</v>
      </c>
    </row>
    <row r="191" spans="1:14" x14ac:dyDescent="0.25">
      <c r="A191" t="s">
        <v>329</v>
      </c>
      <c r="B191" t="s">
        <v>963</v>
      </c>
      <c r="C191" t="s">
        <v>330</v>
      </c>
      <c r="D191" t="s">
        <v>69</v>
      </c>
      <c r="E191" t="s">
        <v>17</v>
      </c>
      <c r="F191" t="s">
        <v>18</v>
      </c>
      <c r="G191">
        <v>34</v>
      </c>
      <c r="H191">
        <v>61.62</v>
      </c>
      <c r="I191">
        <v>2095.08</v>
      </c>
      <c r="J191">
        <v>80.13</v>
      </c>
      <c r="K191">
        <v>824.95</v>
      </c>
      <c r="L191" t="s">
        <v>26</v>
      </c>
      <c r="M191" t="s">
        <v>20</v>
      </c>
      <c r="N191" t="s">
        <v>58</v>
      </c>
    </row>
    <row r="192" spans="1:14" x14ac:dyDescent="0.25">
      <c r="A192" t="s">
        <v>331</v>
      </c>
      <c r="B192" t="s">
        <v>790</v>
      </c>
      <c r="C192" t="s">
        <v>173</v>
      </c>
      <c r="D192" t="s">
        <v>47</v>
      </c>
      <c r="E192" t="s">
        <v>51</v>
      </c>
      <c r="F192" t="s">
        <v>52</v>
      </c>
      <c r="G192">
        <v>10</v>
      </c>
      <c r="H192">
        <v>40.03</v>
      </c>
      <c r="I192">
        <v>400.3</v>
      </c>
      <c r="J192">
        <v>25.8</v>
      </c>
      <c r="K192">
        <v>149.5</v>
      </c>
      <c r="L192" t="s">
        <v>38</v>
      </c>
      <c r="M192" t="s">
        <v>20</v>
      </c>
      <c r="N192" t="s">
        <v>21</v>
      </c>
    </row>
    <row r="193" spans="1:14" x14ac:dyDescent="0.25">
      <c r="A193" t="s">
        <v>332</v>
      </c>
      <c r="B193" t="s">
        <v>962</v>
      </c>
      <c r="C193" t="s">
        <v>81</v>
      </c>
      <c r="D193" t="s">
        <v>74</v>
      </c>
      <c r="E193" t="s">
        <v>48</v>
      </c>
      <c r="F193" t="s">
        <v>37</v>
      </c>
      <c r="G193">
        <v>23</v>
      </c>
      <c r="H193">
        <v>31.3</v>
      </c>
      <c r="I193">
        <v>719.9</v>
      </c>
      <c r="J193">
        <v>47.88</v>
      </c>
      <c r="K193">
        <v>212.02</v>
      </c>
      <c r="L193" t="s">
        <v>26</v>
      </c>
      <c r="M193" t="s">
        <v>27</v>
      </c>
      <c r="N193" t="s">
        <v>58</v>
      </c>
    </row>
    <row r="194" spans="1:14" x14ac:dyDescent="0.25">
      <c r="A194" t="s">
        <v>333</v>
      </c>
      <c r="B194" t="s">
        <v>931</v>
      </c>
      <c r="C194" t="s">
        <v>91</v>
      </c>
      <c r="D194" t="s">
        <v>47</v>
      </c>
      <c r="E194" t="s">
        <v>17</v>
      </c>
      <c r="F194" t="s">
        <v>18</v>
      </c>
      <c r="G194">
        <v>37</v>
      </c>
      <c r="H194">
        <v>50.39</v>
      </c>
      <c r="I194">
        <v>1864.43</v>
      </c>
      <c r="J194">
        <v>60.06</v>
      </c>
      <c r="K194">
        <v>509.37</v>
      </c>
      <c r="L194" t="s">
        <v>26</v>
      </c>
      <c r="M194" t="s">
        <v>27</v>
      </c>
      <c r="N194" t="s">
        <v>21</v>
      </c>
    </row>
    <row r="195" spans="1:14" x14ac:dyDescent="0.25">
      <c r="A195" t="s">
        <v>334</v>
      </c>
      <c r="B195" t="s">
        <v>798</v>
      </c>
      <c r="C195" t="s">
        <v>278</v>
      </c>
      <c r="D195" t="s">
        <v>16</v>
      </c>
      <c r="E195" t="s">
        <v>63</v>
      </c>
      <c r="F195" t="s">
        <v>37</v>
      </c>
      <c r="G195">
        <v>38</v>
      </c>
      <c r="H195">
        <v>16.97</v>
      </c>
      <c r="I195">
        <v>644.86</v>
      </c>
      <c r="J195">
        <v>40</v>
      </c>
      <c r="K195">
        <v>120.36</v>
      </c>
      <c r="L195" t="s">
        <v>38</v>
      </c>
      <c r="M195" t="s">
        <v>20</v>
      </c>
      <c r="N195" t="s">
        <v>21</v>
      </c>
    </row>
    <row r="196" spans="1:14" x14ac:dyDescent="0.25">
      <c r="A196" t="s">
        <v>335</v>
      </c>
      <c r="B196" t="s">
        <v>868</v>
      </c>
      <c r="C196" t="s">
        <v>207</v>
      </c>
      <c r="D196" t="s">
        <v>86</v>
      </c>
      <c r="E196" t="s">
        <v>48</v>
      </c>
      <c r="F196" t="s">
        <v>37</v>
      </c>
      <c r="G196">
        <v>2</v>
      </c>
      <c r="H196">
        <v>35.92</v>
      </c>
      <c r="I196">
        <v>71.84</v>
      </c>
      <c r="J196">
        <v>2.34</v>
      </c>
      <c r="K196">
        <v>29.5</v>
      </c>
      <c r="L196" t="s">
        <v>38</v>
      </c>
      <c r="M196" t="s">
        <v>27</v>
      </c>
      <c r="N196" t="s">
        <v>87</v>
      </c>
    </row>
    <row r="197" spans="1:14" x14ac:dyDescent="0.25">
      <c r="A197" t="s">
        <v>336</v>
      </c>
      <c r="B197" t="s">
        <v>910</v>
      </c>
      <c r="C197" t="s">
        <v>62</v>
      </c>
      <c r="D197" t="s">
        <v>35</v>
      </c>
      <c r="E197" t="s">
        <v>48</v>
      </c>
      <c r="F197" t="s">
        <v>37</v>
      </c>
      <c r="G197">
        <v>48</v>
      </c>
      <c r="H197">
        <v>31.87</v>
      </c>
      <c r="I197">
        <v>1529.76</v>
      </c>
      <c r="J197">
        <v>89.85</v>
      </c>
      <c r="K197">
        <v>479.91</v>
      </c>
      <c r="L197" t="s">
        <v>38</v>
      </c>
      <c r="M197" t="s">
        <v>20</v>
      </c>
      <c r="N197" t="s">
        <v>39</v>
      </c>
    </row>
    <row r="198" spans="1:14" x14ac:dyDescent="0.25">
      <c r="A198" t="s">
        <v>337</v>
      </c>
      <c r="B198" t="s">
        <v>885</v>
      </c>
      <c r="C198" t="s">
        <v>221</v>
      </c>
      <c r="D198" t="s">
        <v>129</v>
      </c>
      <c r="E198" t="s">
        <v>43</v>
      </c>
      <c r="F198" t="s">
        <v>44</v>
      </c>
      <c r="G198">
        <v>46</v>
      </c>
      <c r="H198">
        <v>70</v>
      </c>
      <c r="I198">
        <v>3220</v>
      </c>
      <c r="J198">
        <v>160.11000000000001</v>
      </c>
      <c r="K198">
        <v>1219.8900000000001</v>
      </c>
      <c r="L198" t="s">
        <v>26</v>
      </c>
      <c r="M198" t="s">
        <v>27</v>
      </c>
      <c r="N198" t="s">
        <v>130</v>
      </c>
    </row>
    <row r="199" spans="1:14" x14ac:dyDescent="0.25">
      <c r="A199" t="s">
        <v>338</v>
      </c>
      <c r="B199" t="s">
        <v>961</v>
      </c>
      <c r="C199" t="s">
        <v>303</v>
      </c>
      <c r="D199" t="s">
        <v>69</v>
      </c>
      <c r="E199" t="s">
        <v>17</v>
      </c>
      <c r="F199" t="s">
        <v>18</v>
      </c>
      <c r="G199">
        <v>45</v>
      </c>
      <c r="H199">
        <v>57.7</v>
      </c>
      <c r="I199">
        <v>2596.5</v>
      </c>
      <c r="J199">
        <v>102.52</v>
      </c>
      <c r="K199">
        <v>918.98</v>
      </c>
      <c r="L199" t="s">
        <v>26</v>
      </c>
      <c r="M199" t="s">
        <v>20</v>
      </c>
      <c r="N199" t="s">
        <v>58</v>
      </c>
    </row>
    <row r="200" spans="1:14" x14ac:dyDescent="0.25">
      <c r="A200" t="s">
        <v>339</v>
      </c>
      <c r="B200" t="s">
        <v>858</v>
      </c>
      <c r="C200" t="s">
        <v>119</v>
      </c>
      <c r="D200" t="s">
        <v>77</v>
      </c>
      <c r="E200" t="s">
        <v>63</v>
      </c>
      <c r="F200" t="s">
        <v>37</v>
      </c>
      <c r="G200">
        <v>23</v>
      </c>
      <c r="H200">
        <v>20.23</v>
      </c>
      <c r="I200">
        <v>465.29</v>
      </c>
      <c r="J200">
        <v>17.29</v>
      </c>
      <c r="K200">
        <v>154.75</v>
      </c>
      <c r="L200" t="s">
        <v>38</v>
      </c>
      <c r="M200" t="s">
        <v>20</v>
      </c>
      <c r="N200" t="s">
        <v>58</v>
      </c>
    </row>
    <row r="201" spans="1:14" x14ac:dyDescent="0.25">
      <c r="A201" t="s">
        <v>340</v>
      </c>
      <c r="B201" t="s">
        <v>755</v>
      </c>
      <c r="C201" t="s">
        <v>121</v>
      </c>
      <c r="D201" t="s">
        <v>31</v>
      </c>
      <c r="E201" t="s">
        <v>25</v>
      </c>
      <c r="F201" t="s">
        <v>18</v>
      </c>
      <c r="G201">
        <v>10</v>
      </c>
      <c r="H201">
        <v>22.96</v>
      </c>
      <c r="I201">
        <v>229.6</v>
      </c>
      <c r="J201">
        <v>18.260000000000002</v>
      </c>
      <c r="K201">
        <v>31.34</v>
      </c>
      <c r="L201" t="s">
        <v>19</v>
      </c>
      <c r="M201" t="s">
        <v>32</v>
      </c>
      <c r="N201" t="s">
        <v>28</v>
      </c>
    </row>
    <row r="202" spans="1:14" x14ac:dyDescent="0.25">
      <c r="A202" t="s">
        <v>341</v>
      </c>
      <c r="B202" t="s">
        <v>960</v>
      </c>
      <c r="C202" t="s">
        <v>342</v>
      </c>
      <c r="D202" t="s">
        <v>35</v>
      </c>
      <c r="E202" t="s">
        <v>17</v>
      </c>
      <c r="F202" t="s">
        <v>18</v>
      </c>
      <c r="G202">
        <v>40</v>
      </c>
      <c r="H202">
        <v>54.84</v>
      </c>
      <c r="I202">
        <v>2193.6</v>
      </c>
      <c r="J202">
        <v>89.26</v>
      </c>
      <c r="K202">
        <v>704.34</v>
      </c>
      <c r="L202" t="s">
        <v>26</v>
      </c>
      <c r="M202" t="s">
        <v>20</v>
      </c>
      <c r="N202" t="s">
        <v>39</v>
      </c>
    </row>
    <row r="203" spans="1:14" x14ac:dyDescent="0.25">
      <c r="A203" t="s">
        <v>343</v>
      </c>
      <c r="B203" t="s">
        <v>959</v>
      </c>
      <c r="C203" t="s">
        <v>166</v>
      </c>
      <c r="D203" t="s">
        <v>69</v>
      </c>
      <c r="E203" t="s">
        <v>56</v>
      </c>
      <c r="F203" t="s">
        <v>57</v>
      </c>
      <c r="G203">
        <v>7</v>
      </c>
      <c r="H203">
        <v>36.43</v>
      </c>
      <c r="I203">
        <v>255.01</v>
      </c>
      <c r="J203">
        <v>6.3</v>
      </c>
      <c r="K203">
        <v>73.709999999999994</v>
      </c>
      <c r="L203" t="s">
        <v>19</v>
      </c>
      <c r="M203" t="s">
        <v>27</v>
      </c>
      <c r="N203" t="s">
        <v>58</v>
      </c>
    </row>
    <row r="204" spans="1:14" x14ac:dyDescent="0.25">
      <c r="A204" t="s">
        <v>344</v>
      </c>
      <c r="B204" t="s">
        <v>958</v>
      </c>
      <c r="C204" t="s">
        <v>207</v>
      </c>
      <c r="D204" t="s">
        <v>47</v>
      </c>
      <c r="E204" t="s">
        <v>63</v>
      </c>
      <c r="F204" t="s">
        <v>37</v>
      </c>
      <c r="G204">
        <v>39</v>
      </c>
      <c r="H204">
        <v>19.48</v>
      </c>
      <c r="I204">
        <v>759.72</v>
      </c>
      <c r="J204">
        <v>40.090000000000003</v>
      </c>
      <c r="K204">
        <v>222.38</v>
      </c>
      <c r="L204" t="s">
        <v>38</v>
      </c>
      <c r="M204" t="s">
        <v>27</v>
      </c>
      <c r="N204" t="s">
        <v>21</v>
      </c>
    </row>
    <row r="205" spans="1:14" x14ac:dyDescent="0.25">
      <c r="A205" t="s">
        <v>345</v>
      </c>
      <c r="B205" t="s">
        <v>957</v>
      </c>
      <c r="C205" t="s">
        <v>268</v>
      </c>
      <c r="D205" t="s">
        <v>86</v>
      </c>
      <c r="E205" t="s">
        <v>51</v>
      </c>
      <c r="F205" t="s">
        <v>52</v>
      </c>
      <c r="G205">
        <v>35</v>
      </c>
      <c r="H205">
        <v>38.83</v>
      </c>
      <c r="I205">
        <v>1359.05</v>
      </c>
      <c r="J205">
        <v>93.92</v>
      </c>
      <c r="K205">
        <v>477.63</v>
      </c>
      <c r="L205" t="s">
        <v>38</v>
      </c>
      <c r="M205" t="s">
        <v>27</v>
      </c>
      <c r="N205" t="s">
        <v>87</v>
      </c>
    </row>
    <row r="206" spans="1:14" x14ac:dyDescent="0.25">
      <c r="A206" t="s">
        <v>346</v>
      </c>
      <c r="B206" t="s">
        <v>956</v>
      </c>
      <c r="C206" t="s">
        <v>145</v>
      </c>
      <c r="D206" t="s">
        <v>55</v>
      </c>
      <c r="E206" t="s">
        <v>48</v>
      </c>
      <c r="F206" t="s">
        <v>37</v>
      </c>
      <c r="G206">
        <v>39</v>
      </c>
      <c r="H206">
        <v>32.76</v>
      </c>
      <c r="I206">
        <v>1277.6400000000001</v>
      </c>
      <c r="J206">
        <v>35.81</v>
      </c>
      <c r="K206">
        <v>461.83</v>
      </c>
      <c r="L206" t="s">
        <v>26</v>
      </c>
      <c r="M206" t="s">
        <v>32</v>
      </c>
      <c r="N206" t="s">
        <v>58</v>
      </c>
    </row>
    <row r="207" spans="1:14" x14ac:dyDescent="0.25">
      <c r="A207" t="s">
        <v>347</v>
      </c>
      <c r="B207" t="s">
        <v>839</v>
      </c>
      <c r="C207" t="s">
        <v>189</v>
      </c>
      <c r="D207" t="s">
        <v>16</v>
      </c>
      <c r="E207" t="s">
        <v>36</v>
      </c>
      <c r="F207" t="s">
        <v>37</v>
      </c>
      <c r="G207">
        <v>8</v>
      </c>
      <c r="H207">
        <v>39.869999999999997</v>
      </c>
      <c r="I207">
        <v>318.95999999999998</v>
      </c>
      <c r="J207">
        <v>15.95</v>
      </c>
      <c r="K207">
        <v>47.01</v>
      </c>
      <c r="L207" t="s">
        <v>38</v>
      </c>
      <c r="M207" t="s">
        <v>32</v>
      </c>
      <c r="N207" t="s">
        <v>21</v>
      </c>
    </row>
    <row r="208" spans="1:14" x14ac:dyDescent="0.25">
      <c r="A208" t="s">
        <v>348</v>
      </c>
      <c r="B208" t="s">
        <v>742</v>
      </c>
      <c r="C208" t="s">
        <v>261</v>
      </c>
      <c r="D208" t="s">
        <v>74</v>
      </c>
      <c r="E208" t="s">
        <v>43</v>
      </c>
      <c r="F208" t="s">
        <v>44</v>
      </c>
      <c r="G208">
        <v>10</v>
      </c>
      <c r="H208">
        <v>63.1</v>
      </c>
      <c r="I208">
        <v>631</v>
      </c>
      <c r="J208">
        <v>26.93</v>
      </c>
      <c r="K208">
        <v>204.07</v>
      </c>
      <c r="L208" t="s">
        <v>26</v>
      </c>
      <c r="M208" t="s">
        <v>27</v>
      </c>
      <c r="N208" t="s">
        <v>58</v>
      </c>
    </row>
    <row r="209" spans="1:14" x14ac:dyDescent="0.25">
      <c r="A209" t="s">
        <v>349</v>
      </c>
      <c r="B209" t="s">
        <v>955</v>
      </c>
      <c r="C209" t="s">
        <v>100</v>
      </c>
      <c r="D209" t="s">
        <v>151</v>
      </c>
      <c r="E209" t="s">
        <v>36</v>
      </c>
      <c r="F209" t="s">
        <v>37</v>
      </c>
      <c r="G209">
        <v>3</v>
      </c>
      <c r="H209">
        <v>55.1</v>
      </c>
      <c r="I209">
        <v>165.3</v>
      </c>
      <c r="J209">
        <v>9.17</v>
      </c>
      <c r="K209">
        <v>60.13</v>
      </c>
      <c r="L209" t="s">
        <v>19</v>
      </c>
      <c r="M209" t="s">
        <v>20</v>
      </c>
      <c r="N209" t="s">
        <v>28</v>
      </c>
    </row>
    <row r="210" spans="1:14" x14ac:dyDescent="0.25">
      <c r="A210" t="s">
        <v>350</v>
      </c>
      <c r="B210" t="s">
        <v>954</v>
      </c>
      <c r="C210" t="s">
        <v>71</v>
      </c>
      <c r="D210" t="s">
        <v>177</v>
      </c>
      <c r="E210" t="s">
        <v>60</v>
      </c>
      <c r="F210" t="s">
        <v>52</v>
      </c>
      <c r="G210">
        <v>26</v>
      </c>
      <c r="H210">
        <v>19.809999999999999</v>
      </c>
      <c r="I210">
        <v>515.05999999999995</v>
      </c>
      <c r="J210">
        <v>10.3</v>
      </c>
      <c r="K210">
        <v>101.76</v>
      </c>
      <c r="L210" t="s">
        <v>38</v>
      </c>
      <c r="M210" t="s">
        <v>27</v>
      </c>
      <c r="N210" t="s">
        <v>58</v>
      </c>
    </row>
    <row r="211" spans="1:14" x14ac:dyDescent="0.25">
      <c r="A211" t="s">
        <v>351</v>
      </c>
      <c r="B211" t="s">
        <v>953</v>
      </c>
      <c r="C211" t="s">
        <v>108</v>
      </c>
      <c r="D211" t="s">
        <v>74</v>
      </c>
      <c r="E211" t="s">
        <v>43</v>
      </c>
      <c r="F211" t="s">
        <v>44</v>
      </c>
      <c r="G211">
        <v>17</v>
      </c>
      <c r="H211">
        <v>53.34</v>
      </c>
      <c r="I211">
        <v>906.78</v>
      </c>
      <c r="J211">
        <v>30.6</v>
      </c>
      <c r="K211">
        <v>196.18</v>
      </c>
      <c r="L211" t="s">
        <v>19</v>
      </c>
      <c r="M211" t="s">
        <v>27</v>
      </c>
      <c r="N211" t="s">
        <v>58</v>
      </c>
    </row>
    <row r="212" spans="1:14" x14ac:dyDescent="0.25">
      <c r="A212" t="s">
        <v>352</v>
      </c>
      <c r="B212" t="s">
        <v>952</v>
      </c>
      <c r="C212" t="s">
        <v>93</v>
      </c>
      <c r="D212" t="s">
        <v>55</v>
      </c>
      <c r="E212" t="s">
        <v>48</v>
      </c>
      <c r="F212" t="s">
        <v>37</v>
      </c>
      <c r="G212">
        <v>17</v>
      </c>
      <c r="H212">
        <v>28.23</v>
      </c>
      <c r="I212">
        <v>479.91</v>
      </c>
      <c r="J212">
        <v>31.88</v>
      </c>
      <c r="K212">
        <v>108.03</v>
      </c>
      <c r="L212" t="s">
        <v>26</v>
      </c>
      <c r="M212" t="s">
        <v>20</v>
      </c>
      <c r="N212" t="s">
        <v>58</v>
      </c>
    </row>
    <row r="213" spans="1:14" x14ac:dyDescent="0.25">
      <c r="A213" t="s">
        <v>353</v>
      </c>
      <c r="B213" t="s">
        <v>951</v>
      </c>
      <c r="C213" t="s">
        <v>354</v>
      </c>
      <c r="D213" t="s">
        <v>151</v>
      </c>
      <c r="E213" t="s">
        <v>25</v>
      </c>
      <c r="F213" t="s">
        <v>18</v>
      </c>
      <c r="G213">
        <v>42</v>
      </c>
      <c r="H213">
        <v>25.26</v>
      </c>
      <c r="I213">
        <v>1060.92</v>
      </c>
      <c r="J213">
        <v>77.05</v>
      </c>
      <c r="K213">
        <v>227.87</v>
      </c>
      <c r="L213" t="s">
        <v>19</v>
      </c>
      <c r="M213" t="s">
        <v>32</v>
      </c>
      <c r="N213" t="s">
        <v>28</v>
      </c>
    </row>
    <row r="214" spans="1:14" x14ac:dyDescent="0.25">
      <c r="A214" t="s">
        <v>355</v>
      </c>
      <c r="B214" t="s">
        <v>777</v>
      </c>
      <c r="C214" t="s">
        <v>149</v>
      </c>
      <c r="D214" t="s">
        <v>177</v>
      </c>
      <c r="E214" t="s">
        <v>25</v>
      </c>
      <c r="F214" t="s">
        <v>18</v>
      </c>
      <c r="G214">
        <v>2</v>
      </c>
      <c r="H214">
        <v>27.27</v>
      </c>
      <c r="I214">
        <v>54.54</v>
      </c>
      <c r="J214">
        <v>1.45</v>
      </c>
      <c r="K214">
        <v>17.09</v>
      </c>
      <c r="L214" t="s">
        <v>19</v>
      </c>
      <c r="M214" t="s">
        <v>32</v>
      </c>
      <c r="N214" t="s">
        <v>58</v>
      </c>
    </row>
    <row r="215" spans="1:14" x14ac:dyDescent="0.25">
      <c r="A215" t="s">
        <v>356</v>
      </c>
      <c r="B215" t="s">
        <v>950</v>
      </c>
      <c r="C215" t="s">
        <v>231</v>
      </c>
      <c r="D215" t="s">
        <v>74</v>
      </c>
      <c r="E215" t="s">
        <v>83</v>
      </c>
      <c r="F215" t="s">
        <v>52</v>
      </c>
      <c r="G215">
        <v>48</v>
      </c>
      <c r="H215">
        <v>44.95</v>
      </c>
      <c r="I215">
        <v>2157.6</v>
      </c>
      <c r="J215">
        <v>148.41</v>
      </c>
      <c r="K215">
        <v>665.19</v>
      </c>
      <c r="L215" t="s">
        <v>19</v>
      </c>
      <c r="M215" t="s">
        <v>20</v>
      </c>
      <c r="N215" t="s">
        <v>58</v>
      </c>
    </row>
    <row r="216" spans="1:14" x14ac:dyDescent="0.25">
      <c r="A216" t="s">
        <v>357</v>
      </c>
      <c r="B216" t="s">
        <v>949</v>
      </c>
      <c r="C216" t="s">
        <v>354</v>
      </c>
      <c r="D216" t="s">
        <v>69</v>
      </c>
      <c r="E216" t="s">
        <v>48</v>
      </c>
      <c r="F216" t="s">
        <v>37</v>
      </c>
      <c r="G216">
        <v>23</v>
      </c>
      <c r="H216">
        <v>28.6</v>
      </c>
      <c r="I216">
        <v>657.8</v>
      </c>
      <c r="J216">
        <v>13.36</v>
      </c>
      <c r="K216">
        <v>184.44</v>
      </c>
      <c r="L216" t="s">
        <v>19</v>
      </c>
      <c r="M216" t="s">
        <v>32</v>
      </c>
      <c r="N216" t="s">
        <v>58</v>
      </c>
    </row>
    <row r="217" spans="1:14" x14ac:dyDescent="0.25">
      <c r="A217" t="s">
        <v>358</v>
      </c>
      <c r="B217" t="s">
        <v>948</v>
      </c>
      <c r="C217" t="s">
        <v>108</v>
      </c>
      <c r="D217" t="s">
        <v>106</v>
      </c>
      <c r="E217" t="s">
        <v>60</v>
      </c>
      <c r="F217" t="s">
        <v>52</v>
      </c>
      <c r="G217">
        <v>18</v>
      </c>
      <c r="H217">
        <v>26.1</v>
      </c>
      <c r="I217">
        <v>469.8</v>
      </c>
      <c r="J217">
        <v>19.52</v>
      </c>
      <c r="K217">
        <v>171.28</v>
      </c>
      <c r="L217" t="s">
        <v>38</v>
      </c>
      <c r="M217" t="s">
        <v>20</v>
      </c>
      <c r="N217" t="s">
        <v>28</v>
      </c>
    </row>
    <row r="218" spans="1:14" x14ac:dyDescent="0.25">
      <c r="A218" t="s">
        <v>359</v>
      </c>
      <c r="B218" t="s">
        <v>887</v>
      </c>
      <c r="C218" t="s">
        <v>360</v>
      </c>
      <c r="D218" t="s">
        <v>47</v>
      </c>
      <c r="E218" t="s">
        <v>83</v>
      </c>
      <c r="F218" t="s">
        <v>52</v>
      </c>
      <c r="G218">
        <v>21</v>
      </c>
      <c r="H218">
        <v>37.450000000000003</v>
      </c>
      <c r="I218">
        <v>786.45</v>
      </c>
      <c r="J218">
        <v>62.4</v>
      </c>
      <c r="K218">
        <v>136.05000000000001</v>
      </c>
      <c r="L218" t="s">
        <v>19</v>
      </c>
      <c r="M218" t="s">
        <v>32</v>
      </c>
      <c r="N218" t="s">
        <v>21</v>
      </c>
    </row>
    <row r="219" spans="1:14" x14ac:dyDescent="0.25">
      <c r="A219" t="s">
        <v>361</v>
      </c>
      <c r="B219" t="s">
        <v>947</v>
      </c>
      <c r="C219" t="s">
        <v>323</v>
      </c>
      <c r="D219" t="s">
        <v>69</v>
      </c>
      <c r="E219" t="s">
        <v>48</v>
      </c>
      <c r="F219" t="s">
        <v>37</v>
      </c>
      <c r="G219">
        <v>25</v>
      </c>
      <c r="H219">
        <v>28.54</v>
      </c>
      <c r="I219">
        <v>713.5</v>
      </c>
      <c r="J219">
        <v>50.38</v>
      </c>
      <c r="K219">
        <v>163.12</v>
      </c>
      <c r="L219" t="s">
        <v>19</v>
      </c>
      <c r="M219" t="s">
        <v>20</v>
      </c>
      <c r="N219" t="s">
        <v>58</v>
      </c>
    </row>
    <row r="220" spans="1:14" x14ac:dyDescent="0.25">
      <c r="A220" t="s">
        <v>362</v>
      </c>
      <c r="B220" t="s">
        <v>770</v>
      </c>
      <c r="C220" t="s">
        <v>113</v>
      </c>
      <c r="D220" t="s">
        <v>16</v>
      </c>
      <c r="E220" t="s">
        <v>56</v>
      </c>
      <c r="F220" t="s">
        <v>57</v>
      </c>
      <c r="G220">
        <v>11</v>
      </c>
      <c r="H220">
        <v>38.07</v>
      </c>
      <c r="I220">
        <v>418.77</v>
      </c>
      <c r="J220">
        <v>29.02</v>
      </c>
      <c r="K220">
        <v>114.75</v>
      </c>
      <c r="L220" t="s">
        <v>26</v>
      </c>
      <c r="M220" t="s">
        <v>20</v>
      </c>
      <c r="N220" t="s">
        <v>21</v>
      </c>
    </row>
    <row r="221" spans="1:14" x14ac:dyDescent="0.25">
      <c r="A221" t="s">
        <v>363</v>
      </c>
      <c r="B221" t="s">
        <v>946</v>
      </c>
      <c r="C221" t="s">
        <v>364</v>
      </c>
      <c r="D221" t="s">
        <v>42</v>
      </c>
      <c r="E221" t="s">
        <v>60</v>
      </c>
      <c r="F221" t="s">
        <v>52</v>
      </c>
      <c r="G221">
        <v>18</v>
      </c>
      <c r="H221">
        <v>19.32</v>
      </c>
      <c r="I221">
        <v>347.76</v>
      </c>
      <c r="J221">
        <v>21.34</v>
      </c>
      <c r="K221">
        <v>47.42</v>
      </c>
      <c r="L221" t="s">
        <v>26</v>
      </c>
      <c r="M221" t="s">
        <v>20</v>
      </c>
      <c r="N221" t="s">
        <v>21</v>
      </c>
    </row>
    <row r="222" spans="1:14" x14ac:dyDescent="0.25">
      <c r="A222" t="s">
        <v>365</v>
      </c>
      <c r="B222" t="s">
        <v>945</v>
      </c>
      <c r="C222" t="s">
        <v>65</v>
      </c>
      <c r="D222" t="s">
        <v>24</v>
      </c>
      <c r="E222" t="s">
        <v>83</v>
      </c>
      <c r="F222" t="s">
        <v>52</v>
      </c>
      <c r="G222">
        <v>42</v>
      </c>
      <c r="H222">
        <v>50.02</v>
      </c>
      <c r="I222">
        <v>2100.84</v>
      </c>
      <c r="J222">
        <v>89.65</v>
      </c>
      <c r="K222">
        <v>835.19</v>
      </c>
      <c r="L222" t="s">
        <v>26</v>
      </c>
      <c r="M222" t="s">
        <v>27</v>
      </c>
      <c r="N222" t="s">
        <v>28</v>
      </c>
    </row>
    <row r="223" spans="1:14" x14ac:dyDescent="0.25">
      <c r="A223" t="s">
        <v>366</v>
      </c>
      <c r="B223" t="s">
        <v>748</v>
      </c>
      <c r="C223" t="s">
        <v>257</v>
      </c>
      <c r="D223" t="s">
        <v>129</v>
      </c>
      <c r="E223" t="s">
        <v>83</v>
      </c>
      <c r="F223" t="s">
        <v>52</v>
      </c>
      <c r="G223">
        <v>13</v>
      </c>
      <c r="H223">
        <v>49.39</v>
      </c>
      <c r="I223">
        <v>642.07000000000005</v>
      </c>
      <c r="J223">
        <v>38.32</v>
      </c>
      <c r="K223">
        <v>239.75</v>
      </c>
      <c r="L223" t="s">
        <v>26</v>
      </c>
      <c r="M223" t="s">
        <v>20</v>
      </c>
      <c r="N223" t="s">
        <v>130</v>
      </c>
    </row>
    <row r="224" spans="1:14" x14ac:dyDescent="0.25">
      <c r="A224" t="s">
        <v>367</v>
      </c>
      <c r="B224" t="s">
        <v>944</v>
      </c>
      <c r="C224" t="s">
        <v>117</v>
      </c>
      <c r="D224" t="s">
        <v>24</v>
      </c>
      <c r="E224" t="s">
        <v>25</v>
      </c>
      <c r="F224" t="s">
        <v>18</v>
      </c>
      <c r="G224">
        <v>15</v>
      </c>
      <c r="H224">
        <v>22.86</v>
      </c>
      <c r="I224">
        <v>342.9</v>
      </c>
      <c r="J224">
        <v>27.16</v>
      </c>
      <c r="K224">
        <v>45.74</v>
      </c>
      <c r="L224" t="s">
        <v>38</v>
      </c>
      <c r="M224" t="s">
        <v>32</v>
      </c>
      <c r="N224" t="s">
        <v>28</v>
      </c>
    </row>
    <row r="225" spans="1:14" x14ac:dyDescent="0.25">
      <c r="A225" t="s">
        <v>368</v>
      </c>
      <c r="B225" t="s">
        <v>825</v>
      </c>
      <c r="C225" t="s">
        <v>360</v>
      </c>
      <c r="D225" t="s">
        <v>177</v>
      </c>
      <c r="E225" t="s">
        <v>56</v>
      </c>
      <c r="F225" t="s">
        <v>57</v>
      </c>
      <c r="G225">
        <v>37</v>
      </c>
      <c r="H225">
        <v>37.270000000000003</v>
      </c>
      <c r="I225">
        <v>1378.99</v>
      </c>
      <c r="J225">
        <v>92.92</v>
      </c>
      <c r="K225">
        <v>361.07</v>
      </c>
      <c r="L225" t="s">
        <v>19</v>
      </c>
      <c r="M225" t="s">
        <v>20</v>
      </c>
      <c r="N225" t="s">
        <v>58</v>
      </c>
    </row>
    <row r="226" spans="1:14" x14ac:dyDescent="0.25">
      <c r="A226" t="s">
        <v>369</v>
      </c>
      <c r="B226" t="s">
        <v>943</v>
      </c>
      <c r="C226" t="s">
        <v>46</v>
      </c>
      <c r="D226" t="s">
        <v>106</v>
      </c>
      <c r="E226" t="s">
        <v>17</v>
      </c>
      <c r="F226" t="s">
        <v>18</v>
      </c>
      <c r="G226">
        <v>49</v>
      </c>
      <c r="H226">
        <v>54.05</v>
      </c>
      <c r="I226">
        <v>2648.45</v>
      </c>
      <c r="J226">
        <v>66.8</v>
      </c>
      <c r="K226">
        <v>866.65</v>
      </c>
      <c r="L226" t="s">
        <v>38</v>
      </c>
      <c r="M226" t="s">
        <v>20</v>
      </c>
      <c r="N226" t="s">
        <v>28</v>
      </c>
    </row>
    <row r="227" spans="1:14" x14ac:dyDescent="0.25">
      <c r="A227" t="s">
        <v>370</v>
      </c>
      <c r="B227" t="s">
        <v>879</v>
      </c>
      <c r="C227" t="s">
        <v>371</v>
      </c>
      <c r="D227" t="s">
        <v>24</v>
      </c>
      <c r="E227" t="s">
        <v>63</v>
      </c>
      <c r="F227" t="s">
        <v>37</v>
      </c>
      <c r="G227">
        <v>33</v>
      </c>
      <c r="H227">
        <v>20.059999999999999</v>
      </c>
      <c r="I227">
        <v>661.98</v>
      </c>
      <c r="J227">
        <v>50.02</v>
      </c>
      <c r="K227">
        <v>191.21</v>
      </c>
      <c r="L227" t="s">
        <v>38</v>
      </c>
      <c r="M227" t="s">
        <v>27</v>
      </c>
      <c r="N227" t="s">
        <v>28</v>
      </c>
    </row>
    <row r="228" spans="1:14" x14ac:dyDescent="0.25">
      <c r="A228" t="s">
        <v>372</v>
      </c>
      <c r="B228" t="s">
        <v>942</v>
      </c>
      <c r="C228" t="s">
        <v>207</v>
      </c>
      <c r="D228" t="s">
        <v>151</v>
      </c>
      <c r="E228" t="s">
        <v>83</v>
      </c>
      <c r="F228" t="s">
        <v>52</v>
      </c>
      <c r="G228">
        <v>49</v>
      </c>
      <c r="H228">
        <v>35.68</v>
      </c>
      <c r="I228">
        <v>1748.32</v>
      </c>
      <c r="J228">
        <v>124.47</v>
      </c>
      <c r="K228">
        <v>251.85</v>
      </c>
      <c r="L228" t="s">
        <v>38</v>
      </c>
      <c r="M228" t="s">
        <v>32</v>
      </c>
      <c r="N228" t="s">
        <v>28</v>
      </c>
    </row>
    <row r="229" spans="1:14" x14ac:dyDescent="0.25">
      <c r="A229" t="s">
        <v>373</v>
      </c>
      <c r="B229" t="s">
        <v>851</v>
      </c>
      <c r="C229" t="s">
        <v>30</v>
      </c>
      <c r="D229" t="s">
        <v>177</v>
      </c>
      <c r="E229" t="s">
        <v>56</v>
      </c>
      <c r="F229" t="s">
        <v>57</v>
      </c>
      <c r="G229">
        <v>23</v>
      </c>
      <c r="H229">
        <v>30.89</v>
      </c>
      <c r="I229">
        <v>710.47</v>
      </c>
      <c r="J229">
        <v>18.739999999999998</v>
      </c>
      <c r="K229">
        <v>116.73</v>
      </c>
      <c r="L229" t="s">
        <v>26</v>
      </c>
      <c r="M229" t="s">
        <v>20</v>
      </c>
      <c r="N229" t="s">
        <v>58</v>
      </c>
    </row>
    <row r="230" spans="1:14" x14ac:dyDescent="0.25">
      <c r="A230" t="s">
        <v>374</v>
      </c>
      <c r="B230" t="s">
        <v>941</v>
      </c>
      <c r="C230" t="s">
        <v>34</v>
      </c>
      <c r="D230" t="s">
        <v>106</v>
      </c>
      <c r="E230" t="s">
        <v>17</v>
      </c>
      <c r="F230" t="s">
        <v>18</v>
      </c>
      <c r="G230">
        <v>14</v>
      </c>
      <c r="H230">
        <v>59.6</v>
      </c>
      <c r="I230">
        <v>834.4</v>
      </c>
      <c r="J230">
        <v>19.11</v>
      </c>
      <c r="K230">
        <v>325.29000000000002</v>
      </c>
      <c r="L230" t="s">
        <v>26</v>
      </c>
      <c r="M230" t="s">
        <v>27</v>
      </c>
      <c r="N230" t="s">
        <v>28</v>
      </c>
    </row>
    <row r="231" spans="1:14" x14ac:dyDescent="0.25">
      <c r="A231" t="s">
        <v>375</v>
      </c>
      <c r="B231" t="s">
        <v>940</v>
      </c>
      <c r="C231" t="s">
        <v>303</v>
      </c>
      <c r="D231" t="s">
        <v>151</v>
      </c>
      <c r="E231" t="s">
        <v>51</v>
      </c>
      <c r="F231" t="s">
        <v>52</v>
      </c>
      <c r="G231">
        <v>3</v>
      </c>
      <c r="H231">
        <v>28.36</v>
      </c>
      <c r="I231">
        <v>85.08</v>
      </c>
      <c r="J231">
        <v>4.46</v>
      </c>
      <c r="K231">
        <v>13.12</v>
      </c>
      <c r="L231" t="s">
        <v>19</v>
      </c>
      <c r="M231" t="s">
        <v>27</v>
      </c>
      <c r="N231" t="s">
        <v>28</v>
      </c>
    </row>
    <row r="232" spans="1:14" x14ac:dyDescent="0.25">
      <c r="A232" t="s">
        <v>376</v>
      </c>
      <c r="B232" t="s">
        <v>939</v>
      </c>
      <c r="C232" t="s">
        <v>135</v>
      </c>
      <c r="D232" t="s">
        <v>151</v>
      </c>
      <c r="E232" t="s">
        <v>63</v>
      </c>
      <c r="F232" t="s">
        <v>37</v>
      </c>
      <c r="G232">
        <v>28</v>
      </c>
      <c r="H232">
        <v>22.13</v>
      </c>
      <c r="I232">
        <v>619.64</v>
      </c>
      <c r="J232">
        <v>17.2</v>
      </c>
      <c r="K232">
        <v>245.44</v>
      </c>
      <c r="L232" t="s">
        <v>26</v>
      </c>
      <c r="M232" t="s">
        <v>32</v>
      </c>
      <c r="N232" t="s">
        <v>28</v>
      </c>
    </row>
    <row r="233" spans="1:14" x14ac:dyDescent="0.25">
      <c r="A233" t="s">
        <v>377</v>
      </c>
      <c r="B233" t="s">
        <v>913</v>
      </c>
      <c r="C233" t="s">
        <v>233</v>
      </c>
      <c r="D233" t="s">
        <v>16</v>
      </c>
      <c r="E233" t="s">
        <v>25</v>
      </c>
      <c r="F233" t="s">
        <v>18</v>
      </c>
      <c r="G233">
        <v>28</v>
      </c>
      <c r="H233">
        <v>27.62</v>
      </c>
      <c r="I233">
        <v>773.36</v>
      </c>
      <c r="J233">
        <v>29.88</v>
      </c>
      <c r="K233">
        <v>239.48</v>
      </c>
      <c r="L233" t="s">
        <v>19</v>
      </c>
      <c r="M233" t="s">
        <v>20</v>
      </c>
      <c r="N233" t="s">
        <v>21</v>
      </c>
    </row>
    <row r="234" spans="1:14" x14ac:dyDescent="0.25">
      <c r="A234" t="s">
        <v>378</v>
      </c>
      <c r="B234" t="s">
        <v>938</v>
      </c>
      <c r="C234" t="s">
        <v>121</v>
      </c>
      <c r="D234" t="s">
        <v>42</v>
      </c>
      <c r="E234" t="s">
        <v>56</v>
      </c>
      <c r="F234" t="s">
        <v>57</v>
      </c>
      <c r="G234">
        <v>40</v>
      </c>
      <c r="H234">
        <v>34.229999999999997</v>
      </c>
      <c r="I234">
        <v>1369.2</v>
      </c>
      <c r="J234">
        <v>78.03</v>
      </c>
      <c r="K234">
        <v>291.17</v>
      </c>
      <c r="L234" t="s">
        <v>19</v>
      </c>
      <c r="M234" t="s">
        <v>20</v>
      </c>
      <c r="N234" t="s">
        <v>21</v>
      </c>
    </row>
    <row r="235" spans="1:14" x14ac:dyDescent="0.25">
      <c r="A235" t="s">
        <v>379</v>
      </c>
      <c r="B235" t="s">
        <v>925</v>
      </c>
      <c r="C235" t="s">
        <v>179</v>
      </c>
      <c r="D235" t="s">
        <v>77</v>
      </c>
      <c r="E235" t="s">
        <v>43</v>
      </c>
      <c r="F235" t="s">
        <v>44</v>
      </c>
      <c r="G235">
        <v>9</v>
      </c>
      <c r="H235">
        <v>52.2</v>
      </c>
      <c r="I235">
        <v>469.8</v>
      </c>
      <c r="J235">
        <v>31.5</v>
      </c>
      <c r="K235">
        <v>78.3</v>
      </c>
      <c r="L235" t="s">
        <v>38</v>
      </c>
      <c r="M235" t="s">
        <v>32</v>
      </c>
      <c r="N235" t="s">
        <v>58</v>
      </c>
    </row>
    <row r="236" spans="1:14" x14ac:dyDescent="0.25">
      <c r="A236" t="s">
        <v>380</v>
      </c>
      <c r="B236" t="s">
        <v>937</v>
      </c>
      <c r="C236" t="s">
        <v>233</v>
      </c>
      <c r="D236" t="s">
        <v>106</v>
      </c>
      <c r="E236" t="s">
        <v>56</v>
      </c>
      <c r="F236" t="s">
        <v>57</v>
      </c>
      <c r="G236">
        <v>31</v>
      </c>
      <c r="H236">
        <v>43.54</v>
      </c>
      <c r="I236">
        <v>1349.74</v>
      </c>
      <c r="J236">
        <v>99.86</v>
      </c>
      <c r="K236">
        <v>474.88</v>
      </c>
      <c r="L236" t="s">
        <v>19</v>
      </c>
      <c r="M236" t="s">
        <v>27</v>
      </c>
      <c r="N236" t="s">
        <v>28</v>
      </c>
    </row>
    <row r="237" spans="1:14" x14ac:dyDescent="0.25">
      <c r="A237" t="s">
        <v>381</v>
      </c>
      <c r="B237" t="s">
        <v>936</v>
      </c>
      <c r="C237" t="s">
        <v>115</v>
      </c>
      <c r="D237" t="s">
        <v>74</v>
      </c>
      <c r="E237" t="s">
        <v>60</v>
      </c>
      <c r="F237" t="s">
        <v>52</v>
      </c>
      <c r="G237">
        <v>31</v>
      </c>
      <c r="H237">
        <v>18.63</v>
      </c>
      <c r="I237">
        <v>577.53</v>
      </c>
      <c r="J237">
        <v>36.65</v>
      </c>
      <c r="K237">
        <v>60.38</v>
      </c>
      <c r="L237" t="s">
        <v>38</v>
      </c>
      <c r="M237" t="s">
        <v>20</v>
      </c>
      <c r="N237" t="s">
        <v>58</v>
      </c>
    </row>
    <row r="238" spans="1:14" x14ac:dyDescent="0.25">
      <c r="A238" t="s">
        <v>382</v>
      </c>
      <c r="B238" t="s">
        <v>926</v>
      </c>
      <c r="C238" t="s">
        <v>278</v>
      </c>
      <c r="D238" t="s">
        <v>77</v>
      </c>
      <c r="E238" t="s">
        <v>48</v>
      </c>
      <c r="F238" t="s">
        <v>37</v>
      </c>
      <c r="G238">
        <v>38</v>
      </c>
      <c r="H238">
        <v>27.28</v>
      </c>
      <c r="I238">
        <v>1036.6400000000001</v>
      </c>
      <c r="J238">
        <v>38.770000000000003</v>
      </c>
      <c r="K238">
        <v>237.87</v>
      </c>
      <c r="L238" t="s">
        <v>19</v>
      </c>
      <c r="M238" t="s">
        <v>32</v>
      </c>
      <c r="N238" t="s">
        <v>58</v>
      </c>
    </row>
    <row r="239" spans="1:14" x14ac:dyDescent="0.25">
      <c r="A239" t="s">
        <v>383</v>
      </c>
      <c r="B239" t="s">
        <v>935</v>
      </c>
      <c r="C239" t="s">
        <v>207</v>
      </c>
      <c r="D239" t="s">
        <v>35</v>
      </c>
      <c r="E239" t="s">
        <v>25</v>
      </c>
      <c r="F239" t="s">
        <v>18</v>
      </c>
      <c r="G239">
        <v>50</v>
      </c>
      <c r="H239">
        <v>30.97</v>
      </c>
      <c r="I239">
        <v>1548.5</v>
      </c>
      <c r="J239">
        <v>82.09</v>
      </c>
      <c r="K239">
        <v>566.41</v>
      </c>
      <c r="L239" t="s">
        <v>26</v>
      </c>
      <c r="M239" t="s">
        <v>27</v>
      </c>
      <c r="N239" t="s">
        <v>39</v>
      </c>
    </row>
    <row r="240" spans="1:14" x14ac:dyDescent="0.25">
      <c r="A240" t="s">
        <v>384</v>
      </c>
      <c r="B240" t="s">
        <v>803</v>
      </c>
      <c r="C240" t="s">
        <v>76</v>
      </c>
      <c r="D240" t="s">
        <v>77</v>
      </c>
      <c r="E240" t="s">
        <v>43</v>
      </c>
      <c r="F240" t="s">
        <v>44</v>
      </c>
      <c r="G240">
        <v>17</v>
      </c>
      <c r="H240">
        <v>60.91</v>
      </c>
      <c r="I240">
        <v>1035.47</v>
      </c>
      <c r="J240">
        <v>54.09</v>
      </c>
      <c r="K240">
        <v>301.38</v>
      </c>
      <c r="L240" t="s">
        <v>38</v>
      </c>
      <c r="M240" t="s">
        <v>20</v>
      </c>
      <c r="N240" t="s">
        <v>58</v>
      </c>
    </row>
    <row r="241" spans="1:14" x14ac:dyDescent="0.25">
      <c r="A241" t="s">
        <v>385</v>
      </c>
      <c r="B241" t="s">
        <v>934</v>
      </c>
      <c r="C241" t="s">
        <v>274</v>
      </c>
      <c r="D241" t="s">
        <v>55</v>
      </c>
      <c r="E241" t="s">
        <v>48</v>
      </c>
      <c r="F241" t="s">
        <v>37</v>
      </c>
      <c r="G241">
        <v>25</v>
      </c>
      <c r="H241">
        <v>31.15</v>
      </c>
      <c r="I241">
        <v>778.75</v>
      </c>
      <c r="J241">
        <v>47.45</v>
      </c>
      <c r="K241">
        <v>231.3</v>
      </c>
      <c r="L241" t="s">
        <v>19</v>
      </c>
      <c r="M241" t="s">
        <v>32</v>
      </c>
      <c r="N241" t="s">
        <v>58</v>
      </c>
    </row>
    <row r="242" spans="1:14" x14ac:dyDescent="0.25">
      <c r="A242" t="s">
        <v>386</v>
      </c>
      <c r="B242" t="s">
        <v>933</v>
      </c>
      <c r="C242" t="s">
        <v>291</v>
      </c>
      <c r="D242" t="s">
        <v>106</v>
      </c>
      <c r="E242" t="s">
        <v>25</v>
      </c>
      <c r="F242" t="s">
        <v>18</v>
      </c>
      <c r="G242">
        <v>30</v>
      </c>
      <c r="H242">
        <v>31.12</v>
      </c>
      <c r="I242">
        <v>933.6</v>
      </c>
      <c r="J242">
        <v>50.88</v>
      </c>
      <c r="K242">
        <v>342.72</v>
      </c>
      <c r="L242" t="s">
        <v>26</v>
      </c>
      <c r="M242" t="s">
        <v>27</v>
      </c>
      <c r="N242" t="s">
        <v>28</v>
      </c>
    </row>
    <row r="243" spans="1:14" x14ac:dyDescent="0.25">
      <c r="A243" t="s">
        <v>387</v>
      </c>
      <c r="B243" t="s">
        <v>932</v>
      </c>
      <c r="C243" t="s">
        <v>113</v>
      </c>
      <c r="D243" t="s">
        <v>47</v>
      </c>
      <c r="E243" t="s">
        <v>60</v>
      </c>
      <c r="F243" t="s">
        <v>52</v>
      </c>
      <c r="G243">
        <v>17</v>
      </c>
      <c r="H243">
        <v>19.64</v>
      </c>
      <c r="I243">
        <v>333.88</v>
      </c>
      <c r="J243">
        <v>22.23</v>
      </c>
      <c r="K243">
        <v>48.15</v>
      </c>
      <c r="L243" t="s">
        <v>38</v>
      </c>
      <c r="M243" t="s">
        <v>32</v>
      </c>
      <c r="N243" t="s">
        <v>21</v>
      </c>
    </row>
    <row r="244" spans="1:14" x14ac:dyDescent="0.25">
      <c r="A244" t="s">
        <v>388</v>
      </c>
      <c r="B244" t="s">
        <v>801</v>
      </c>
      <c r="C244" t="s">
        <v>389</v>
      </c>
      <c r="D244" t="s">
        <v>16</v>
      </c>
      <c r="E244" t="s">
        <v>36</v>
      </c>
      <c r="F244" t="s">
        <v>37</v>
      </c>
      <c r="G244">
        <v>37</v>
      </c>
      <c r="H244">
        <v>57.35</v>
      </c>
      <c r="I244">
        <v>2121.9499999999998</v>
      </c>
      <c r="J244">
        <v>147.38999999999999</v>
      </c>
      <c r="K244">
        <v>790.56</v>
      </c>
      <c r="L244" t="s">
        <v>19</v>
      </c>
      <c r="M244" t="s">
        <v>20</v>
      </c>
      <c r="N244" t="s">
        <v>21</v>
      </c>
    </row>
    <row r="245" spans="1:14" x14ac:dyDescent="0.25">
      <c r="A245" t="s">
        <v>390</v>
      </c>
      <c r="B245" t="s">
        <v>874</v>
      </c>
      <c r="C245" t="s">
        <v>15</v>
      </c>
      <c r="D245" t="s">
        <v>31</v>
      </c>
      <c r="E245" t="s">
        <v>17</v>
      </c>
      <c r="F245" t="s">
        <v>18</v>
      </c>
      <c r="G245">
        <v>45</v>
      </c>
      <c r="H245">
        <v>42.6</v>
      </c>
      <c r="I245">
        <v>1917</v>
      </c>
      <c r="J245">
        <v>104.27</v>
      </c>
      <c r="K245">
        <v>237.73</v>
      </c>
      <c r="L245" t="s">
        <v>26</v>
      </c>
      <c r="M245" t="s">
        <v>32</v>
      </c>
      <c r="N245" t="s">
        <v>28</v>
      </c>
    </row>
    <row r="246" spans="1:14" x14ac:dyDescent="0.25">
      <c r="A246" t="s">
        <v>391</v>
      </c>
      <c r="B246" t="s">
        <v>823</v>
      </c>
      <c r="C246" t="s">
        <v>102</v>
      </c>
      <c r="D246" t="s">
        <v>24</v>
      </c>
      <c r="E246" t="s">
        <v>48</v>
      </c>
      <c r="F246" t="s">
        <v>37</v>
      </c>
      <c r="G246">
        <v>25</v>
      </c>
      <c r="H246">
        <v>31.82</v>
      </c>
      <c r="I246">
        <v>795.5</v>
      </c>
      <c r="J246">
        <v>37.33</v>
      </c>
      <c r="K246">
        <v>258.17</v>
      </c>
      <c r="L246" t="s">
        <v>19</v>
      </c>
      <c r="M246" t="s">
        <v>27</v>
      </c>
      <c r="N246" t="s">
        <v>28</v>
      </c>
    </row>
    <row r="247" spans="1:14" x14ac:dyDescent="0.25">
      <c r="A247" t="s">
        <v>392</v>
      </c>
      <c r="B247" t="s">
        <v>931</v>
      </c>
      <c r="C247" t="s">
        <v>125</v>
      </c>
      <c r="D247" t="s">
        <v>177</v>
      </c>
      <c r="E247" t="s">
        <v>56</v>
      </c>
      <c r="F247" t="s">
        <v>57</v>
      </c>
      <c r="G247">
        <v>17</v>
      </c>
      <c r="H247">
        <v>36.270000000000003</v>
      </c>
      <c r="I247">
        <v>616.59</v>
      </c>
      <c r="J247">
        <v>22.76</v>
      </c>
      <c r="K247">
        <v>168.83</v>
      </c>
      <c r="L247" t="s">
        <v>38</v>
      </c>
      <c r="M247" t="s">
        <v>20</v>
      </c>
      <c r="N247" t="s">
        <v>58</v>
      </c>
    </row>
    <row r="248" spans="1:14" x14ac:dyDescent="0.25">
      <c r="A248" t="s">
        <v>393</v>
      </c>
      <c r="B248" t="s">
        <v>930</v>
      </c>
      <c r="C248" t="s">
        <v>211</v>
      </c>
      <c r="D248" t="s">
        <v>74</v>
      </c>
      <c r="E248" t="s">
        <v>25</v>
      </c>
      <c r="F248" t="s">
        <v>18</v>
      </c>
      <c r="G248">
        <v>4</v>
      </c>
      <c r="H248">
        <v>27.01</v>
      </c>
      <c r="I248">
        <v>108.04</v>
      </c>
      <c r="J248">
        <v>4.7300000000000004</v>
      </c>
      <c r="K248">
        <v>31.31</v>
      </c>
      <c r="L248" t="s">
        <v>38</v>
      </c>
      <c r="M248" t="s">
        <v>32</v>
      </c>
      <c r="N248" t="s">
        <v>58</v>
      </c>
    </row>
    <row r="249" spans="1:14" x14ac:dyDescent="0.25">
      <c r="A249" t="s">
        <v>394</v>
      </c>
      <c r="B249" t="s">
        <v>929</v>
      </c>
      <c r="C249" t="s">
        <v>231</v>
      </c>
      <c r="D249" t="s">
        <v>47</v>
      </c>
      <c r="E249" t="s">
        <v>17</v>
      </c>
      <c r="F249" t="s">
        <v>18</v>
      </c>
      <c r="G249">
        <v>22</v>
      </c>
      <c r="H249">
        <v>57.6</v>
      </c>
      <c r="I249">
        <v>1267.2</v>
      </c>
      <c r="J249">
        <v>35.32</v>
      </c>
      <c r="K249">
        <v>461.88</v>
      </c>
      <c r="L249" t="s">
        <v>38</v>
      </c>
      <c r="M249" t="s">
        <v>20</v>
      </c>
      <c r="N249" t="s">
        <v>21</v>
      </c>
    </row>
    <row r="250" spans="1:14" x14ac:dyDescent="0.25">
      <c r="A250" t="s">
        <v>395</v>
      </c>
      <c r="B250" t="s">
        <v>842</v>
      </c>
      <c r="C250" t="s">
        <v>261</v>
      </c>
      <c r="D250" t="s">
        <v>151</v>
      </c>
      <c r="E250" t="s">
        <v>56</v>
      </c>
      <c r="F250" t="s">
        <v>57</v>
      </c>
      <c r="G250">
        <v>24</v>
      </c>
      <c r="H250">
        <v>43.34</v>
      </c>
      <c r="I250">
        <v>1040.1600000000001</v>
      </c>
      <c r="J250">
        <v>41.18</v>
      </c>
      <c r="K250">
        <v>398.98</v>
      </c>
      <c r="L250" t="s">
        <v>19</v>
      </c>
      <c r="M250" t="s">
        <v>32</v>
      </c>
      <c r="N250" t="s">
        <v>28</v>
      </c>
    </row>
    <row r="251" spans="1:14" x14ac:dyDescent="0.25">
      <c r="A251" t="s">
        <v>396</v>
      </c>
      <c r="B251" t="s">
        <v>928</v>
      </c>
      <c r="C251" t="s">
        <v>166</v>
      </c>
      <c r="D251" t="s">
        <v>47</v>
      </c>
      <c r="E251" t="s">
        <v>43</v>
      </c>
      <c r="F251" t="s">
        <v>44</v>
      </c>
      <c r="G251">
        <v>37</v>
      </c>
      <c r="H251">
        <v>71.8</v>
      </c>
      <c r="I251">
        <v>2656.6</v>
      </c>
      <c r="J251">
        <v>60.3</v>
      </c>
      <c r="K251">
        <v>1116.3</v>
      </c>
      <c r="L251" t="s">
        <v>26</v>
      </c>
      <c r="M251" t="s">
        <v>20</v>
      </c>
      <c r="N251" t="s">
        <v>21</v>
      </c>
    </row>
    <row r="252" spans="1:14" x14ac:dyDescent="0.25">
      <c r="A252" t="s">
        <v>397</v>
      </c>
      <c r="B252" t="s">
        <v>927</v>
      </c>
      <c r="C252" t="s">
        <v>389</v>
      </c>
      <c r="D252" t="s">
        <v>74</v>
      </c>
      <c r="E252" t="s">
        <v>48</v>
      </c>
      <c r="F252" t="s">
        <v>37</v>
      </c>
      <c r="G252">
        <v>24</v>
      </c>
      <c r="H252">
        <v>29.11</v>
      </c>
      <c r="I252">
        <v>698.64</v>
      </c>
      <c r="J252">
        <v>53.99</v>
      </c>
      <c r="K252">
        <v>164.65</v>
      </c>
      <c r="L252" t="s">
        <v>38</v>
      </c>
      <c r="M252" t="s">
        <v>32</v>
      </c>
      <c r="N252" t="s">
        <v>58</v>
      </c>
    </row>
    <row r="253" spans="1:14" x14ac:dyDescent="0.25">
      <c r="A253" t="s">
        <v>398</v>
      </c>
      <c r="B253" t="s">
        <v>822</v>
      </c>
      <c r="C253" t="s">
        <v>399</v>
      </c>
      <c r="D253" t="s">
        <v>77</v>
      </c>
      <c r="E253" t="s">
        <v>51</v>
      </c>
      <c r="F253" t="s">
        <v>52</v>
      </c>
      <c r="G253">
        <v>6</v>
      </c>
      <c r="H253">
        <v>27.91</v>
      </c>
      <c r="I253">
        <v>167.46</v>
      </c>
      <c r="J253">
        <v>10.01</v>
      </c>
      <c r="K253">
        <v>22.45</v>
      </c>
      <c r="L253" t="s">
        <v>19</v>
      </c>
      <c r="M253" t="s">
        <v>20</v>
      </c>
      <c r="N253" t="s">
        <v>58</v>
      </c>
    </row>
    <row r="254" spans="1:14" x14ac:dyDescent="0.25">
      <c r="A254" t="s">
        <v>400</v>
      </c>
      <c r="B254" t="s">
        <v>926</v>
      </c>
      <c r="C254" t="s">
        <v>34</v>
      </c>
      <c r="D254" t="s">
        <v>55</v>
      </c>
      <c r="E254" t="s">
        <v>51</v>
      </c>
      <c r="F254" t="s">
        <v>52</v>
      </c>
      <c r="G254">
        <v>28</v>
      </c>
      <c r="H254">
        <v>27.29</v>
      </c>
      <c r="I254">
        <v>764.12</v>
      </c>
      <c r="J254">
        <v>25.78</v>
      </c>
      <c r="K254">
        <v>108.34</v>
      </c>
      <c r="L254" t="s">
        <v>38</v>
      </c>
      <c r="M254" t="s">
        <v>20</v>
      </c>
      <c r="N254" t="s">
        <v>58</v>
      </c>
    </row>
    <row r="255" spans="1:14" x14ac:dyDescent="0.25">
      <c r="A255" t="s">
        <v>401</v>
      </c>
      <c r="B255" t="s">
        <v>811</v>
      </c>
      <c r="C255" t="s">
        <v>319</v>
      </c>
      <c r="D255" t="s">
        <v>47</v>
      </c>
      <c r="E255" t="s">
        <v>51</v>
      </c>
      <c r="F255" t="s">
        <v>52</v>
      </c>
      <c r="G255">
        <v>47</v>
      </c>
      <c r="H255">
        <v>35.880000000000003</v>
      </c>
      <c r="I255">
        <v>1686.36</v>
      </c>
      <c r="J255">
        <v>70.3</v>
      </c>
      <c r="K255">
        <v>558.55999999999995</v>
      </c>
      <c r="L255" t="s">
        <v>19</v>
      </c>
      <c r="M255" t="s">
        <v>27</v>
      </c>
      <c r="N255" t="s">
        <v>21</v>
      </c>
    </row>
    <row r="256" spans="1:14" x14ac:dyDescent="0.25">
      <c r="A256" t="s">
        <v>402</v>
      </c>
      <c r="B256" t="s">
        <v>823</v>
      </c>
      <c r="C256" t="s">
        <v>199</v>
      </c>
      <c r="D256" t="s">
        <v>106</v>
      </c>
      <c r="E256" t="s">
        <v>60</v>
      </c>
      <c r="F256" t="s">
        <v>52</v>
      </c>
      <c r="G256">
        <v>19</v>
      </c>
      <c r="H256">
        <v>27.47</v>
      </c>
      <c r="I256">
        <v>521.92999999999995</v>
      </c>
      <c r="J256">
        <v>31.29</v>
      </c>
      <c r="K256">
        <v>196.14</v>
      </c>
      <c r="L256" t="s">
        <v>26</v>
      </c>
      <c r="M256" t="s">
        <v>32</v>
      </c>
      <c r="N256" t="s">
        <v>28</v>
      </c>
    </row>
    <row r="257" spans="1:14" x14ac:dyDescent="0.25">
      <c r="A257" t="s">
        <v>403</v>
      </c>
      <c r="B257" t="s">
        <v>896</v>
      </c>
      <c r="C257" t="s">
        <v>135</v>
      </c>
      <c r="D257" t="s">
        <v>129</v>
      </c>
      <c r="E257" t="s">
        <v>48</v>
      </c>
      <c r="F257" t="s">
        <v>37</v>
      </c>
      <c r="G257">
        <v>13</v>
      </c>
      <c r="H257">
        <v>29.26</v>
      </c>
      <c r="I257">
        <v>380.38</v>
      </c>
      <c r="J257">
        <v>9.4700000000000006</v>
      </c>
      <c r="K257">
        <v>110.91</v>
      </c>
      <c r="L257" t="s">
        <v>26</v>
      </c>
      <c r="M257" t="s">
        <v>32</v>
      </c>
      <c r="N257" t="s">
        <v>130</v>
      </c>
    </row>
    <row r="258" spans="1:14" x14ac:dyDescent="0.25">
      <c r="A258" t="s">
        <v>404</v>
      </c>
      <c r="B258" t="s">
        <v>925</v>
      </c>
      <c r="C258" t="s">
        <v>306</v>
      </c>
      <c r="D258" t="s">
        <v>151</v>
      </c>
      <c r="E258" t="s">
        <v>25</v>
      </c>
      <c r="F258" t="s">
        <v>18</v>
      </c>
      <c r="G258">
        <v>4</v>
      </c>
      <c r="H258">
        <v>26.17</v>
      </c>
      <c r="I258">
        <v>104.68</v>
      </c>
      <c r="J258">
        <v>6.33</v>
      </c>
      <c r="K258">
        <v>26.35</v>
      </c>
      <c r="L258" t="s">
        <v>19</v>
      </c>
      <c r="M258" t="s">
        <v>27</v>
      </c>
      <c r="N258" t="s">
        <v>28</v>
      </c>
    </row>
    <row r="259" spans="1:14" x14ac:dyDescent="0.25">
      <c r="A259" t="s">
        <v>405</v>
      </c>
      <c r="B259" t="s">
        <v>924</v>
      </c>
      <c r="C259" t="s">
        <v>166</v>
      </c>
      <c r="D259" t="s">
        <v>151</v>
      </c>
      <c r="E259" t="s">
        <v>51</v>
      </c>
      <c r="F259" t="s">
        <v>52</v>
      </c>
      <c r="G259">
        <v>43</v>
      </c>
      <c r="H259">
        <v>37.32</v>
      </c>
      <c r="I259">
        <v>1604.76</v>
      </c>
      <c r="J259">
        <v>61.01</v>
      </c>
      <c r="K259">
        <v>576.25</v>
      </c>
      <c r="L259" t="s">
        <v>19</v>
      </c>
      <c r="M259" t="s">
        <v>27</v>
      </c>
      <c r="N259" t="s">
        <v>28</v>
      </c>
    </row>
    <row r="260" spans="1:14" x14ac:dyDescent="0.25">
      <c r="A260" t="s">
        <v>406</v>
      </c>
      <c r="B260" t="s">
        <v>923</v>
      </c>
      <c r="C260" t="s">
        <v>293</v>
      </c>
      <c r="D260" t="s">
        <v>86</v>
      </c>
      <c r="E260" t="s">
        <v>25</v>
      </c>
      <c r="F260" t="s">
        <v>18</v>
      </c>
      <c r="G260">
        <v>27</v>
      </c>
      <c r="H260">
        <v>23.05</v>
      </c>
      <c r="I260">
        <v>622.35</v>
      </c>
      <c r="J260">
        <v>20.440000000000001</v>
      </c>
      <c r="K260">
        <v>115.91</v>
      </c>
      <c r="L260" t="s">
        <v>38</v>
      </c>
      <c r="M260" t="s">
        <v>27</v>
      </c>
      <c r="N260" t="s">
        <v>87</v>
      </c>
    </row>
    <row r="261" spans="1:14" x14ac:dyDescent="0.25">
      <c r="A261" t="s">
        <v>407</v>
      </c>
      <c r="B261" t="s">
        <v>818</v>
      </c>
      <c r="C261" t="s">
        <v>408</v>
      </c>
      <c r="D261" t="s">
        <v>77</v>
      </c>
      <c r="E261" t="s">
        <v>63</v>
      </c>
      <c r="F261" t="s">
        <v>37</v>
      </c>
      <c r="G261">
        <v>38</v>
      </c>
      <c r="H261">
        <v>19.02</v>
      </c>
      <c r="I261">
        <v>722.76</v>
      </c>
      <c r="J261">
        <v>14.63</v>
      </c>
      <c r="K261">
        <v>223.63</v>
      </c>
      <c r="L261" t="s">
        <v>26</v>
      </c>
      <c r="M261" t="s">
        <v>27</v>
      </c>
      <c r="N261" t="s">
        <v>58</v>
      </c>
    </row>
    <row r="262" spans="1:14" x14ac:dyDescent="0.25">
      <c r="A262" t="s">
        <v>409</v>
      </c>
      <c r="B262" t="s">
        <v>922</v>
      </c>
      <c r="C262" t="s">
        <v>410</v>
      </c>
      <c r="D262" t="s">
        <v>42</v>
      </c>
      <c r="E262" t="s">
        <v>43</v>
      </c>
      <c r="F262" t="s">
        <v>44</v>
      </c>
      <c r="G262">
        <v>10</v>
      </c>
      <c r="H262">
        <v>70.94</v>
      </c>
      <c r="I262">
        <v>709.4</v>
      </c>
      <c r="J262">
        <v>18.64</v>
      </c>
      <c r="K262">
        <v>290.76</v>
      </c>
      <c r="L262" t="s">
        <v>26</v>
      </c>
      <c r="M262" t="s">
        <v>32</v>
      </c>
      <c r="N262" t="s">
        <v>21</v>
      </c>
    </row>
    <row r="263" spans="1:14" x14ac:dyDescent="0.25">
      <c r="A263" t="s">
        <v>411</v>
      </c>
      <c r="B263" t="s">
        <v>921</v>
      </c>
      <c r="C263" t="s">
        <v>278</v>
      </c>
      <c r="D263" t="s">
        <v>69</v>
      </c>
      <c r="E263" t="s">
        <v>56</v>
      </c>
      <c r="F263" t="s">
        <v>57</v>
      </c>
      <c r="G263">
        <v>17</v>
      </c>
      <c r="H263">
        <v>38.28</v>
      </c>
      <c r="I263">
        <v>650.76</v>
      </c>
      <c r="J263">
        <v>38.43</v>
      </c>
      <c r="K263">
        <v>187.33</v>
      </c>
      <c r="L263" t="s">
        <v>26</v>
      </c>
      <c r="M263" t="s">
        <v>32</v>
      </c>
      <c r="N263" t="s">
        <v>58</v>
      </c>
    </row>
    <row r="264" spans="1:14" x14ac:dyDescent="0.25">
      <c r="A264" t="s">
        <v>412</v>
      </c>
      <c r="B264" t="s">
        <v>920</v>
      </c>
      <c r="C264" t="s">
        <v>364</v>
      </c>
      <c r="D264" t="s">
        <v>16</v>
      </c>
      <c r="E264" t="s">
        <v>36</v>
      </c>
      <c r="F264" t="s">
        <v>37</v>
      </c>
      <c r="G264">
        <v>10</v>
      </c>
      <c r="H264">
        <v>38.799999999999997</v>
      </c>
      <c r="I264">
        <v>388</v>
      </c>
      <c r="J264">
        <v>16.39</v>
      </c>
      <c r="K264">
        <v>51.61</v>
      </c>
      <c r="L264" t="s">
        <v>38</v>
      </c>
      <c r="M264" t="s">
        <v>27</v>
      </c>
      <c r="N264" t="s">
        <v>21</v>
      </c>
    </row>
    <row r="265" spans="1:14" x14ac:dyDescent="0.25">
      <c r="A265" t="s">
        <v>413</v>
      </c>
      <c r="B265" t="s">
        <v>919</v>
      </c>
      <c r="C265" t="s">
        <v>166</v>
      </c>
      <c r="D265" t="s">
        <v>55</v>
      </c>
      <c r="E265" t="s">
        <v>56</v>
      </c>
      <c r="F265" t="s">
        <v>57</v>
      </c>
      <c r="G265">
        <v>3</v>
      </c>
      <c r="H265">
        <v>33.840000000000003</v>
      </c>
      <c r="I265">
        <v>101.52</v>
      </c>
      <c r="J265">
        <v>2.3199999999999998</v>
      </c>
      <c r="K265">
        <v>24.2</v>
      </c>
      <c r="L265" t="s">
        <v>38</v>
      </c>
      <c r="M265" t="s">
        <v>32</v>
      </c>
      <c r="N265" t="s">
        <v>58</v>
      </c>
    </row>
    <row r="266" spans="1:14" x14ac:dyDescent="0.25">
      <c r="A266" t="s">
        <v>414</v>
      </c>
      <c r="B266" t="s">
        <v>918</v>
      </c>
      <c r="C266" t="s">
        <v>199</v>
      </c>
      <c r="D266" t="s">
        <v>151</v>
      </c>
      <c r="E266" t="s">
        <v>60</v>
      </c>
      <c r="F266" t="s">
        <v>52</v>
      </c>
      <c r="G266">
        <v>20</v>
      </c>
      <c r="H266">
        <v>21.12</v>
      </c>
      <c r="I266">
        <v>422.4</v>
      </c>
      <c r="J266">
        <v>22.08</v>
      </c>
      <c r="K266">
        <v>90.32</v>
      </c>
      <c r="L266" t="s">
        <v>26</v>
      </c>
      <c r="M266" t="s">
        <v>32</v>
      </c>
      <c r="N266" t="s">
        <v>28</v>
      </c>
    </row>
    <row r="267" spans="1:14" x14ac:dyDescent="0.25">
      <c r="A267" t="s">
        <v>415</v>
      </c>
      <c r="B267" t="s">
        <v>917</v>
      </c>
      <c r="C267" t="s">
        <v>276</v>
      </c>
      <c r="D267" t="s">
        <v>86</v>
      </c>
      <c r="E267" t="s">
        <v>17</v>
      </c>
      <c r="F267" t="s">
        <v>18</v>
      </c>
      <c r="G267">
        <v>1</v>
      </c>
      <c r="H267">
        <v>58.15</v>
      </c>
      <c r="I267">
        <v>58.15</v>
      </c>
      <c r="J267">
        <v>4.2</v>
      </c>
      <c r="K267">
        <v>18.95</v>
      </c>
      <c r="L267" t="s">
        <v>26</v>
      </c>
      <c r="M267" t="s">
        <v>27</v>
      </c>
      <c r="N267" t="s">
        <v>87</v>
      </c>
    </row>
    <row r="268" spans="1:14" x14ac:dyDescent="0.25">
      <c r="A268" t="s">
        <v>416</v>
      </c>
      <c r="B268" t="s">
        <v>882</v>
      </c>
      <c r="C268" t="s">
        <v>97</v>
      </c>
      <c r="D268" t="s">
        <v>35</v>
      </c>
      <c r="E268" t="s">
        <v>36</v>
      </c>
      <c r="F268" t="s">
        <v>37</v>
      </c>
      <c r="G268">
        <v>32</v>
      </c>
      <c r="H268">
        <v>45.96</v>
      </c>
      <c r="I268">
        <v>1470.72</v>
      </c>
      <c r="J268">
        <v>82.77</v>
      </c>
      <c r="K268">
        <v>363.95</v>
      </c>
      <c r="L268" t="s">
        <v>19</v>
      </c>
      <c r="M268" t="s">
        <v>27</v>
      </c>
      <c r="N268" t="s">
        <v>39</v>
      </c>
    </row>
    <row r="269" spans="1:14" x14ac:dyDescent="0.25">
      <c r="A269" t="s">
        <v>417</v>
      </c>
      <c r="B269" t="s">
        <v>916</v>
      </c>
      <c r="C269" t="s">
        <v>297</v>
      </c>
      <c r="D269" t="s">
        <v>31</v>
      </c>
      <c r="E269" t="s">
        <v>63</v>
      </c>
      <c r="F269" t="s">
        <v>37</v>
      </c>
      <c r="G269">
        <v>37</v>
      </c>
      <c r="H269">
        <v>16.82</v>
      </c>
      <c r="I269">
        <v>622.34</v>
      </c>
      <c r="J269">
        <v>32.9</v>
      </c>
      <c r="K269">
        <v>117.69</v>
      </c>
      <c r="L269" t="s">
        <v>38</v>
      </c>
      <c r="M269" t="s">
        <v>27</v>
      </c>
      <c r="N269" t="s">
        <v>28</v>
      </c>
    </row>
    <row r="270" spans="1:14" x14ac:dyDescent="0.25">
      <c r="A270" t="s">
        <v>418</v>
      </c>
      <c r="B270" t="s">
        <v>915</v>
      </c>
      <c r="C270" t="s">
        <v>50</v>
      </c>
      <c r="D270" t="s">
        <v>31</v>
      </c>
      <c r="E270" t="s">
        <v>36</v>
      </c>
      <c r="F270" t="s">
        <v>37</v>
      </c>
      <c r="G270">
        <v>18</v>
      </c>
      <c r="H270">
        <v>54.62</v>
      </c>
      <c r="I270">
        <v>983.16</v>
      </c>
      <c r="J270">
        <v>22.61</v>
      </c>
      <c r="K270">
        <v>384.55</v>
      </c>
      <c r="L270" t="s">
        <v>38</v>
      </c>
      <c r="M270" t="s">
        <v>27</v>
      </c>
      <c r="N270" t="s">
        <v>28</v>
      </c>
    </row>
    <row r="271" spans="1:14" x14ac:dyDescent="0.25">
      <c r="A271" t="s">
        <v>419</v>
      </c>
      <c r="B271" t="s">
        <v>914</v>
      </c>
      <c r="C271" t="s">
        <v>105</v>
      </c>
      <c r="D271" t="s">
        <v>31</v>
      </c>
      <c r="E271" t="s">
        <v>63</v>
      </c>
      <c r="F271" t="s">
        <v>37</v>
      </c>
      <c r="G271">
        <v>30</v>
      </c>
      <c r="H271">
        <v>22.83</v>
      </c>
      <c r="I271">
        <v>684.9</v>
      </c>
      <c r="J271">
        <v>32.31</v>
      </c>
      <c r="K271">
        <v>270.08999999999997</v>
      </c>
      <c r="L271" t="s">
        <v>19</v>
      </c>
      <c r="M271" t="s">
        <v>27</v>
      </c>
      <c r="N271" t="s">
        <v>28</v>
      </c>
    </row>
    <row r="272" spans="1:14" x14ac:dyDescent="0.25">
      <c r="A272" t="s">
        <v>420</v>
      </c>
      <c r="B272" t="s">
        <v>913</v>
      </c>
      <c r="C272" t="s">
        <v>421</v>
      </c>
      <c r="D272" t="s">
        <v>106</v>
      </c>
      <c r="E272" t="s">
        <v>36</v>
      </c>
      <c r="F272" t="s">
        <v>37</v>
      </c>
      <c r="G272">
        <v>39</v>
      </c>
      <c r="H272">
        <v>47.02</v>
      </c>
      <c r="I272">
        <v>1833.78</v>
      </c>
      <c r="J272">
        <v>50.01</v>
      </c>
      <c r="K272">
        <v>535.77</v>
      </c>
      <c r="L272" t="s">
        <v>38</v>
      </c>
      <c r="M272" t="s">
        <v>27</v>
      </c>
      <c r="N272" t="s">
        <v>28</v>
      </c>
    </row>
    <row r="273" spans="1:14" x14ac:dyDescent="0.25">
      <c r="A273" t="s">
        <v>422</v>
      </c>
      <c r="B273" t="s">
        <v>912</v>
      </c>
      <c r="C273" t="s">
        <v>89</v>
      </c>
      <c r="D273" t="s">
        <v>16</v>
      </c>
      <c r="E273" t="s">
        <v>83</v>
      </c>
      <c r="F273" t="s">
        <v>52</v>
      </c>
      <c r="G273">
        <v>22</v>
      </c>
      <c r="H273">
        <v>43.32</v>
      </c>
      <c r="I273">
        <v>953.04</v>
      </c>
      <c r="J273">
        <v>71.3</v>
      </c>
      <c r="K273">
        <v>265.74</v>
      </c>
      <c r="L273" t="s">
        <v>26</v>
      </c>
      <c r="M273" t="s">
        <v>32</v>
      </c>
      <c r="N273" t="s">
        <v>21</v>
      </c>
    </row>
    <row r="274" spans="1:14" x14ac:dyDescent="0.25">
      <c r="A274" t="s">
        <v>423</v>
      </c>
      <c r="B274" t="s">
        <v>911</v>
      </c>
      <c r="C274" t="s">
        <v>300</v>
      </c>
      <c r="D274" t="s">
        <v>77</v>
      </c>
      <c r="E274" t="s">
        <v>51</v>
      </c>
      <c r="F274" t="s">
        <v>52</v>
      </c>
      <c r="G274">
        <v>6</v>
      </c>
      <c r="H274">
        <v>31.69</v>
      </c>
      <c r="I274">
        <v>190.14</v>
      </c>
      <c r="J274">
        <v>12.52</v>
      </c>
      <c r="K274">
        <v>42.62</v>
      </c>
      <c r="L274" t="s">
        <v>38</v>
      </c>
      <c r="M274" t="s">
        <v>27</v>
      </c>
      <c r="N274" t="s">
        <v>58</v>
      </c>
    </row>
    <row r="275" spans="1:14" x14ac:dyDescent="0.25">
      <c r="A275" t="s">
        <v>424</v>
      </c>
      <c r="B275" t="s">
        <v>756</v>
      </c>
      <c r="C275" t="s">
        <v>199</v>
      </c>
      <c r="D275" t="s">
        <v>151</v>
      </c>
      <c r="E275" t="s">
        <v>17</v>
      </c>
      <c r="F275" t="s">
        <v>18</v>
      </c>
      <c r="G275">
        <v>19</v>
      </c>
      <c r="H275">
        <v>53.28</v>
      </c>
      <c r="I275">
        <v>1012.32</v>
      </c>
      <c r="J275">
        <v>27.24</v>
      </c>
      <c r="K275">
        <v>320.08</v>
      </c>
      <c r="L275" t="s">
        <v>38</v>
      </c>
      <c r="M275" t="s">
        <v>27</v>
      </c>
      <c r="N275" t="s">
        <v>28</v>
      </c>
    </row>
    <row r="276" spans="1:14" x14ac:dyDescent="0.25">
      <c r="A276" t="s">
        <v>425</v>
      </c>
      <c r="B276" t="s">
        <v>910</v>
      </c>
      <c r="C276" t="s">
        <v>154</v>
      </c>
      <c r="D276" t="s">
        <v>16</v>
      </c>
      <c r="E276" t="s">
        <v>17</v>
      </c>
      <c r="F276" t="s">
        <v>18</v>
      </c>
      <c r="G276">
        <v>47</v>
      </c>
      <c r="H276">
        <v>47.53</v>
      </c>
      <c r="I276">
        <v>2233.91</v>
      </c>
      <c r="J276">
        <v>128.91</v>
      </c>
      <c r="K276">
        <v>460</v>
      </c>
      <c r="L276" t="s">
        <v>26</v>
      </c>
      <c r="M276" t="s">
        <v>20</v>
      </c>
      <c r="N276" t="s">
        <v>21</v>
      </c>
    </row>
    <row r="277" spans="1:14" x14ac:dyDescent="0.25">
      <c r="A277" t="s">
        <v>426</v>
      </c>
      <c r="B277" t="s">
        <v>754</v>
      </c>
      <c r="C277" t="s">
        <v>286</v>
      </c>
      <c r="D277" t="s">
        <v>69</v>
      </c>
      <c r="E277" t="s">
        <v>48</v>
      </c>
      <c r="F277" t="s">
        <v>37</v>
      </c>
      <c r="G277">
        <v>12</v>
      </c>
      <c r="H277">
        <v>24.02</v>
      </c>
      <c r="I277">
        <v>288.24</v>
      </c>
      <c r="J277">
        <v>9.8000000000000007</v>
      </c>
      <c r="K277">
        <v>38.44</v>
      </c>
      <c r="L277" t="s">
        <v>19</v>
      </c>
      <c r="M277" t="s">
        <v>32</v>
      </c>
      <c r="N277" t="s">
        <v>58</v>
      </c>
    </row>
    <row r="278" spans="1:14" x14ac:dyDescent="0.25">
      <c r="A278" t="s">
        <v>427</v>
      </c>
      <c r="B278" t="s">
        <v>748</v>
      </c>
      <c r="C278" t="s">
        <v>364</v>
      </c>
      <c r="D278" t="s">
        <v>69</v>
      </c>
      <c r="E278" t="s">
        <v>63</v>
      </c>
      <c r="F278" t="s">
        <v>37</v>
      </c>
      <c r="G278">
        <v>32</v>
      </c>
      <c r="H278">
        <v>15.64</v>
      </c>
      <c r="I278">
        <v>500.48</v>
      </c>
      <c r="J278">
        <v>24.69</v>
      </c>
      <c r="K278">
        <v>67.790000000000006</v>
      </c>
      <c r="L278" t="s">
        <v>38</v>
      </c>
      <c r="M278" t="s">
        <v>20</v>
      </c>
      <c r="N278" t="s">
        <v>58</v>
      </c>
    </row>
    <row r="279" spans="1:14" x14ac:dyDescent="0.25">
      <c r="A279" t="s">
        <v>428</v>
      </c>
      <c r="B279" t="s">
        <v>883</v>
      </c>
      <c r="C279" t="s">
        <v>240</v>
      </c>
      <c r="D279" t="s">
        <v>129</v>
      </c>
      <c r="E279" t="s">
        <v>36</v>
      </c>
      <c r="F279" t="s">
        <v>37</v>
      </c>
      <c r="G279">
        <v>22</v>
      </c>
      <c r="H279">
        <v>42.54</v>
      </c>
      <c r="I279">
        <v>935.88</v>
      </c>
      <c r="J279">
        <v>45.37</v>
      </c>
      <c r="K279">
        <v>186.51</v>
      </c>
      <c r="L279" t="s">
        <v>19</v>
      </c>
      <c r="M279" t="s">
        <v>32</v>
      </c>
      <c r="N279" t="s">
        <v>130</v>
      </c>
    </row>
    <row r="280" spans="1:14" x14ac:dyDescent="0.25">
      <c r="A280" t="s">
        <v>429</v>
      </c>
      <c r="B280" t="s">
        <v>895</v>
      </c>
      <c r="C280" t="s">
        <v>315</v>
      </c>
      <c r="D280" t="s">
        <v>177</v>
      </c>
      <c r="E280" t="s">
        <v>56</v>
      </c>
      <c r="F280" t="s">
        <v>57</v>
      </c>
      <c r="G280">
        <v>37</v>
      </c>
      <c r="H280">
        <v>43.55</v>
      </c>
      <c r="I280">
        <v>1611.35</v>
      </c>
      <c r="J280">
        <v>67.78</v>
      </c>
      <c r="K280">
        <v>618.57000000000005</v>
      </c>
      <c r="L280" t="s">
        <v>26</v>
      </c>
      <c r="M280" t="s">
        <v>27</v>
      </c>
      <c r="N280" t="s">
        <v>58</v>
      </c>
    </row>
    <row r="281" spans="1:14" x14ac:dyDescent="0.25">
      <c r="A281" t="s">
        <v>430</v>
      </c>
      <c r="B281" t="s">
        <v>909</v>
      </c>
      <c r="C281" t="s">
        <v>113</v>
      </c>
      <c r="D281" t="s">
        <v>35</v>
      </c>
      <c r="E281" t="s">
        <v>60</v>
      </c>
      <c r="F281" t="s">
        <v>52</v>
      </c>
      <c r="G281">
        <v>42</v>
      </c>
      <c r="H281">
        <v>20.260000000000002</v>
      </c>
      <c r="I281">
        <v>850.92</v>
      </c>
      <c r="J281">
        <v>22.43</v>
      </c>
      <c r="K281">
        <v>177.49</v>
      </c>
      <c r="L281" t="s">
        <v>38</v>
      </c>
      <c r="M281" t="s">
        <v>32</v>
      </c>
      <c r="N281" t="s">
        <v>39</v>
      </c>
    </row>
    <row r="282" spans="1:14" x14ac:dyDescent="0.25">
      <c r="A282" t="s">
        <v>431</v>
      </c>
      <c r="B282" t="s">
        <v>908</v>
      </c>
      <c r="C282" t="s">
        <v>67</v>
      </c>
      <c r="D282" t="s">
        <v>42</v>
      </c>
      <c r="E282" t="s">
        <v>25</v>
      </c>
      <c r="F282" t="s">
        <v>18</v>
      </c>
      <c r="G282">
        <v>43</v>
      </c>
      <c r="H282">
        <v>24.08</v>
      </c>
      <c r="I282">
        <v>1035.44</v>
      </c>
      <c r="J282">
        <v>35.07</v>
      </c>
      <c r="K282">
        <v>226.37</v>
      </c>
      <c r="L282" t="s">
        <v>26</v>
      </c>
      <c r="M282" t="s">
        <v>32</v>
      </c>
      <c r="N282" t="s">
        <v>21</v>
      </c>
    </row>
    <row r="283" spans="1:14" x14ac:dyDescent="0.25">
      <c r="A283" t="s">
        <v>432</v>
      </c>
      <c r="B283" t="s">
        <v>907</v>
      </c>
      <c r="C283" t="s">
        <v>297</v>
      </c>
      <c r="D283" t="s">
        <v>151</v>
      </c>
      <c r="E283" t="s">
        <v>43</v>
      </c>
      <c r="F283" t="s">
        <v>44</v>
      </c>
      <c r="G283">
        <v>14</v>
      </c>
      <c r="H283">
        <v>69.010000000000005</v>
      </c>
      <c r="I283">
        <v>966.14</v>
      </c>
      <c r="J283">
        <v>32.67</v>
      </c>
      <c r="K283">
        <v>373.47</v>
      </c>
      <c r="L283" t="s">
        <v>26</v>
      </c>
      <c r="M283" t="s">
        <v>20</v>
      </c>
      <c r="N283" t="s">
        <v>28</v>
      </c>
    </row>
    <row r="284" spans="1:14" x14ac:dyDescent="0.25">
      <c r="A284" t="s">
        <v>433</v>
      </c>
      <c r="B284" t="s">
        <v>906</v>
      </c>
      <c r="C284" t="s">
        <v>117</v>
      </c>
      <c r="D284" t="s">
        <v>129</v>
      </c>
      <c r="E284" t="s">
        <v>48</v>
      </c>
      <c r="F284" t="s">
        <v>37</v>
      </c>
      <c r="G284">
        <v>29</v>
      </c>
      <c r="H284">
        <v>28.29</v>
      </c>
      <c r="I284">
        <v>820.41</v>
      </c>
      <c r="J284">
        <v>63.15</v>
      </c>
      <c r="K284">
        <v>177.26</v>
      </c>
      <c r="L284" t="s">
        <v>38</v>
      </c>
      <c r="M284" t="s">
        <v>32</v>
      </c>
      <c r="N284" t="s">
        <v>130</v>
      </c>
    </row>
    <row r="285" spans="1:14" x14ac:dyDescent="0.25">
      <c r="A285" t="s">
        <v>434</v>
      </c>
      <c r="B285" t="s">
        <v>757</v>
      </c>
      <c r="C285" t="s">
        <v>221</v>
      </c>
      <c r="D285" t="s">
        <v>47</v>
      </c>
      <c r="E285" t="s">
        <v>60</v>
      </c>
      <c r="F285" t="s">
        <v>52</v>
      </c>
      <c r="G285">
        <v>29</v>
      </c>
      <c r="H285">
        <v>26.51</v>
      </c>
      <c r="I285">
        <v>768.79</v>
      </c>
      <c r="J285">
        <v>15.66</v>
      </c>
      <c r="K285">
        <v>303.63</v>
      </c>
      <c r="L285" t="s">
        <v>26</v>
      </c>
      <c r="M285" t="s">
        <v>20</v>
      </c>
      <c r="N285" t="s">
        <v>21</v>
      </c>
    </row>
    <row r="286" spans="1:14" x14ac:dyDescent="0.25">
      <c r="A286" t="s">
        <v>435</v>
      </c>
      <c r="B286" t="s">
        <v>863</v>
      </c>
      <c r="C286" t="s">
        <v>121</v>
      </c>
      <c r="D286" t="s">
        <v>42</v>
      </c>
      <c r="E286" t="s">
        <v>17</v>
      </c>
      <c r="F286" t="s">
        <v>18</v>
      </c>
      <c r="G286">
        <v>11</v>
      </c>
      <c r="H286">
        <v>58.07</v>
      </c>
      <c r="I286">
        <v>638.77</v>
      </c>
      <c r="J286">
        <v>43.89</v>
      </c>
      <c r="K286">
        <v>209.88</v>
      </c>
      <c r="L286" t="s">
        <v>19</v>
      </c>
      <c r="M286" t="s">
        <v>27</v>
      </c>
      <c r="N286" t="s">
        <v>21</v>
      </c>
    </row>
    <row r="287" spans="1:14" x14ac:dyDescent="0.25">
      <c r="A287" t="s">
        <v>436</v>
      </c>
      <c r="B287" t="s">
        <v>858</v>
      </c>
      <c r="C287" t="s">
        <v>110</v>
      </c>
      <c r="D287" t="s">
        <v>24</v>
      </c>
      <c r="E287" t="s">
        <v>36</v>
      </c>
      <c r="F287" t="s">
        <v>37</v>
      </c>
      <c r="G287">
        <v>3</v>
      </c>
      <c r="H287">
        <v>48.76</v>
      </c>
      <c r="I287">
        <v>146.28</v>
      </c>
      <c r="J287">
        <v>10.45</v>
      </c>
      <c r="K287">
        <v>39.83</v>
      </c>
      <c r="L287" t="s">
        <v>38</v>
      </c>
      <c r="M287" t="s">
        <v>27</v>
      </c>
      <c r="N287" t="s">
        <v>28</v>
      </c>
    </row>
    <row r="288" spans="1:14" x14ac:dyDescent="0.25">
      <c r="A288" t="s">
        <v>437</v>
      </c>
      <c r="B288" t="s">
        <v>905</v>
      </c>
      <c r="C288" t="s">
        <v>161</v>
      </c>
      <c r="D288" t="s">
        <v>177</v>
      </c>
      <c r="E288" t="s">
        <v>48</v>
      </c>
      <c r="F288" t="s">
        <v>37</v>
      </c>
      <c r="G288">
        <v>49</v>
      </c>
      <c r="H288">
        <v>30.46</v>
      </c>
      <c r="I288">
        <v>1492.54</v>
      </c>
      <c r="J288">
        <v>51.82</v>
      </c>
      <c r="K288">
        <v>460.72</v>
      </c>
      <c r="L288" t="s">
        <v>26</v>
      </c>
      <c r="M288" t="s">
        <v>20</v>
      </c>
      <c r="N288" t="s">
        <v>58</v>
      </c>
    </row>
    <row r="289" spans="1:14" x14ac:dyDescent="0.25">
      <c r="A289" t="s">
        <v>438</v>
      </c>
      <c r="B289" t="s">
        <v>847</v>
      </c>
      <c r="C289" t="s">
        <v>30</v>
      </c>
      <c r="D289" t="s">
        <v>55</v>
      </c>
      <c r="E289" t="s">
        <v>83</v>
      </c>
      <c r="F289" t="s">
        <v>52</v>
      </c>
      <c r="G289">
        <v>25</v>
      </c>
      <c r="H289">
        <v>35.21</v>
      </c>
      <c r="I289">
        <v>880.25</v>
      </c>
      <c r="J289">
        <v>39.799999999999997</v>
      </c>
      <c r="K289">
        <v>140.44999999999999</v>
      </c>
      <c r="L289" t="s">
        <v>38</v>
      </c>
      <c r="M289" t="s">
        <v>27</v>
      </c>
      <c r="N289" t="s">
        <v>58</v>
      </c>
    </row>
    <row r="290" spans="1:14" x14ac:dyDescent="0.25">
      <c r="A290" t="s">
        <v>439</v>
      </c>
      <c r="B290" t="s">
        <v>904</v>
      </c>
      <c r="C290" t="s">
        <v>221</v>
      </c>
      <c r="D290" t="s">
        <v>16</v>
      </c>
      <c r="E290" t="s">
        <v>83</v>
      </c>
      <c r="F290" t="s">
        <v>52</v>
      </c>
      <c r="G290">
        <v>37</v>
      </c>
      <c r="H290">
        <v>44.82</v>
      </c>
      <c r="I290">
        <v>1658.34</v>
      </c>
      <c r="J290">
        <v>65.75</v>
      </c>
      <c r="K290">
        <v>556.59</v>
      </c>
      <c r="L290" t="s">
        <v>26</v>
      </c>
      <c r="M290" t="s">
        <v>27</v>
      </c>
      <c r="N290" t="s">
        <v>21</v>
      </c>
    </row>
    <row r="291" spans="1:14" x14ac:dyDescent="0.25">
      <c r="A291" t="s">
        <v>440</v>
      </c>
      <c r="B291" t="s">
        <v>778</v>
      </c>
      <c r="C291" t="s">
        <v>306</v>
      </c>
      <c r="D291" t="s">
        <v>151</v>
      </c>
      <c r="E291" t="s">
        <v>60</v>
      </c>
      <c r="F291" t="s">
        <v>52</v>
      </c>
      <c r="G291">
        <v>11</v>
      </c>
      <c r="H291">
        <v>18.75</v>
      </c>
      <c r="I291">
        <v>206.25</v>
      </c>
      <c r="J291">
        <v>11.67</v>
      </c>
      <c r="K291">
        <v>24.08</v>
      </c>
      <c r="L291" t="s">
        <v>19</v>
      </c>
      <c r="M291" t="s">
        <v>20</v>
      </c>
      <c r="N291" t="s">
        <v>28</v>
      </c>
    </row>
    <row r="292" spans="1:14" x14ac:dyDescent="0.25">
      <c r="A292" t="s">
        <v>441</v>
      </c>
      <c r="B292" t="s">
        <v>815</v>
      </c>
      <c r="C292" t="s">
        <v>221</v>
      </c>
      <c r="D292" t="s">
        <v>35</v>
      </c>
      <c r="E292" t="s">
        <v>48</v>
      </c>
      <c r="F292" t="s">
        <v>37</v>
      </c>
      <c r="G292">
        <v>37</v>
      </c>
      <c r="H292">
        <v>31.66</v>
      </c>
      <c r="I292">
        <v>1171.42</v>
      </c>
      <c r="J292">
        <v>58.95</v>
      </c>
      <c r="K292">
        <v>372.47</v>
      </c>
      <c r="L292" t="s">
        <v>38</v>
      </c>
      <c r="M292" t="s">
        <v>20</v>
      </c>
      <c r="N292" t="s">
        <v>39</v>
      </c>
    </row>
    <row r="293" spans="1:14" x14ac:dyDescent="0.25">
      <c r="A293" t="s">
        <v>442</v>
      </c>
      <c r="B293" t="s">
        <v>810</v>
      </c>
      <c r="C293" t="s">
        <v>300</v>
      </c>
      <c r="D293" t="s">
        <v>24</v>
      </c>
      <c r="E293" t="s">
        <v>48</v>
      </c>
      <c r="F293" t="s">
        <v>37</v>
      </c>
      <c r="G293">
        <v>17</v>
      </c>
      <c r="H293">
        <v>32.74</v>
      </c>
      <c r="I293">
        <v>556.58000000000004</v>
      </c>
      <c r="J293">
        <v>14.68</v>
      </c>
      <c r="K293">
        <v>201.9</v>
      </c>
      <c r="L293" t="s">
        <v>26</v>
      </c>
      <c r="M293" t="s">
        <v>27</v>
      </c>
      <c r="N293" t="s">
        <v>28</v>
      </c>
    </row>
    <row r="294" spans="1:14" x14ac:dyDescent="0.25">
      <c r="A294" t="s">
        <v>443</v>
      </c>
      <c r="B294" t="s">
        <v>903</v>
      </c>
      <c r="C294" t="s">
        <v>67</v>
      </c>
      <c r="D294" t="s">
        <v>16</v>
      </c>
      <c r="E294" t="s">
        <v>83</v>
      </c>
      <c r="F294" t="s">
        <v>52</v>
      </c>
      <c r="G294">
        <v>7</v>
      </c>
      <c r="H294">
        <v>46.64</v>
      </c>
      <c r="I294">
        <v>326.48</v>
      </c>
      <c r="J294">
        <v>25.19</v>
      </c>
      <c r="K294">
        <v>105.29</v>
      </c>
      <c r="L294" t="s">
        <v>26</v>
      </c>
      <c r="M294" t="s">
        <v>32</v>
      </c>
      <c r="N294" t="s">
        <v>21</v>
      </c>
    </row>
    <row r="295" spans="1:14" x14ac:dyDescent="0.25">
      <c r="A295" t="s">
        <v>444</v>
      </c>
      <c r="B295" t="s">
        <v>785</v>
      </c>
      <c r="C295" t="s">
        <v>135</v>
      </c>
      <c r="D295" t="s">
        <v>74</v>
      </c>
      <c r="E295" t="s">
        <v>25</v>
      </c>
      <c r="F295" t="s">
        <v>18</v>
      </c>
      <c r="G295">
        <v>16</v>
      </c>
      <c r="H295">
        <v>24.77</v>
      </c>
      <c r="I295">
        <v>396.32</v>
      </c>
      <c r="J295">
        <v>15.6</v>
      </c>
      <c r="K295">
        <v>92.72</v>
      </c>
      <c r="L295" t="s">
        <v>19</v>
      </c>
      <c r="M295" t="s">
        <v>32</v>
      </c>
      <c r="N295" t="s">
        <v>58</v>
      </c>
    </row>
    <row r="296" spans="1:14" x14ac:dyDescent="0.25">
      <c r="A296" t="s">
        <v>445</v>
      </c>
      <c r="B296" t="s">
        <v>760</v>
      </c>
      <c r="C296" t="s">
        <v>62</v>
      </c>
      <c r="D296" t="s">
        <v>47</v>
      </c>
      <c r="E296" t="s">
        <v>43</v>
      </c>
      <c r="F296" t="s">
        <v>44</v>
      </c>
      <c r="G296">
        <v>39</v>
      </c>
      <c r="H296">
        <v>56.5</v>
      </c>
      <c r="I296">
        <v>2203.5</v>
      </c>
      <c r="J296">
        <v>141.58000000000001</v>
      </c>
      <c r="K296">
        <v>501.92</v>
      </c>
      <c r="L296" t="s">
        <v>38</v>
      </c>
      <c r="M296" t="s">
        <v>20</v>
      </c>
      <c r="N296" t="s">
        <v>21</v>
      </c>
    </row>
    <row r="297" spans="1:14" x14ac:dyDescent="0.25">
      <c r="A297" t="s">
        <v>446</v>
      </c>
      <c r="B297" t="s">
        <v>751</v>
      </c>
      <c r="C297" t="s">
        <v>364</v>
      </c>
      <c r="D297" t="s">
        <v>177</v>
      </c>
      <c r="E297" t="s">
        <v>60</v>
      </c>
      <c r="F297" t="s">
        <v>52</v>
      </c>
      <c r="G297">
        <v>1</v>
      </c>
      <c r="H297">
        <v>24.01</v>
      </c>
      <c r="I297">
        <v>24.01</v>
      </c>
      <c r="J297">
        <v>1.58</v>
      </c>
      <c r="K297">
        <v>6.93</v>
      </c>
      <c r="L297" t="s">
        <v>19</v>
      </c>
      <c r="M297" t="s">
        <v>20</v>
      </c>
      <c r="N297" t="s">
        <v>58</v>
      </c>
    </row>
    <row r="298" spans="1:14" x14ac:dyDescent="0.25">
      <c r="A298" t="s">
        <v>447</v>
      </c>
      <c r="B298" t="s">
        <v>763</v>
      </c>
      <c r="C298" t="s">
        <v>100</v>
      </c>
      <c r="D298" t="s">
        <v>177</v>
      </c>
      <c r="E298" t="s">
        <v>56</v>
      </c>
      <c r="F298" t="s">
        <v>57</v>
      </c>
      <c r="G298">
        <v>45</v>
      </c>
      <c r="H298">
        <v>35.99</v>
      </c>
      <c r="I298">
        <v>1619.55</v>
      </c>
      <c r="J298">
        <v>49.95</v>
      </c>
      <c r="K298">
        <v>444.6</v>
      </c>
      <c r="L298" t="s">
        <v>19</v>
      </c>
      <c r="M298" t="s">
        <v>27</v>
      </c>
      <c r="N298" t="s">
        <v>58</v>
      </c>
    </row>
    <row r="299" spans="1:14" x14ac:dyDescent="0.25">
      <c r="A299" t="s">
        <v>448</v>
      </c>
      <c r="B299" t="s">
        <v>770</v>
      </c>
      <c r="C299" t="s">
        <v>166</v>
      </c>
      <c r="D299" t="s">
        <v>69</v>
      </c>
      <c r="E299" t="s">
        <v>48</v>
      </c>
      <c r="F299" t="s">
        <v>37</v>
      </c>
      <c r="G299">
        <v>5</v>
      </c>
      <c r="H299">
        <v>25.45</v>
      </c>
      <c r="I299">
        <v>127.25</v>
      </c>
      <c r="J299">
        <v>7.22</v>
      </c>
      <c r="K299">
        <v>20.03</v>
      </c>
      <c r="L299" t="s">
        <v>38</v>
      </c>
      <c r="M299" t="s">
        <v>32</v>
      </c>
      <c r="N299" t="s">
        <v>58</v>
      </c>
    </row>
    <row r="300" spans="1:14" x14ac:dyDescent="0.25">
      <c r="A300" t="s">
        <v>449</v>
      </c>
      <c r="B300" t="s">
        <v>902</v>
      </c>
      <c r="C300" t="s">
        <v>100</v>
      </c>
      <c r="D300" t="s">
        <v>77</v>
      </c>
      <c r="E300" t="s">
        <v>60</v>
      </c>
      <c r="F300" t="s">
        <v>52</v>
      </c>
      <c r="G300">
        <v>24</v>
      </c>
      <c r="H300">
        <v>19.53</v>
      </c>
      <c r="I300">
        <v>468.72</v>
      </c>
      <c r="J300">
        <v>14.12</v>
      </c>
      <c r="K300">
        <v>82.6</v>
      </c>
      <c r="L300" t="s">
        <v>19</v>
      </c>
      <c r="M300" t="s">
        <v>20</v>
      </c>
      <c r="N300" t="s">
        <v>58</v>
      </c>
    </row>
    <row r="301" spans="1:14" x14ac:dyDescent="0.25">
      <c r="A301" t="s">
        <v>450</v>
      </c>
      <c r="B301" t="s">
        <v>901</v>
      </c>
      <c r="C301" t="s">
        <v>23</v>
      </c>
      <c r="D301" t="s">
        <v>42</v>
      </c>
      <c r="E301" t="s">
        <v>63</v>
      </c>
      <c r="F301" t="s">
        <v>37</v>
      </c>
      <c r="G301">
        <v>28</v>
      </c>
      <c r="H301">
        <v>22.33</v>
      </c>
      <c r="I301">
        <v>625.24</v>
      </c>
      <c r="J301">
        <v>44.24</v>
      </c>
      <c r="K301">
        <v>224</v>
      </c>
      <c r="L301" t="s">
        <v>19</v>
      </c>
      <c r="M301" t="s">
        <v>20</v>
      </c>
      <c r="N301" t="s">
        <v>21</v>
      </c>
    </row>
    <row r="302" spans="1:14" x14ac:dyDescent="0.25">
      <c r="A302" t="s">
        <v>451</v>
      </c>
      <c r="B302" t="s">
        <v>900</v>
      </c>
      <c r="C302" t="s">
        <v>91</v>
      </c>
      <c r="D302" t="s">
        <v>31</v>
      </c>
      <c r="E302" t="s">
        <v>36</v>
      </c>
      <c r="F302" t="s">
        <v>37</v>
      </c>
      <c r="G302">
        <v>49</v>
      </c>
      <c r="H302">
        <v>39.31</v>
      </c>
      <c r="I302">
        <v>1926.19</v>
      </c>
      <c r="J302">
        <v>69.7</v>
      </c>
      <c r="K302">
        <v>288.49</v>
      </c>
      <c r="L302" t="s">
        <v>26</v>
      </c>
      <c r="M302" t="s">
        <v>20</v>
      </c>
      <c r="N302" t="s">
        <v>28</v>
      </c>
    </row>
    <row r="303" spans="1:14" x14ac:dyDescent="0.25">
      <c r="A303" t="s">
        <v>452</v>
      </c>
      <c r="B303" t="s">
        <v>899</v>
      </c>
      <c r="C303" t="s">
        <v>183</v>
      </c>
      <c r="D303" t="s">
        <v>177</v>
      </c>
      <c r="E303" t="s">
        <v>60</v>
      </c>
      <c r="F303" t="s">
        <v>52</v>
      </c>
      <c r="G303">
        <v>6</v>
      </c>
      <c r="H303">
        <v>22.95</v>
      </c>
      <c r="I303">
        <v>137.69999999999999</v>
      </c>
      <c r="J303">
        <v>5.63</v>
      </c>
      <c r="K303">
        <v>39.07</v>
      </c>
      <c r="L303" t="s">
        <v>26</v>
      </c>
      <c r="M303" t="s">
        <v>27</v>
      </c>
      <c r="N303" t="s">
        <v>58</v>
      </c>
    </row>
    <row r="304" spans="1:14" x14ac:dyDescent="0.25">
      <c r="A304" t="s">
        <v>453</v>
      </c>
      <c r="B304" t="s">
        <v>801</v>
      </c>
      <c r="C304" t="s">
        <v>154</v>
      </c>
      <c r="D304" t="s">
        <v>47</v>
      </c>
      <c r="E304" t="s">
        <v>48</v>
      </c>
      <c r="F304" t="s">
        <v>37</v>
      </c>
      <c r="G304">
        <v>35</v>
      </c>
      <c r="H304">
        <v>27.72</v>
      </c>
      <c r="I304">
        <v>970.2</v>
      </c>
      <c r="J304">
        <v>61.74</v>
      </c>
      <c r="K304">
        <v>208.46</v>
      </c>
      <c r="L304" t="s">
        <v>19</v>
      </c>
      <c r="M304" t="s">
        <v>32</v>
      </c>
      <c r="N304" t="s">
        <v>21</v>
      </c>
    </row>
    <row r="305" spans="1:14" x14ac:dyDescent="0.25">
      <c r="A305" t="s">
        <v>454</v>
      </c>
      <c r="B305" t="s">
        <v>861</v>
      </c>
      <c r="C305" t="s">
        <v>145</v>
      </c>
      <c r="D305" t="s">
        <v>55</v>
      </c>
      <c r="E305" t="s">
        <v>43</v>
      </c>
      <c r="F305" t="s">
        <v>44</v>
      </c>
      <c r="G305">
        <v>34</v>
      </c>
      <c r="H305">
        <v>64.75</v>
      </c>
      <c r="I305">
        <v>2201.5</v>
      </c>
      <c r="J305">
        <v>68.05</v>
      </c>
      <c r="K305">
        <v>773.45</v>
      </c>
      <c r="L305" t="s">
        <v>38</v>
      </c>
      <c r="M305" t="s">
        <v>32</v>
      </c>
      <c r="N305" t="s">
        <v>58</v>
      </c>
    </row>
    <row r="306" spans="1:14" x14ac:dyDescent="0.25">
      <c r="A306" t="s">
        <v>455</v>
      </c>
      <c r="B306" t="s">
        <v>898</v>
      </c>
      <c r="C306" t="s">
        <v>119</v>
      </c>
      <c r="D306" t="s">
        <v>129</v>
      </c>
      <c r="E306" t="s">
        <v>48</v>
      </c>
      <c r="F306" t="s">
        <v>37</v>
      </c>
      <c r="G306">
        <v>49</v>
      </c>
      <c r="H306">
        <v>26.02</v>
      </c>
      <c r="I306">
        <v>1274.98</v>
      </c>
      <c r="J306">
        <v>61.84</v>
      </c>
      <c r="K306">
        <v>233.14</v>
      </c>
      <c r="L306" t="s">
        <v>38</v>
      </c>
      <c r="M306" t="s">
        <v>27</v>
      </c>
      <c r="N306" t="s">
        <v>130</v>
      </c>
    </row>
    <row r="307" spans="1:14" x14ac:dyDescent="0.25">
      <c r="A307" t="s">
        <v>456</v>
      </c>
      <c r="B307" t="s">
        <v>897</v>
      </c>
      <c r="C307" t="s">
        <v>246</v>
      </c>
      <c r="D307" t="s">
        <v>35</v>
      </c>
      <c r="E307" t="s">
        <v>56</v>
      </c>
      <c r="F307" t="s">
        <v>57</v>
      </c>
      <c r="G307">
        <v>1</v>
      </c>
      <c r="H307">
        <v>32.979999999999997</v>
      </c>
      <c r="I307">
        <v>32.979999999999997</v>
      </c>
      <c r="J307">
        <v>1.89</v>
      </c>
      <c r="K307">
        <v>6.09</v>
      </c>
      <c r="L307" t="s">
        <v>38</v>
      </c>
      <c r="M307" t="s">
        <v>27</v>
      </c>
      <c r="N307" t="s">
        <v>39</v>
      </c>
    </row>
    <row r="308" spans="1:14" x14ac:dyDescent="0.25">
      <c r="A308" t="s">
        <v>457</v>
      </c>
      <c r="B308" t="s">
        <v>896</v>
      </c>
      <c r="C308" t="s">
        <v>315</v>
      </c>
      <c r="D308" t="s">
        <v>35</v>
      </c>
      <c r="E308" t="s">
        <v>63</v>
      </c>
      <c r="F308" t="s">
        <v>37</v>
      </c>
      <c r="G308">
        <v>18</v>
      </c>
      <c r="H308">
        <v>20.09</v>
      </c>
      <c r="I308">
        <v>361.62</v>
      </c>
      <c r="J308">
        <v>8.3800000000000008</v>
      </c>
      <c r="K308">
        <v>123.74</v>
      </c>
      <c r="L308" t="s">
        <v>19</v>
      </c>
      <c r="M308" t="s">
        <v>20</v>
      </c>
      <c r="N308" t="s">
        <v>39</v>
      </c>
    </row>
    <row r="309" spans="1:14" x14ac:dyDescent="0.25">
      <c r="A309" t="s">
        <v>458</v>
      </c>
      <c r="B309" t="s">
        <v>895</v>
      </c>
      <c r="C309" t="s">
        <v>166</v>
      </c>
      <c r="D309" t="s">
        <v>177</v>
      </c>
      <c r="E309" t="s">
        <v>17</v>
      </c>
      <c r="F309" t="s">
        <v>18</v>
      </c>
      <c r="G309">
        <v>39</v>
      </c>
      <c r="H309">
        <v>49.59</v>
      </c>
      <c r="I309">
        <v>1934.01</v>
      </c>
      <c r="J309">
        <v>62.79</v>
      </c>
      <c r="K309">
        <v>506.22</v>
      </c>
      <c r="L309" t="s">
        <v>26</v>
      </c>
      <c r="M309" t="s">
        <v>27</v>
      </c>
      <c r="N309" t="s">
        <v>58</v>
      </c>
    </row>
    <row r="310" spans="1:14" x14ac:dyDescent="0.25">
      <c r="A310" t="s">
        <v>459</v>
      </c>
      <c r="B310" t="s">
        <v>764</v>
      </c>
      <c r="C310" t="s">
        <v>291</v>
      </c>
      <c r="D310" t="s">
        <v>42</v>
      </c>
      <c r="E310" t="s">
        <v>36</v>
      </c>
      <c r="F310" t="s">
        <v>37</v>
      </c>
      <c r="G310">
        <v>6</v>
      </c>
      <c r="H310">
        <v>41.99</v>
      </c>
      <c r="I310">
        <v>251.94</v>
      </c>
      <c r="J310">
        <v>10.76</v>
      </c>
      <c r="K310">
        <v>49.18</v>
      </c>
      <c r="L310" t="s">
        <v>19</v>
      </c>
      <c r="M310" t="s">
        <v>20</v>
      </c>
      <c r="N310" t="s">
        <v>21</v>
      </c>
    </row>
    <row r="311" spans="1:14" x14ac:dyDescent="0.25">
      <c r="A311" t="s">
        <v>460</v>
      </c>
      <c r="B311" t="s">
        <v>758</v>
      </c>
      <c r="C311" t="s">
        <v>67</v>
      </c>
      <c r="D311" t="s">
        <v>69</v>
      </c>
      <c r="E311" t="s">
        <v>17</v>
      </c>
      <c r="F311" t="s">
        <v>18</v>
      </c>
      <c r="G311">
        <v>12</v>
      </c>
      <c r="H311">
        <v>47.4</v>
      </c>
      <c r="I311">
        <v>568.79999999999995</v>
      </c>
      <c r="J311">
        <v>23.31</v>
      </c>
      <c r="K311">
        <v>125.49</v>
      </c>
      <c r="L311" t="s">
        <v>38</v>
      </c>
      <c r="M311" t="s">
        <v>20</v>
      </c>
      <c r="N311" t="s">
        <v>58</v>
      </c>
    </row>
    <row r="312" spans="1:14" x14ac:dyDescent="0.25">
      <c r="A312" t="s">
        <v>461</v>
      </c>
      <c r="B312" t="s">
        <v>808</v>
      </c>
      <c r="C312" t="s">
        <v>249</v>
      </c>
      <c r="D312" t="s">
        <v>74</v>
      </c>
      <c r="E312" t="s">
        <v>48</v>
      </c>
      <c r="F312" t="s">
        <v>37</v>
      </c>
      <c r="G312">
        <v>50</v>
      </c>
      <c r="H312">
        <v>34.28</v>
      </c>
      <c r="I312">
        <v>1714</v>
      </c>
      <c r="J312">
        <v>59.84</v>
      </c>
      <c r="K312">
        <v>654.16</v>
      </c>
      <c r="L312" t="s">
        <v>19</v>
      </c>
      <c r="M312" t="s">
        <v>20</v>
      </c>
      <c r="N312" t="s">
        <v>58</v>
      </c>
    </row>
    <row r="313" spans="1:14" x14ac:dyDescent="0.25">
      <c r="A313" t="s">
        <v>462</v>
      </c>
      <c r="B313" t="s">
        <v>894</v>
      </c>
      <c r="C313" t="s">
        <v>204</v>
      </c>
      <c r="D313" t="s">
        <v>86</v>
      </c>
      <c r="E313" t="s">
        <v>25</v>
      </c>
      <c r="F313" t="s">
        <v>18</v>
      </c>
      <c r="G313">
        <v>50</v>
      </c>
      <c r="H313">
        <v>29.39</v>
      </c>
      <c r="I313">
        <v>1469.5</v>
      </c>
      <c r="J313">
        <v>101.51</v>
      </c>
      <c r="K313">
        <v>467.99</v>
      </c>
      <c r="L313" t="s">
        <v>38</v>
      </c>
      <c r="M313" t="s">
        <v>32</v>
      </c>
      <c r="N313" t="s">
        <v>87</v>
      </c>
    </row>
    <row r="314" spans="1:14" x14ac:dyDescent="0.25">
      <c r="A314" t="s">
        <v>463</v>
      </c>
      <c r="B314" t="s">
        <v>893</v>
      </c>
      <c r="C314" t="s">
        <v>113</v>
      </c>
      <c r="D314" t="s">
        <v>35</v>
      </c>
      <c r="E314" t="s">
        <v>25</v>
      </c>
      <c r="F314" t="s">
        <v>18</v>
      </c>
      <c r="G314">
        <v>46</v>
      </c>
      <c r="H314">
        <v>30.34</v>
      </c>
      <c r="I314">
        <v>1395.64</v>
      </c>
      <c r="J314">
        <v>104.2</v>
      </c>
      <c r="K314">
        <v>463.44</v>
      </c>
      <c r="L314" t="s">
        <v>19</v>
      </c>
      <c r="M314" t="s">
        <v>27</v>
      </c>
      <c r="N314" t="s">
        <v>39</v>
      </c>
    </row>
    <row r="315" spans="1:14" x14ac:dyDescent="0.25">
      <c r="A315" t="s">
        <v>464</v>
      </c>
      <c r="B315" t="s">
        <v>892</v>
      </c>
      <c r="C315" t="s">
        <v>465</v>
      </c>
      <c r="D315" t="s">
        <v>69</v>
      </c>
      <c r="E315" t="s">
        <v>63</v>
      </c>
      <c r="F315" t="s">
        <v>37</v>
      </c>
      <c r="G315">
        <v>50</v>
      </c>
      <c r="H315">
        <v>18.809999999999999</v>
      </c>
      <c r="I315">
        <v>940.5</v>
      </c>
      <c r="J315">
        <v>40.25</v>
      </c>
      <c r="K315">
        <v>262.75</v>
      </c>
      <c r="L315" t="s">
        <v>26</v>
      </c>
      <c r="M315" t="s">
        <v>27</v>
      </c>
      <c r="N315" t="s">
        <v>58</v>
      </c>
    </row>
    <row r="316" spans="1:14" x14ac:dyDescent="0.25">
      <c r="A316" t="s">
        <v>466</v>
      </c>
      <c r="B316" t="s">
        <v>891</v>
      </c>
      <c r="C316" t="s">
        <v>204</v>
      </c>
      <c r="D316" t="s">
        <v>129</v>
      </c>
      <c r="E316" t="s">
        <v>51</v>
      </c>
      <c r="F316" t="s">
        <v>52</v>
      </c>
      <c r="G316">
        <v>2</v>
      </c>
      <c r="H316">
        <v>29.64</v>
      </c>
      <c r="I316">
        <v>59.28</v>
      </c>
      <c r="J316">
        <v>4.59</v>
      </c>
      <c r="K316">
        <v>9.69</v>
      </c>
      <c r="L316" t="s">
        <v>26</v>
      </c>
      <c r="M316" t="s">
        <v>32</v>
      </c>
      <c r="N316" t="s">
        <v>130</v>
      </c>
    </row>
    <row r="317" spans="1:14" x14ac:dyDescent="0.25">
      <c r="A317" t="s">
        <v>467</v>
      </c>
      <c r="B317" t="s">
        <v>853</v>
      </c>
      <c r="C317" t="s">
        <v>364</v>
      </c>
      <c r="D317" t="s">
        <v>69</v>
      </c>
      <c r="E317" t="s">
        <v>51</v>
      </c>
      <c r="F317" t="s">
        <v>52</v>
      </c>
      <c r="G317">
        <v>48</v>
      </c>
      <c r="H317">
        <v>27.9</v>
      </c>
      <c r="I317">
        <v>1339.2</v>
      </c>
      <c r="J317">
        <v>66.31</v>
      </c>
      <c r="K317">
        <v>192.89</v>
      </c>
      <c r="L317" t="s">
        <v>26</v>
      </c>
      <c r="M317" t="s">
        <v>32</v>
      </c>
      <c r="N317" t="s">
        <v>58</v>
      </c>
    </row>
    <row r="318" spans="1:14" x14ac:dyDescent="0.25">
      <c r="A318" t="s">
        <v>468</v>
      </c>
      <c r="B318" t="s">
        <v>798</v>
      </c>
      <c r="C318" t="s">
        <v>293</v>
      </c>
      <c r="D318" t="s">
        <v>106</v>
      </c>
      <c r="E318" t="s">
        <v>56</v>
      </c>
      <c r="F318" t="s">
        <v>57</v>
      </c>
      <c r="G318">
        <v>28</v>
      </c>
      <c r="H318">
        <v>38.520000000000003</v>
      </c>
      <c r="I318">
        <v>1078.56</v>
      </c>
      <c r="J318">
        <v>64.510000000000005</v>
      </c>
      <c r="K318">
        <v>314.05</v>
      </c>
      <c r="L318" t="s">
        <v>19</v>
      </c>
      <c r="M318" t="s">
        <v>27</v>
      </c>
      <c r="N318" t="s">
        <v>28</v>
      </c>
    </row>
    <row r="319" spans="1:14" x14ac:dyDescent="0.25">
      <c r="A319" t="s">
        <v>469</v>
      </c>
      <c r="B319" t="s">
        <v>890</v>
      </c>
      <c r="C319" t="s">
        <v>181</v>
      </c>
      <c r="D319" t="s">
        <v>24</v>
      </c>
      <c r="E319" t="s">
        <v>51</v>
      </c>
      <c r="F319" t="s">
        <v>52</v>
      </c>
      <c r="G319">
        <v>11</v>
      </c>
      <c r="H319">
        <v>31.08</v>
      </c>
      <c r="I319">
        <v>341.88</v>
      </c>
      <c r="J319">
        <v>17.18</v>
      </c>
      <c r="K319">
        <v>77.2</v>
      </c>
      <c r="L319" t="s">
        <v>38</v>
      </c>
      <c r="M319" t="s">
        <v>32</v>
      </c>
      <c r="N319" t="s">
        <v>28</v>
      </c>
    </row>
    <row r="320" spans="1:14" x14ac:dyDescent="0.25">
      <c r="A320" t="s">
        <v>470</v>
      </c>
      <c r="B320" t="s">
        <v>766</v>
      </c>
      <c r="C320" t="s">
        <v>246</v>
      </c>
      <c r="D320" t="s">
        <v>47</v>
      </c>
      <c r="E320" t="s">
        <v>48</v>
      </c>
      <c r="F320" t="s">
        <v>37</v>
      </c>
      <c r="G320">
        <v>42</v>
      </c>
      <c r="H320">
        <v>25.95</v>
      </c>
      <c r="I320">
        <v>1089.9000000000001</v>
      </c>
      <c r="J320">
        <v>27.5</v>
      </c>
      <c r="K320">
        <v>222.4</v>
      </c>
      <c r="L320" t="s">
        <v>38</v>
      </c>
      <c r="M320" t="s">
        <v>32</v>
      </c>
      <c r="N320" t="s">
        <v>21</v>
      </c>
    </row>
    <row r="321" spans="1:14" x14ac:dyDescent="0.25">
      <c r="A321" t="s">
        <v>471</v>
      </c>
      <c r="B321" t="s">
        <v>889</v>
      </c>
      <c r="C321" t="s">
        <v>399</v>
      </c>
      <c r="D321" t="s">
        <v>69</v>
      </c>
      <c r="E321" t="s">
        <v>56</v>
      </c>
      <c r="F321" t="s">
        <v>57</v>
      </c>
      <c r="G321">
        <v>30</v>
      </c>
      <c r="H321">
        <v>30.16</v>
      </c>
      <c r="I321">
        <v>904.8</v>
      </c>
      <c r="J321">
        <v>70.13</v>
      </c>
      <c r="K321">
        <v>84.67</v>
      </c>
      <c r="L321" t="s">
        <v>26</v>
      </c>
      <c r="M321" t="s">
        <v>20</v>
      </c>
      <c r="N321" t="s">
        <v>58</v>
      </c>
    </row>
    <row r="322" spans="1:14" x14ac:dyDescent="0.25">
      <c r="A322" t="s">
        <v>472</v>
      </c>
      <c r="B322" t="s">
        <v>888</v>
      </c>
      <c r="C322" t="s">
        <v>473</v>
      </c>
      <c r="D322" t="s">
        <v>35</v>
      </c>
      <c r="E322" t="s">
        <v>48</v>
      </c>
      <c r="F322" t="s">
        <v>37</v>
      </c>
      <c r="G322">
        <v>40</v>
      </c>
      <c r="H322">
        <v>30.03</v>
      </c>
      <c r="I322">
        <v>1201.2</v>
      </c>
      <c r="J322">
        <v>71.97</v>
      </c>
      <c r="K322">
        <v>329.23</v>
      </c>
      <c r="L322" t="s">
        <v>26</v>
      </c>
      <c r="M322" t="s">
        <v>20</v>
      </c>
      <c r="N322" t="s">
        <v>39</v>
      </c>
    </row>
    <row r="323" spans="1:14" x14ac:dyDescent="0.25">
      <c r="A323" t="s">
        <v>474</v>
      </c>
      <c r="B323" t="s">
        <v>779</v>
      </c>
      <c r="C323" t="s">
        <v>100</v>
      </c>
      <c r="D323" t="s">
        <v>86</v>
      </c>
      <c r="E323" t="s">
        <v>48</v>
      </c>
      <c r="F323" t="s">
        <v>37</v>
      </c>
      <c r="G323">
        <v>15</v>
      </c>
      <c r="H323">
        <v>27.12</v>
      </c>
      <c r="I323">
        <v>406.8</v>
      </c>
      <c r="J323">
        <v>24.28</v>
      </c>
      <c r="K323">
        <v>82.52</v>
      </c>
      <c r="L323" t="s">
        <v>26</v>
      </c>
      <c r="M323" t="s">
        <v>27</v>
      </c>
      <c r="N323" t="s">
        <v>87</v>
      </c>
    </row>
    <row r="324" spans="1:14" x14ac:dyDescent="0.25">
      <c r="A324" t="s">
        <v>475</v>
      </c>
      <c r="B324" t="s">
        <v>887</v>
      </c>
      <c r="C324" t="s">
        <v>161</v>
      </c>
      <c r="D324" t="s">
        <v>106</v>
      </c>
      <c r="E324" t="s">
        <v>63</v>
      </c>
      <c r="F324" t="s">
        <v>37</v>
      </c>
      <c r="G324">
        <v>35</v>
      </c>
      <c r="H324">
        <v>18.350000000000001</v>
      </c>
      <c r="I324">
        <v>642.25</v>
      </c>
      <c r="J324">
        <v>29.35</v>
      </c>
      <c r="K324">
        <v>166.65</v>
      </c>
      <c r="L324" t="s">
        <v>19</v>
      </c>
      <c r="M324" t="s">
        <v>27</v>
      </c>
      <c r="N324" t="s">
        <v>28</v>
      </c>
    </row>
    <row r="325" spans="1:14" x14ac:dyDescent="0.25">
      <c r="A325" t="s">
        <v>476</v>
      </c>
      <c r="B325" t="s">
        <v>778</v>
      </c>
      <c r="C325" t="s">
        <v>410</v>
      </c>
      <c r="D325" t="s">
        <v>86</v>
      </c>
      <c r="E325" t="s">
        <v>17</v>
      </c>
      <c r="F325" t="s">
        <v>18</v>
      </c>
      <c r="G325">
        <v>21</v>
      </c>
      <c r="H325">
        <v>52.59</v>
      </c>
      <c r="I325">
        <v>1104.3900000000001</v>
      </c>
      <c r="J325">
        <v>57.06</v>
      </c>
      <c r="K325">
        <v>312.33</v>
      </c>
      <c r="L325" t="s">
        <v>26</v>
      </c>
      <c r="M325" t="s">
        <v>27</v>
      </c>
      <c r="N325" t="s">
        <v>87</v>
      </c>
    </row>
    <row r="326" spans="1:14" x14ac:dyDescent="0.25">
      <c r="A326" t="s">
        <v>477</v>
      </c>
      <c r="B326" t="s">
        <v>886</v>
      </c>
      <c r="C326" t="s">
        <v>364</v>
      </c>
      <c r="D326" t="s">
        <v>55</v>
      </c>
      <c r="E326" t="s">
        <v>83</v>
      </c>
      <c r="F326" t="s">
        <v>52</v>
      </c>
      <c r="G326">
        <v>10</v>
      </c>
      <c r="H326">
        <v>44.2</v>
      </c>
      <c r="I326">
        <v>442</v>
      </c>
      <c r="J326">
        <v>18.45</v>
      </c>
      <c r="K326">
        <v>143.55000000000001</v>
      </c>
      <c r="L326" t="s">
        <v>19</v>
      </c>
      <c r="M326" t="s">
        <v>20</v>
      </c>
      <c r="N326" t="s">
        <v>58</v>
      </c>
    </row>
    <row r="327" spans="1:14" x14ac:dyDescent="0.25">
      <c r="A327" t="s">
        <v>478</v>
      </c>
      <c r="B327" t="s">
        <v>885</v>
      </c>
      <c r="C327" t="s">
        <v>209</v>
      </c>
      <c r="D327" t="s">
        <v>55</v>
      </c>
      <c r="E327" t="s">
        <v>17</v>
      </c>
      <c r="F327" t="s">
        <v>18</v>
      </c>
      <c r="G327">
        <v>11</v>
      </c>
      <c r="H327">
        <v>60.9</v>
      </c>
      <c r="I327">
        <v>669.9</v>
      </c>
      <c r="J327">
        <v>26.28</v>
      </c>
      <c r="K327">
        <v>258.62</v>
      </c>
      <c r="L327" t="s">
        <v>26</v>
      </c>
      <c r="M327" t="s">
        <v>27</v>
      </c>
      <c r="N327" t="s">
        <v>58</v>
      </c>
    </row>
    <row r="328" spans="1:14" x14ac:dyDescent="0.25">
      <c r="A328" t="s">
        <v>479</v>
      </c>
      <c r="B328" t="s">
        <v>884</v>
      </c>
      <c r="C328" t="s">
        <v>54</v>
      </c>
      <c r="D328" t="s">
        <v>74</v>
      </c>
      <c r="E328" t="s">
        <v>63</v>
      </c>
      <c r="F328" t="s">
        <v>37</v>
      </c>
      <c r="G328">
        <v>26</v>
      </c>
      <c r="H328">
        <v>22.32</v>
      </c>
      <c r="I328">
        <v>580.32000000000005</v>
      </c>
      <c r="J328">
        <v>45.08</v>
      </c>
      <c r="K328">
        <v>203.74</v>
      </c>
      <c r="L328" t="s">
        <v>26</v>
      </c>
      <c r="M328" t="s">
        <v>27</v>
      </c>
      <c r="N328" t="s">
        <v>58</v>
      </c>
    </row>
    <row r="329" spans="1:14" x14ac:dyDescent="0.25">
      <c r="A329" t="s">
        <v>480</v>
      </c>
      <c r="B329" t="s">
        <v>814</v>
      </c>
      <c r="C329" t="s">
        <v>261</v>
      </c>
      <c r="D329" t="s">
        <v>55</v>
      </c>
      <c r="E329" t="s">
        <v>83</v>
      </c>
      <c r="F329" t="s">
        <v>52</v>
      </c>
      <c r="G329">
        <v>46</v>
      </c>
      <c r="H329">
        <v>41.89</v>
      </c>
      <c r="I329">
        <v>1926.94</v>
      </c>
      <c r="J329">
        <v>97.39</v>
      </c>
      <c r="K329">
        <v>541.54999999999995</v>
      </c>
      <c r="L329" t="s">
        <v>19</v>
      </c>
      <c r="M329" t="s">
        <v>32</v>
      </c>
      <c r="N329" t="s">
        <v>58</v>
      </c>
    </row>
    <row r="330" spans="1:14" x14ac:dyDescent="0.25">
      <c r="A330" t="s">
        <v>481</v>
      </c>
      <c r="B330" t="s">
        <v>883</v>
      </c>
      <c r="C330" t="s">
        <v>173</v>
      </c>
      <c r="D330" t="s">
        <v>24</v>
      </c>
      <c r="E330" t="s">
        <v>63</v>
      </c>
      <c r="F330" t="s">
        <v>37</v>
      </c>
      <c r="G330">
        <v>43</v>
      </c>
      <c r="H330">
        <v>21.24</v>
      </c>
      <c r="I330">
        <v>913.32</v>
      </c>
      <c r="J330">
        <v>50.32</v>
      </c>
      <c r="K330">
        <v>314.75</v>
      </c>
      <c r="L330" t="s">
        <v>26</v>
      </c>
      <c r="M330" t="s">
        <v>20</v>
      </c>
      <c r="N330" t="s">
        <v>28</v>
      </c>
    </row>
    <row r="331" spans="1:14" x14ac:dyDescent="0.25">
      <c r="A331" t="s">
        <v>482</v>
      </c>
      <c r="B331" t="s">
        <v>882</v>
      </c>
      <c r="C331" t="s">
        <v>483</v>
      </c>
      <c r="D331" t="s">
        <v>151</v>
      </c>
      <c r="E331" t="s">
        <v>51</v>
      </c>
      <c r="F331" t="s">
        <v>52</v>
      </c>
      <c r="G331">
        <v>28</v>
      </c>
      <c r="H331">
        <v>33.700000000000003</v>
      </c>
      <c r="I331">
        <v>943.6</v>
      </c>
      <c r="J331">
        <v>20.170000000000002</v>
      </c>
      <c r="K331">
        <v>293.43</v>
      </c>
      <c r="L331" t="s">
        <v>19</v>
      </c>
      <c r="M331" t="s">
        <v>27</v>
      </c>
      <c r="N331" t="s">
        <v>28</v>
      </c>
    </row>
    <row r="332" spans="1:14" x14ac:dyDescent="0.25">
      <c r="A332" t="s">
        <v>484</v>
      </c>
      <c r="B332" t="s">
        <v>881</v>
      </c>
      <c r="C332" t="s">
        <v>211</v>
      </c>
      <c r="D332" t="s">
        <v>177</v>
      </c>
      <c r="E332" t="s">
        <v>17</v>
      </c>
      <c r="F332" t="s">
        <v>18</v>
      </c>
      <c r="G332">
        <v>41</v>
      </c>
      <c r="H332">
        <v>42.74</v>
      </c>
      <c r="I332">
        <v>1752.34</v>
      </c>
      <c r="J332">
        <v>92.09</v>
      </c>
      <c r="K332">
        <v>225.25</v>
      </c>
      <c r="L332" t="s">
        <v>38</v>
      </c>
      <c r="M332" t="s">
        <v>20</v>
      </c>
      <c r="N332" t="s">
        <v>58</v>
      </c>
    </row>
    <row r="333" spans="1:14" x14ac:dyDescent="0.25">
      <c r="A333" t="s">
        <v>485</v>
      </c>
      <c r="B333" t="s">
        <v>880</v>
      </c>
      <c r="C333" t="s">
        <v>410</v>
      </c>
      <c r="D333" t="s">
        <v>24</v>
      </c>
      <c r="E333" t="s">
        <v>48</v>
      </c>
      <c r="F333" t="s">
        <v>37</v>
      </c>
      <c r="G333">
        <v>24</v>
      </c>
      <c r="H333">
        <v>30.18</v>
      </c>
      <c r="I333">
        <v>724.32</v>
      </c>
      <c r="J333">
        <v>44.97</v>
      </c>
      <c r="K333">
        <v>199.35</v>
      </c>
      <c r="L333" t="s">
        <v>19</v>
      </c>
      <c r="M333" t="s">
        <v>20</v>
      </c>
      <c r="N333" t="s">
        <v>28</v>
      </c>
    </row>
    <row r="334" spans="1:14" x14ac:dyDescent="0.25">
      <c r="A334" t="s">
        <v>486</v>
      </c>
      <c r="B334" t="s">
        <v>771</v>
      </c>
      <c r="C334" t="s">
        <v>110</v>
      </c>
      <c r="D334" t="s">
        <v>77</v>
      </c>
      <c r="E334" t="s">
        <v>60</v>
      </c>
      <c r="F334" t="s">
        <v>52</v>
      </c>
      <c r="G334">
        <v>44</v>
      </c>
      <c r="H334">
        <v>20.02</v>
      </c>
      <c r="I334">
        <v>880.88</v>
      </c>
      <c r="J334">
        <v>60.27</v>
      </c>
      <c r="K334">
        <v>138.61000000000001</v>
      </c>
      <c r="L334" t="s">
        <v>26</v>
      </c>
      <c r="M334" t="s">
        <v>27</v>
      </c>
      <c r="N334" t="s">
        <v>58</v>
      </c>
    </row>
    <row r="335" spans="1:14" x14ac:dyDescent="0.25">
      <c r="A335" t="s">
        <v>487</v>
      </c>
      <c r="B335" t="s">
        <v>879</v>
      </c>
      <c r="C335" t="s">
        <v>108</v>
      </c>
      <c r="D335" t="s">
        <v>24</v>
      </c>
      <c r="E335" t="s">
        <v>48</v>
      </c>
      <c r="F335" t="s">
        <v>37</v>
      </c>
      <c r="G335">
        <v>12</v>
      </c>
      <c r="H335">
        <v>27.45</v>
      </c>
      <c r="I335">
        <v>329.4</v>
      </c>
      <c r="J335">
        <v>13.22</v>
      </c>
      <c r="K335">
        <v>76.180000000000007</v>
      </c>
      <c r="L335" t="s">
        <v>38</v>
      </c>
      <c r="M335" t="s">
        <v>32</v>
      </c>
      <c r="N335" t="s">
        <v>28</v>
      </c>
    </row>
    <row r="336" spans="1:14" x14ac:dyDescent="0.25">
      <c r="A336" t="s">
        <v>488</v>
      </c>
      <c r="B336" t="s">
        <v>790</v>
      </c>
      <c r="C336" t="s">
        <v>89</v>
      </c>
      <c r="D336" t="s">
        <v>86</v>
      </c>
      <c r="E336" t="s">
        <v>48</v>
      </c>
      <c r="F336" t="s">
        <v>37</v>
      </c>
      <c r="G336">
        <v>26</v>
      </c>
      <c r="H336">
        <v>30.57</v>
      </c>
      <c r="I336">
        <v>794.82</v>
      </c>
      <c r="J336">
        <v>19.45</v>
      </c>
      <c r="K336">
        <v>255.37</v>
      </c>
      <c r="L336" t="s">
        <v>38</v>
      </c>
      <c r="M336" t="s">
        <v>27</v>
      </c>
      <c r="N336" t="s">
        <v>87</v>
      </c>
    </row>
    <row r="337" spans="1:14" x14ac:dyDescent="0.25">
      <c r="A337" t="s">
        <v>489</v>
      </c>
      <c r="B337" t="s">
        <v>878</v>
      </c>
      <c r="C337" t="s">
        <v>115</v>
      </c>
      <c r="D337" t="s">
        <v>77</v>
      </c>
      <c r="E337" t="s">
        <v>56</v>
      </c>
      <c r="F337" t="s">
        <v>57</v>
      </c>
      <c r="G337">
        <v>46</v>
      </c>
      <c r="H337">
        <v>32.19</v>
      </c>
      <c r="I337">
        <v>1480.74</v>
      </c>
      <c r="J337">
        <v>111.13</v>
      </c>
      <c r="K337">
        <v>219.61</v>
      </c>
      <c r="L337" t="s">
        <v>38</v>
      </c>
      <c r="M337" t="s">
        <v>27</v>
      </c>
      <c r="N337" t="s">
        <v>58</v>
      </c>
    </row>
    <row r="338" spans="1:14" x14ac:dyDescent="0.25">
      <c r="A338" t="s">
        <v>490</v>
      </c>
      <c r="B338" t="s">
        <v>741</v>
      </c>
      <c r="C338" t="s">
        <v>85</v>
      </c>
      <c r="D338" t="s">
        <v>69</v>
      </c>
      <c r="E338" t="s">
        <v>25</v>
      </c>
      <c r="F338" t="s">
        <v>18</v>
      </c>
      <c r="G338">
        <v>20</v>
      </c>
      <c r="H338">
        <v>31.79</v>
      </c>
      <c r="I338">
        <v>635.79999999999995</v>
      </c>
      <c r="J338">
        <v>38.43</v>
      </c>
      <c r="K338">
        <v>237.37</v>
      </c>
      <c r="L338" t="s">
        <v>19</v>
      </c>
      <c r="M338" t="s">
        <v>27</v>
      </c>
      <c r="N338" t="s">
        <v>58</v>
      </c>
    </row>
    <row r="339" spans="1:14" x14ac:dyDescent="0.25">
      <c r="A339" t="s">
        <v>491</v>
      </c>
      <c r="B339" t="s">
        <v>877</v>
      </c>
      <c r="C339" t="s">
        <v>15</v>
      </c>
      <c r="D339" t="s">
        <v>129</v>
      </c>
      <c r="E339" t="s">
        <v>25</v>
      </c>
      <c r="F339" t="s">
        <v>18</v>
      </c>
      <c r="G339">
        <v>8</v>
      </c>
      <c r="H339">
        <v>28.94</v>
      </c>
      <c r="I339">
        <v>231.52</v>
      </c>
      <c r="J339">
        <v>7</v>
      </c>
      <c r="K339">
        <v>80.52</v>
      </c>
      <c r="L339" t="s">
        <v>38</v>
      </c>
      <c r="M339" t="s">
        <v>27</v>
      </c>
      <c r="N339" t="s">
        <v>130</v>
      </c>
    </row>
    <row r="340" spans="1:14" x14ac:dyDescent="0.25">
      <c r="A340" t="s">
        <v>492</v>
      </c>
      <c r="B340" t="s">
        <v>876</v>
      </c>
      <c r="C340" t="s">
        <v>211</v>
      </c>
      <c r="D340" t="s">
        <v>106</v>
      </c>
      <c r="E340" t="s">
        <v>25</v>
      </c>
      <c r="F340" t="s">
        <v>18</v>
      </c>
      <c r="G340">
        <v>40</v>
      </c>
      <c r="H340">
        <v>30.66</v>
      </c>
      <c r="I340">
        <v>1226.4000000000001</v>
      </c>
      <c r="J340">
        <v>85.24</v>
      </c>
      <c r="K340">
        <v>421.16</v>
      </c>
      <c r="L340" t="s">
        <v>19</v>
      </c>
      <c r="M340" t="s">
        <v>20</v>
      </c>
      <c r="N340" t="s">
        <v>28</v>
      </c>
    </row>
    <row r="341" spans="1:14" x14ac:dyDescent="0.25">
      <c r="A341" t="s">
        <v>493</v>
      </c>
      <c r="B341" t="s">
        <v>875</v>
      </c>
      <c r="C341" t="s">
        <v>342</v>
      </c>
      <c r="D341" t="s">
        <v>129</v>
      </c>
      <c r="E341" t="s">
        <v>36</v>
      </c>
      <c r="F341" t="s">
        <v>37</v>
      </c>
      <c r="G341">
        <v>44</v>
      </c>
      <c r="H341">
        <v>54.09</v>
      </c>
      <c r="I341">
        <v>2379.96</v>
      </c>
      <c r="J341">
        <v>106.39</v>
      </c>
      <c r="K341">
        <v>865.57</v>
      </c>
      <c r="L341" t="s">
        <v>19</v>
      </c>
      <c r="M341" t="s">
        <v>27</v>
      </c>
      <c r="N341" t="s">
        <v>130</v>
      </c>
    </row>
    <row r="342" spans="1:14" x14ac:dyDescent="0.25">
      <c r="A342" t="s">
        <v>494</v>
      </c>
      <c r="B342" t="s">
        <v>874</v>
      </c>
      <c r="C342" t="s">
        <v>110</v>
      </c>
      <c r="D342" t="s">
        <v>69</v>
      </c>
      <c r="E342" t="s">
        <v>43</v>
      </c>
      <c r="F342" t="s">
        <v>44</v>
      </c>
      <c r="G342">
        <v>32</v>
      </c>
      <c r="H342">
        <v>68.89</v>
      </c>
      <c r="I342">
        <v>2204.48</v>
      </c>
      <c r="J342">
        <v>152.05000000000001</v>
      </c>
      <c r="K342">
        <v>772.43</v>
      </c>
      <c r="L342" t="s">
        <v>19</v>
      </c>
      <c r="M342" t="s">
        <v>27</v>
      </c>
      <c r="N342" t="s">
        <v>58</v>
      </c>
    </row>
    <row r="343" spans="1:14" x14ac:dyDescent="0.25">
      <c r="A343" t="s">
        <v>495</v>
      </c>
      <c r="B343" t="s">
        <v>873</v>
      </c>
      <c r="C343" t="s">
        <v>465</v>
      </c>
      <c r="D343" t="s">
        <v>177</v>
      </c>
      <c r="E343" t="s">
        <v>17</v>
      </c>
      <c r="F343" t="s">
        <v>18</v>
      </c>
      <c r="G343">
        <v>44</v>
      </c>
      <c r="H343">
        <v>43.35</v>
      </c>
      <c r="I343">
        <v>1907.4</v>
      </c>
      <c r="J343">
        <v>99.05</v>
      </c>
      <c r="K343">
        <v>268.35000000000002</v>
      </c>
      <c r="L343" t="s">
        <v>38</v>
      </c>
      <c r="M343" t="s">
        <v>27</v>
      </c>
      <c r="N343" t="s">
        <v>58</v>
      </c>
    </row>
    <row r="344" spans="1:14" x14ac:dyDescent="0.25">
      <c r="A344" t="s">
        <v>496</v>
      </c>
      <c r="B344" t="s">
        <v>872</v>
      </c>
      <c r="C344" t="s">
        <v>23</v>
      </c>
      <c r="D344" t="s">
        <v>47</v>
      </c>
      <c r="E344" t="s">
        <v>83</v>
      </c>
      <c r="F344" t="s">
        <v>52</v>
      </c>
      <c r="G344">
        <v>24</v>
      </c>
      <c r="H344">
        <v>34</v>
      </c>
      <c r="I344">
        <v>816</v>
      </c>
      <c r="J344">
        <v>42.15</v>
      </c>
      <c r="K344">
        <v>101.85</v>
      </c>
      <c r="L344" t="s">
        <v>38</v>
      </c>
      <c r="M344" t="s">
        <v>20</v>
      </c>
      <c r="N344" t="s">
        <v>21</v>
      </c>
    </row>
    <row r="345" spans="1:14" x14ac:dyDescent="0.25">
      <c r="A345" t="s">
        <v>497</v>
      </c>
      <c r="B345" t="s">
        <v>811</v>
      </c>
      <c r="C345" t="s">
        <v>149</v>
      </c>
      <c r="D345" t="s">
        <v>55</v>
      </c>
      <c r="E345" t="s">
        <v>25</v>
      </c>
      <c r="F345" t="s">
        <v>18</v>
      </c>
      <c r="G345">
        <v>41</v>
      </c>
      <c r="H345">
        <v>30.25</v>
      </c>
      <c r="I345">
        <v>1240.25</v>
      </c>
      <c r="J345">
        <v>92.86</v>
      </c>
      <c r="K345">
        <v>409.39</v>
      </c>
      <c r="L345" t="s">
        <v>19</v>
      </c>
      <c r="M345" t="s">
        <v>20</v>
      </c>
      <c r="N345" t="s">
        <v>58</v>
      </c>
    </row>
    <row r="346" spans="1:14" x14ac:dyDescent="0.25">
      <c r="A346" t="s">
        <v>498</v>
      </c>
      <c r="B346" t="s">
        <v>871</v>
      </c>
      <c r="C346" t="s">
        <v>15</v>
      </c>
      <c r="D346" t="s">
        <v>86</v>
      </c>
      <c r="E346" t="s">
        <v>60</v>
      </c>
      <c r="F346" t="s">
        <v>52</v>
      </c>
      <c r="G346">
        <v>15</v>
      </c>
      <c r="H346">
        <v>23.71</v>
      </c>
      <c r="I346">
        <v>355.65</v>
      </c>
      <c r="J346">
        <v>7.22</v>
      </c>
      <c r="K346">
        <v>115.93</v>
      </c>
      <c r="L346" t="s">
        <v>26</v>
      </c>
      <c r="M346" t="s">
        <v>27</v>
      </c>
      <c r="N346" t="s">
        <v>87</v>
      </c>
    </row>
    <row r="347" spans="1:14" x14ac:dyDescent="0.25">
      <c r="A347" t="s">
        <v>499</v>
      </c>
      <c r="B347" t="s">
        <v>792</v>
      </c>
      <c r="C347" t="s">
        <v>123</v>
      </c>
      <c r="D347" t="s">
        <v>69</v>
      </c>
      <c r="E347" t="s">
        <v>36</v>
      </c>
      <c r="F347" t="s">
        <v>37</v>
      </c>
      <c r="G347">
        <v>33</v>
      </c>
      <c r="H347">
        <v>48.64</v>
      </c>
      <c r="I347">
        <v>1605.12</v>
      </c>
      <c r="J347">
        <v>98.71</v>
      </c>
      <c r="K347">
        <v>450.41</v>
      </c>
      <c r="L347" t="s">
        <v>19</v>
      </c>
      <c r="M347" t="s">
        <v>27</v>
      </c>
      <c r="N347" t="s">
        <v>58</v>
      </c>
    </row>
    <row r="348" spans="1:14" x14ac:dyDescent="0.25">
      <c r="A348" t="s">
        <v>500</v>
      </c>
      <c r="B348" t="s">
        <v>870</v>
      </c>
      <c r="C348" t="s">
        <v>34</v>
      </c>
      <c r="D348" t="s">
        <v>151</v>
      </c>
      <c r="E348" t="s">
        <v>17</v>
      </c>
      <c r="F348" t="s">
        <v>18</v>
      </c>
      <c r="G348">
        <v>7</v>
      </c>
      <c r="H348">
        <v>50.94</v>
      </c>
      <c r="I348">
        <v>356.58</v>
      </c>
      <c r="J348">
        <v>11.19</v>
      </c>
      <c r="K348">
        <v>100.39</v>
      </c>
      <c r="L348" t="s">
        <v>26</v>
      </c>
      <c r="M348" t="s">
        <v>20</v>
      </c>
      <c r="N348" t="s">
        <v>28</v>
      </c>
    </row>
    <row r="349" spans="1:14" x14ac:dyDescent="0.25">
      <c r="A349" t="s">
        <v>501</v>
      </c>
      <c r="B349" t="s">
        <v>869</v>
      </c>
      <c r="C349" t="s">
        <v>204</v>
      </c>
      <c r="D349" t="s">
        <v>129</v>
      </c>
      <c r="E349" t="s">
        <v>48</v>
      </c>
      <c r="F349" t="s">
        <v>37</v>
      </c>
      <c r="G349">
        <v>1</v>
      </c>
      <c r="H349">
        <v>31.4</v>
      </c>
      <c r="I349">
        <v>31.4</v>
      </c>
      <c r="J349">
        <v>1.1399999999999999</v>
      </c>
      <c r="K349">
        <v>10.26</v>
      </c>
      <c r="L349" t="s">
        <v>38</v>
      </c>
      <c r="M349" t="s">
        <v>27</v>
      </c>
      <c r="N349" t="s">
        <v>130</v>
      </c>
    </row>
    <row r="350" spans="1:14" x14ac:dyDescent="0.25">
      <c r="A350" t="s">
        <v>502</v>
      </c>
      <c r="B350" t="s">
        <v>868</v>
      </c>
      <c r="C350" t="s">
        <v>199</v>
      </c>
      <c r="D350" t="s">
        <v>31</v>
      </c>
      <c r="E350" t="s">
        <v>63</v>
      </c>
      <c r="F350" t="s">
        <v>37</v>
      </c>
      <c r="G350">
        <v>28</v>
      </c>
      <c r="H350">
        <v>18.59</v>
      </c>
      <c r="I350">
        <v>520.52</v>
      </c>
      <c r="J350">
        <v>14.08</v>
      </c>
      <c r="K350">
        <v>149.44</v>
      </c>
      <c r="L350" t="s">
        <v>19</v>
      </c>
      <c r="M350" t="s">
        <v>20</v>
      </c>
      <c r="N350" t="s">
        <v>28</v>
      </c>
    </row>
    <row r="351" spans="1:14" x14ac:dyDescent="0.25">
      <c r="A351" t="s">
        <v>503</v>
      </c>
      <c r="B351" t="s">
        <v>867</v>
      </c>
      <c r="C351" t="s">
        <v>504</v>
      </c>
      <c r="D351" t="s">
        <v>106</v>
      </c>
      <c r="E351" t="s">
        <v>60</v>
      </c>
      <c r="F351" t="s">
        <v>52</v>
      </c>
      <c r="G351">
        <v>50</v>
      </c>
      <c r="H351">
        <v>20.66</v>
      </c>
      <c r="I351">
        <v>1033</v>
      </c>
      <c r="J351">
        <v>34.130000000000003</v>
      </c>
      <c r="K351">
        <v>223.87</v>
      </c>
      <c r="L351" t="s">
        <v>38</v>
      </c>
      <c r="M351" t="s">
        <v>27</v>
      </c>
      <c r="N351" t="s">
        <v>28</v>
      </c>
    </row>
    <row r="352" spans="1:14" x14ac:dyDescent="0.25">
      <c r="A352" t="s">
        <v>505</v>
      </c>
      <c r="B352" t="s">
        <v>839</v>
      </c>
      <c r="C352" t="s">
        <v>156</v>
      </c>
      <c r="D352" t="s">
        <v>55</v>
      </c>
      <c r="E352" t="s">
        <v>17</v>
      </c>
      <c r="F352" t="s">
        <v>18</v>
      </c>
      <c r="G352">
        <v>4</v>
      </c>
      <c r="H352">
        <v>46.62</v>
      </c>
      <c r="I352">
        <v>186.48</v>
      </c>
      <c r="J352">
        <v>13.29</v>
      </c>
      <c r="K352">
        <v>33.19</v>
      </c>
      <c r="L352" t="s">
        <v>26</v>
      </c>
      <c r="M352" t="s">
        <v>20</v>
      </c>
      <c r="N352" t="s">
        <v>58</v>
      </c>
    </row>
    <row r="353" spans="1:14" x14ac:dyDescent="0.25">
      <c r="A353" t="s">
        <v>506</v>
      </c>
      <c r="B353" t="s">
        <v>839</v>
      </c>
      <c r="C353" t="s">
        <v>465</v>
      </c>
      <c r="D353" t="s">
        <v>86</v>
      </c>
      <c r="E353" t="s">
        <v>60</v>
      </c>
      <c r="F353" t="s">
        <v>52</v>
      </c>
      <c r="G353">
        <v>37</v>
      </c>
      <c r="H353">
        <v>21.81</v>
      </c>
      <c r="I353">
        <v>806.97</v>
      </c>
      <c r="J353">
        <v>19.63</v>
      </c>
      <c r="K353">
        <v>213.84</v>
      </c>
      <c r="L353" t="s">
        <v>38</v>
      </c>
      <c r="M353" t="s">
        <v>32</v>
      </c>
      <c r="N353" t="s">
        <v>87</v>
      </c>
    </row>
    <row r="354" spans="1:14" x14ac:dyDescent="0.25">
      <c r="A354" t="s">
        <v>507</v>
      </c>
      <c r="B354" t="s">
        <v>866</v>
      </c>
      <c r="C354" t="s">
        <v>135</v>
      </c>
      <c r="D354" t="s">
        <v>55</v>
      </c>
      <c r="E354" t="s">
        <v>60</v>
      </c>
      <c r="F354" t="s">
        <v>52</v>
      </c>
      <c r="G354">
        <v>48</v>
      </c>
      <c r="H354">
        <v>26.68</v>
      </c>
      <c r="I354">
        <v>1280.6400000000001</v>
      </c>
      <c r="J354">
        <v>55.36</v>
      </c>
      <c r="K354">
        <v>481.28</v>
      </c>
      <c r="L354" t="s">
        <v>19</v>
      </c>
      <c r="M354" t="s">
        <v>27</v>
      </c>
      <c r="N354" t="s">
        <v>58</v>
      </c>
    </row>
    <row r="355" spans="1:14" x14ac:dyDescent="0.25">
      <c r="A355" t="s">
        <v>508</v>
      </c>
      <c r="B355" t="s">
        <v>865</v>
      </c>
      <c r="C355" t="s">
        <v>119</v>
      </c>
      <c r="D355" t="s">
        <v>35</v>
      </c>
      <c r="E355" t="s">
        <v>56</v>
      </c>
      <c r="F355" t="s">
        <v>57</v>
      </c>
      <c r="G355">
        <v>24</v>
      </c>
      <c r="H355">
        <v>42.82</v>
      </c>
      <c r="I355">
        <v>1027.68</v>
      </c>
      <c r="J355">
        <v>69.95</v>
      </c>
      <c r="K355">
        <v>357.73</v>
      </c>
      <c r="L355" t="s">
        <v>19</v>
      </c>
      <c r="M355" t="s">
        <v>20</v>
      </c>
      <c r="N355" t="s">
        <v>39</v>
      </c>
    </row>
    <row r="356" spans="1:14" x14ac:dyDescent="0.25">
      <c r="A356" t="s">
        <v>509</v>
      </c>
      <c r="B356" t="s">
        <v>864</v>
      </c>
      <c r="C356" t="s">
        <v>121</v>
      </c>
      <c r="D356" t="s">
        <v>129</v>
      </c>
      <c r="E356" t="s">
        <v>51</v>
      </c>
      <c r="F356" t="s">
        <v>52</v>
      </c>
      <c r="G356">
        <v>26</v>
      </c>
      <c r="H356">
        <v>34.4</v>
      </c>
      <c r="I356">
        <v>894.4</v>
      </c>
      <c r="J356">
        <v>40.42</v>
      </c>
      <c r="K356">
        <v>268.98</v>
      </c>
      <c r="L356" t="s">
        <v>19</v>
      </c>
      <c r="M356" t="s">
        <v>20</v>
      </c>
      <c r="N356" t="s">
        <v>130</v>
      </c>
    </row>
    <row r="357" spans="1:14" x14ac:dyDescent="0.25">
      <c r="A357" t="s">
        <v>510</v>
      </c>
      <c r="B357" t="s">
        <v>828</v>
      </c>
      <c r="C357" t="s">
        <v>202</v>
      </c>
      <c r="D357" t="s">
        <v>31</v>
      </c>
      <c r="E357" t="s">
        <v>17</v>
      </c>
      <c r="F357" t="s">
        <v>18</v>
      </c>
      <c r="G357">
        <v>47</v>
      </c>
      <c r="H357">
        <v>44.89</v>
      </c>
      <c r="I357">
        <v>2109.83</v>
      </c>
      <c r="J357">
        <v>45.91</v>
      </c>
      <c r="K357">
        <v>418.92</v>
      </c>
      <c r="L357" t="s">
        <v>19</v>
      </c>
      <c r="M357" t="s">
        <v>27</v>
      </c>
      <c r="N357" t="s">
        <v>28</v>
      </c>
    </row>
    <row r="358" spans="1:14" x14ac:dyDescent="0.25">
      <c r="A358" t="s">
        <v>511</v>
      </c>
      <c r="B358" t="s">
        <v>863</v>
      </c>
      <c r="C358" t="s">
        <v>179</v>
      </c>
      <c r="D358" t="s">
        <v>55</v>
      </c>
      <c r="E358" t="s">
        <v>60</v>
      </c>
      <c r="F358" t="s">
        <v>52</v>
      </c>
      <c r="G358">
        <v>1</v>
      </c>
      <c r="H358">
        <v>18.739999999999998</v>
      </c>
      <c r="I358">
        <v>18.739999999999998</v>
      </c>
      <c r="J358">
        <v>0.5</v>
      </c>
      <c r="K358">
        <v>2.74</v>
      </c>
      <c r="L358" t="s">
        <v>38</v>
      </c>
      <c r="M358" t="s">
        <v>27</v>
      </c>
      <c r="N358" t="s">
        <v>58</v>
      </c>
    </row>
    <row r="359" spans="1:14" x14ac:dyDescent="0.25">
      <c r="A359" t="s">
        <v>512</v>
      </c>
      <c r="B359" t="s">
        <v>862</v>
      </c>
      <c r="C359" t="s">
        <v>170</v>
      </c>
      <c r="D359" t="s">
        <v>69</v>
      </c>
      <c r="E359" t="s">
        <v>51</v>
      </c>
      <c r="F359" t="s">
        <v>52</v>
      </c>
      <c r="G359">
        <v>27</v>
      </c>
      <c r="H359">
        <v>36.270000000000003</v>
      </c>
      <c r="I359">
        <v>979.29</v>
      </c>
      <c r="J359">
        <v>54.58</v>
      </c>
      <c r="K359">
        <v>317.20999999999998</v>
      </c>
      <c r="L359" t="s">
        <v>26</v>
      </c>
      <c r="M359" t="s">
        <v>27</v>
      </c>
      <c r="N359" t="s">
        <v>58</v>
      </c>
    </row>
    <row r="360" spans="1:14" x14ac:dyDescent="0.25">
      <c r="A360" t="s">
        <v>513</v>
      </c>
      <c r="B360" t="s">
        <v>861</v>
      </c>
      <c r="C360" t="s">
        <v>93</v>
      </c>
      <c r="D360" t="s">
        <v>151</v>
      </c>
      <c r="E360" t="s">
        <v>63</v>
      </c>
      <c r="F360" t="s">
        <v>37</v>
      </c>
      <c r="G360">
        <v>13</v>
      </c>
      <c r="H360">
        <v>18.82</v>
      </c>
      <c r="I360">
        <v>244.66</v>
      </c>
      <c r="J360">
        <v>6.49</v>
      </c>
      <c r="K360">
        <v>72.42</v>
      </c>
      <c r="L360" t="s">
        <v>38</v>
      </c>
      <c r="M360" t="s">
        <v>27</v>
      </c>
      <c r="N360" t="s">
        <v>28</v>
      </c>
    </row>
    <row r="361" spans="1:14" x14ac:dyDescent="0.25">
      <c r="A361" t="s">
        <v>514</v>
      </c>
      <c r="B361" t="s">
        <v>860</v>
      </c>
      <c r="C361" t="s">
        <v>342</v>
      </c>
      <c r="D361" t="s">
        <v>129</v>
      </c>
      <c r="E361" t="s">
        <v>83</v>
      </c>
      <c r="F361" t="s">
        <v>52</v>
      </c>
      <c r="G361">
        <v>41</v>
      </c>
      <c r="H361">
        <v>43.19</v>
      </c>
      <c r="I361">
        <v>1770.79</v>
      </c>
      <c r="J361">
        <v>83.28</v>
      </c>
      <c r="K361">
        <v>539.51</v>
      </c>
      <c r="L361" t="s">
        <v>26</v>
      </c>
      <c r="M361" t="s">
        <v>20</v>
      </c>
      <c r="N361" t="s">
        <v>130</v>
      </c>
    </row>
    <row r="362" spans="1:14" x14ac:dyDescent="0.25">
      <c r="A362" t="s">
        <v>515</v>
      </c>
      <c r="B362" t="s">
        <v>859</v>
      </c>
      <c r="C362" t="s">
        <v>65</v>
      </c>
      <c r="D362" t="s">
        <v>55</v>
      </c>
      <c r="E362" t="s">
        <v>83</v>
      </c>
      <c r="F362" t="s">
        <v>52</v>
      </c>
      <c r="G362">
        <v>40</v>
      </c>
      <c r="H362">
        <v>42.31</v>
      </c>
      <c r="I362">
        <v>1692.4</v>
      </c>
      <c r="J362">
        <v>118.59</v>
      </c>
      <c r="K362">
        <v>453.81</v>
      </c>
      <c r="L362" t="s">
        <v>26</v>
      </c>
      <c r="M362" t="s">
        <v>32</v>
      </c>
      <c r="N362" t="s">
        <v>58</v>
      </c>
    </row>
    <row r="363" spans="1:14" x14ac:dyDescent="0.25">
      <c r="A363" t="s">
        <v>516</v>
      </c>
      <c r="B363" t="s">
        <v>858</v>
      </c>
      <c r="C363" t="s">
        <v>276</v>
      </c>
      <c r="D363" t="s">
        <v>177</v>
      </c>
      <c r="E363" t="s">
        <v>36</v>
      </c>
      <c r="F363" t="s">
        <v>37</v>
      </c>
      <c r="G363">
        <v>1</v>
      </c>
      <c r="H363">
        <v>57.15</v>
      </c>
      <c r="I363">
        <v>57.15</v>
      </c>
      <c r="J363">
        <v>4.1100000000000003</v>
      </c>
      <c r="K363">
        <v>21.04</v>
      </c>
      <c r="L363" t="s">
        <v>26</v>
      </c>
      <c r="M363" t="s">
        <v>20</v>
      </c>
      <c r="N363" t="s">
        <v>58</v>
      </c>
    </row>
    <row r="364" spans="1:14" x14ac:dyDescent="0.25">
      <c r="A364" t="s">
        <v>517</v>
      </c>
      <c r="B364" t="s">
        <v>857</v>
      </c>
      <c r="C364" t="s">
        <v>168</v>
      </c>
      <c r="D364" t="s">
        <v>42</v>
      </c>
      <c r="E364" t="s">
        <v>48</v>
      </c>
      <c r="F364" t="s">
        <v>37</v>
      </c>
      <c r="G364">
        <v>15</v>
      </c>
      <c r="H364">
        <v>30.03</v>
      </c>
      <c r="I364">
        <v>450.45</v>
      </c>
      <c r="J364">
        <v>29.99</v>
      </c>
      <c r="K364">
        <v>120.46</v>
      </c>
      <c r="L364" t="s">
        <v>38</v>
      </c>
      <c r="M364" t="s">
        <v>27</v>
      </c>
      <c r="N364" t="s">
        <v>21</v>
      </c>
    </row>
    <row r="365" spans="1:14" x14ac:dyDescent="0.25">
      <c r="A365" t="s">
        <v>518</v>
      </c>
      <c r="B365" t="s">
        <v>856</v>
      </c>
      <c r="C365" t="s">
        <v>161</v>
      </c>
      <c r="D365" t="s">
        <v>35</v>
      </c>
      <c r="E365" t="s">
        <v>48</v>
      </c>
      <c r="F365" t="s">
        <v>37</v>
      </c>
      <c r="G365">
        <v>48</v>
      </c>
      <c r="H365">
        <v>30.91</v>
      </c>
      <c r="I365">
        <v>1483.68</v>
      </c>
      <c r="J365">
        <v>85.5</v>
      </c>
      <c r="K365">
        <v>438.18</v>
      </c>
      <c r="L365" t="s">
        <v>19</v>
      </c>
      <c r="M365" t="s">
        <v>27</v>
      </c>
      <c r="N365" t="s">
        <v>39</v>
      </c>
    </row>
    <row r="366" spans="1:14" x14ac:dyDescent="0.25">
      <c r="A366" t="s">
        <v>519</v>
      </c>
      <c r="B366" t="s">
        <v>799</v>
      </c>
      <c r="C366" t="s">
        <v>323</v>
      </c>
      <c r="D366" t="s">
        <v>47</v>
      </c>
      <c r="E366" t="s">
        <v>51</v>
      </c>
      <c r="F366" t="s">
        <v>52</v>
      </c>
      <c r="G366">
        <v>8</v>
      </c>
      <c r="H366">
        <v>32.19</v>
      </c>
      <c r="I366">
        <v>257.52</v>
      </c>
      <c r="J366">
        <v>11.85</v>
      </c>
      <c r="K366">
        <v>65.67</v>
      </c>
      <c r="L366" t="s">
        <v>19</v>
      </c>
      <c r="M366" t="s">
        <v>20</v>
      </c>
      <c r="N366" t="s">
        <v>21</v>
      </c>
    </row>
    <row r="367" spans="1:14" x14ac:dyDescent="0.25">
      <c r="A367" t="s">
        <v>520</v>
      </c>
      <c r="B367" t="s">
        <v>855</v>
      </c>
      <c r="C367" t="s">
        <v>147</v>
      </c>
      <c r="D367" t="s">
        <v>74</v>
      </c>
      <c r="E367" t="s">
        <v>43</v>
      </c>
      <c r="F367" t="s">
        <v>44</v>
      </c>
      <c r="G367">
        <v>22</v>
      </c>
      <c r="H367">
        <v>60.75</v>
      </c>
      <c r="I367">
        <v>1336.5</v>
      </c>
      <c r="J367">
        <v>38.340000000000003</v>
      </c>
      <c r="K367">
        <v>418.16</v>
      </c>
      <c r="L367" t="s">
        <v>19</v>
      </c>
      <c r="M367" t="s">
        <v>27</v>
      </c>
      <c r="N367" t="s">
        <v>58</v>
      </c>
    </row>
    <row r="368" spans="1:14" x14ac:dyDescent="0.25">
      <c r="A368" t="s">
        <v>521</v>
      </c>
      <c r="B368" t="s">
        <v>780</v>
      </c>
      <c r="C368" t="s">
        <v>119</v>
      </c>
      <c r="D368" t="s">
        <v>31</v>
      </c>
      <c r="E368" t="s">
        <v>43</v>
      </c>
      <c r="F368" t="s">
        <v>44</v>
      </c>
      <c r="G368">
        <v>38</v>
      </c>
      <c r="H368">
        <v>66.06</v>
      </c>
      <c r="I368">
        <v>2510.2800000000002</v>
      </c>
      <c r="J368">
        <v>50.37</v>
      </c>
      <c r="K368">
        <v>939.91</v>
      </c>
      <c r="L368" t="s">
        <v>19</v>
      </c>
      <c r="M368" t="s">
        <v>20</v>
      </c>
      <c r="N368" t="s">
        <v>28</v>
      </c>
    </row>
    <row r="369" spans="1:14" x14ac:dyDescent="0.25">
      <c r="A369" t="s">
        <v>522</v>
      </c>
      <c r="B369" t="s">
        <v>854</v>
      </c>
      <c r="C369" t="s">
        <v>97</v>
      </c>
      <c r="D369" t="s">
        <v>16</v>
      </c>
      <c r="E369" t="s">
        <v>17</v>
      </c>
      <c r="F369" t="s">
        <v>18</v>
      </c>
      <c r="G369">
        <v>33</v>
      </c>
      <c r="H369">
        <v>50.88</v>
      </c>
      <c r="I369">
        <v>1679.04</v>
      </c>
      <c r="J369">
        <v>61.48</v>
      </c>
      <c r="K369">
        <v>462.56</v>
      </c>
      <c r="L369" t="s">
        <v>19</v>
      </c>
      <c r="M369" t="s">
        <v>27</v>
      </c>
      <c r="N369" t="s">
        <v>21</v>
      </c>
    </row>
    <row r="370" spans="1:14" x14ac:dyDescent="0.25">
      <c r="A370" t="s">
        <v>523</v>
      </c>
      <c r="B370" t="s">
        <v>734</v>
      </c>
      <c r="C370" t="s">
        <v>261</v>
      </c>
      <c r="D370" t="s">
        <v>55</v>
      </c>
      <c r="E370" t="s">
        <v>83</v>
      </c>
      <c r="F370" t="s">
        <v>52</v>
      </c>
      <c r="G370">
        <v>49</v>
      </c>
      <c r="H370">
        <v>34.479999999999997</v>
      </c>
      <c r="I370">
        <v>1689.52</v>
      </c>
      <c r="J370">
        <v>53.06</v>
      </c>
      <c r="K370">
        <v>264.45999999999998</v>
      </c>
      <c r="L370" t="s">
        <v>38</v>
      </c>
      <c r="M370" t="s">
        <v>32</v>
      </c>
      <c r="N370" t="s">
        <v>58</v>
      </c>
    </row>
    <row r="371" spans="1:14" x14ac:dyDescent="0.25">
      <c r="A371" t="s">
        <v>524</v>
      </c>
      <c r="B371" t="s">
        <v>853</v>
      </c>
      <c r="C371" t="s">
        <v>168</v>
      </c>
      <c r="D371" t="s">
        <v>77</v>
      </c>
      <c r="E371" t="s">
        <v>48</v>
      </c>
      <c r="F371" t="s">
        <v>37</v>
      </c>
      <c r="G371">
        <v>31</v>
      </c>
      <c r="H371">
        <v>25.43</v>
      </c>
      <c r="I371">
        <v>788.33</v>
      </c>
      <c r="J371">
        <v>57.81</v>
      </c>
      <c r="K371">
        <v>110.52</v>
      </c>
      <c r="L371" t="s">
        <v>19</v>
      </c>
      <c r="M371" t="s">
        <v>27</v>
      </c>
      <c r="N371" t="s">
        <v>58</v>
      </c>
    </row>
    <row r="372" spans="1:14" x14ac:dyDescent="0.25">
      <c r="A372" t="s">
        <v>525</v>
      </c>
      <c r="B372" t="s">
        <v>852</v>
      </c>
      <c r="C372" t="s">
        <v>226</v>
      </c>
      <c r="D372" t="s">
        <v>151</v>
      </c>
      <c r="E372" t="s">
        <v>48</v>
      </c>
      <c r="F372" t="s">
        <v>37</v>
      </c>
      <c r="G372">
        <v>29</v>
      </c>
      <c r="H372">
        <v>31.68</v>
      </c>
      <c r="I372">
        <v>918.72</v>
      </c>
      <c r="J372">
        <v>22.22</v>
      </c>
      <c r="K372">
        <v>316.5</v>
      </c>
      <c r="L372" t="s">
        <v>38</v>
      </c>
      <c r="M372" t="s">
        <v>20</v>
      </c>
      <c r="N372" t="s">
        <v>28</v>
      </c>
    </row>
    <row r="373" spans="1:14" x14ac:dyDescent="0.25">
      <c r="A373" t="s">
        <v>526</v>
      </c>
      <c r="B373" t="s">
        <v>851</v>
      </c>
      <c r="C373" t="s">
        <v>354</v>
      </c>
      <c r="D373" t="s">
        <v>69</v>
      </c>
      <c r="E373" t="s">
        <v>83</v>
      </c>
      <c r="F373" t="s">
        <v>52</v>
      </c>
      <c r="G373">
        <v>42</v>
      </c>
      <c r="H373">
        <v>33.89</v>
      </c>
      <c r="I373">
        <v>1423.38</v>
      </c>
      <c r="J373">
        <v>85.4</v>
      </c>
      <c r="K373">
        <v>161.97999999999999</v>
      </c>
      <c r="L373" t="s">
        <v>38</v>
      </c>
      <c r="M373" t="s">
        <v>20</v>
      </c>
      <c r="N373" t="s">
        <v>58</v>
      </c>
    </row>
    <row r="374" spans="1:14" x14ac:dyDescent="0.25">
      <c r="A374" t="s">
        <v>527</v>
      </c>
      <c r="B374" t="s">
        <v>850</v>
      </c>
      <c r="C374" t="s">
        <v>50</v>
      </c>
      <c r="D374" t="s">
        <v>69</v>
      </c>
      <c r="E374" t="s">
        <v>25</v>
      </c>
      <c r="F374" t="s">
        <v>18</v>
      </c>
      <c r="G374">
        <v>13</v>
      </c>
      <c r="H374">
        <v>21.75</v>
      </c>
      <c r="I374">
        <v>282.75</v>
      </c>
      <c r="J374">
        <v>12.5</v>
      </c>
      <c r="K374">
        <v>36.25</v>
      </c>
      <c r="L374" t="s">
        <v>38</v>
      </c>
      <c r="M374" t="s">
        <v>27</v>
      </c>
      <c r="N374" t="s">
        <v>58</v>
      </c>
    </row>
    <row r="375" spans="1:14" x14ac:dyDescent="0.25">
      <c r="A375" t="s">
        <v>528</v>
      </c>
      <c r="B375" t="s">
        <v>849</v>
      </c>
      <c r="C375" t="s">
        <v>100</v>
      </c>
      <c r="D375" t="s">
        <v>77</v>
      </c>
      <c r="E375" t="s">
        <v>51</v>
      </c>
      <c r="F375" t="s">
        <v>52</v>
      </c>
      <c r="G375">
        <v>25</v>
      </c>
      <c r="H375">
        <v>37.58</v>
      </c>
      <c r="I375">
        <v>939.5</v>
      </c>
      <c r="J375">
        <v>48.44</v>
      </c>
      <c r="K375">
        <v>328.56</v>
      </c>
      <c r="L375" t="s">
        <v>38</v>
      </c>
      <c r="M375" t="s">
        <v>32</v>
      </c>
      <c r="N375" t="s">
        <v>58</v>
      </c>
    </row>
    <row r="376" spans="1:14" x14ac:dyDescent="0.25">
      <c r="A376" t="s">
        <v>529</v>
      </c>
      <c r="B376" t="s">
        <v>848</v>
      </c>
      <c r="C376" t="s">
        <v>303</v>
      </c>
      <c r="D376" t="s">
        <v>151</v>
      </c>
      <c r="E376" t="s">
        <v>48</v>
      </c>
      <c r="F376" t="s">
        <v>37</v>
      </c>
      <c r="G376">
        <v>16</v>
      </c>
      <c r="H376">
        <v>25.25</v>
      </c>
      <c r="I376">
        <v>404</v>
      </c>
      <c r="J376">
        <v>18.75</v>
      </c>
      <c r="K376">
        <v>65.25</v>
      </c>
      <c r="L376" t="s">
        <v>26</v>
      </c>
      <c r="M376" t="s">
        <v>32</v>
      </c>
      <c r="N376" t="s">
        <v>28</v>
      </c>
    </row>
    <row r="377" spans="1:14" x14ac:dyDescent="0.25">
      <c r="A377" t="s">
        <v>530</v>
      </c>
      <c r="B377" t="s">
        <v>847</v>
      </c>
      <c r="C377" t="s">
        <v>240</v>
      </c>
      <c r="D377" t="s">
        <v>77</v>
      </c>
      <c r="E377" t="s">
        <v>60</v>
      </c>
      <c r="F377" t="s">
        <v>52</v>
      </c>
      <c r="G377">
        <v>37</v>
      </c>
      <c r="H377">
        <v>25.85</v>
      </c>
      <c r="I377">
        <v>956.45</v>
      </c>
      <c r="J377">
        <v>31.7</v>
      </c>
      <c r="K377">
        <v>351.25</v>
      </c>
      <c r="L377" t="s">
        <v>38</v>
      </c>
      <c r="M377" t="s">
        <v>32</v>
      </c>
      <c r="N377" t="s">
        <v>58</v>
      </c>
    </row>
    <row r="378" spans="1:14" x14ac:dyDescent="0.25">
      <c r="A378" t="s">
        <v>531</v>
      </c>
      <c r="B378" t="s">
        <v>846</v>
      </c>
      <c r="C378" t="s">
        <v>54</v>
      </c>
      <c r="D378" t="s">
        <v>69</v>
      </c>
      <c r="E378" t="s">
        <v>48</v>
      </c>
      <c r="F378" t="s">
        <v>37</v>
      </c>
      <c r="G378">
        <v>1</v>
      </c>
      <c r="H378">
        <v>25.72</v>
      </c>
      <c r="I378">
        <v>25.72</v>
      </c>
      <c r="J378">
        <v>2.04</v>
      </c>
      <c r="K378">
        <v>3.68</v>
      </c>
      <c r="L378" t="s">
        <v>38</v>
      </c>
      <c r="M378" t="s">
        <v>32</v>
      </c>
      <c r="N378" t="s">
        <v>58</v>
      </c>
    </row>
    <row r="379" spans="1:14" x14ac:dyDescent="0.25">
      <c r="A379" t="s">
        <v>532</v>
      </c>
      <c r="B379" t="s">
        <v>845</v>
      </c>
      <c r="C379" t="s">
        <v>342</v>
      </c>
      <c r="D379" t="s">
        <v>69</v>
      </c>
      <c r="E379" t="s">
        <v>83</v>
      </c>
      <c r="F379" t="s">
        <v>52</v>
      </c>
      <c r="G379">
        <v>48</v>
      </c>
      <c r="H379">
        <v>47.05</v>
      </c>
      <c r="I379">
        <v>2258.4</v>
      </c>
      <c r="J379">
        <v>179.44</v>
      </c>
      <c r="K379">
        <v>734.96</v>
      </c>
      <c r="L379" t="s">
        <v>26</v>
      </c>
      <c r="M379" t="s">
        <v>27</v>
      </c>
      <c r="N379" t="s">
        <v>58</v>
      </c>
    </row>
    <row r="380" spans="1:14" x14ac:dyDescent="0.25">
      <c r="A380" t="s">
        <v>533</v>
      </c>
      <c r="B380" t="s">
        <v>844</v>
      </c>
      <c r="C380" t="s">
        <v>123</v>
      </c>
      <c r="D380" t="s">
        <v>35</v>
      </c>
      <c r="E380" t="s">
        <v>48</v>
      </c>
      <c r="F380" t="s">
        <v>37</v>
      </c>
      <c r="G380">
        <v>48</v>
      </c>
      <c r="H380">
        <v>29.94</v>
      </c>
      <c r="I380">
        <v>1437.12</v>
      </c>
      <c r="J380">
        <v>30.14</v>
      </c>
      <c r="K380">
        <v>446.98</v>
      </c>
      <c r="L380" t="s">
        <v>26</v>
      </c>
      <c r="M380" t="s">
        <v>27</v>
      </c>
      <c r="N380" t="s">
        <v>39</v>
      </c>
    </row>
    <row r="381" spans="1:14" x14ac:dyDescent="0.25">
      <c r="A381" t="s">
        <v>534</v>
      </c>
      <c r="B381" t="s">
        <v>843</v>
      </c>
      <c r="C381" t="s">
        <v>371</v>
      </c>
      <c r="D381" t="s">
        <v>31</v>
      </c>
      <c r="E381" t="s">
        <v>51</v>
      </c>
      <c r="F381" t="s">
        <v>52</v>
      </c>
      <c r="G381">
        <v>12</v>
      </c>
      <c r="H381">
        <v>35.68</v>
      </c>
      <c r="I381">
        <v>428.16</v>
      </c>
      <c r="J381">
        <v>13.07</v>
      </c>
      <c r="K381">
        <v>145.09</v>
      </c>
      <c r="L381" t="s">
        <v>26</v>
      </c>
      <c r="M381" t="s">
        <v>32</v>
      </c>
      <c r="N381" t="s">
        <v>28</v>
      </c>
    </row>
    <row r="382" spans="1:14" x14ac:dyDescent="0.25">
      <c r="A382" t="s">
        <v>535</v>
      </c>
      <c r="B382" t="s">
        <v>751</v>
      </c>
      <c r="C382" t="s">
        <v>286</v>
      </c>
      <c r="D382" t="s">
        <v>16</v>
      </c>
      <c r="E382" t="s">
        <v>36</v>
      </c>
      <c r="F382" t="s">
        <v>37</v>
      </c>
      <c r="G382">
        <v>30</v>
      </c>
      <c r="H382">
        <v>49.32</v>
      </c>
      <c r="I382">
        <v>1479.6</v>
      </c>
      <c r="J382">
        <v>105.97</v>
      </c>
      <c r="K382">
        <v>413.63</v>
      </c>
      <c r="L382" t="s">
        <v>26</v>
      </c>
      <c r="M382" t="s">
        <v>27</v>
      </c>
      <c r="N382" t="s">
        <v>21</v>
      </c>
    </row>
    <row r="383" spans="1:14" x14ac:dyDescent="0.25">
      <c r="A383" t="s">
        <v>536</v>
      </c>
      <c r="B383" t="s">
        <v>842</v>
      </c>
      <c r="C383" t="s">
        <v>300</v>
      </c>
      <c r="D383" t="s">
        <v>106</v>
      </c>
      <c r="E383" t="s">
        <v>83</v>
      </c>
      <c r="F383" t="s">
        <v>52</v>
      </c>
      <c r="G383">
        <v>27</v>
      </c>
      <c r="H383">
        <v>37.68</v>
      </c>
      <c r="I383">
        <v>1017.36</v>
      </c>
      <c r="J383">
        <v>80.739999999999995</v>
      </c>
      <c r="K383">
        <v>180.62</v>
      </c>
      <c r="L383" t="s">
        <v>38</v>
      </c>
      <c r="M383" t="s">
        <v>20</v>
      </c>
      <c r="N383" t="s">
        <v>28</v>
      </c>
    </row>
    <row r="384" spans="1:14" x14ac:dyDescent="0.25">
      <c r="A384" t="s">
        <v>537</v>
      </c>
      <c r="B384" t="s">
        <v>841</v>
      </c>
      <c r="C384" t="s">
        <v>173</v>
      </c>
      <c r="D384" t="s">
        <v>31</v>
      </c>
      <c r="E384" t="s">
        <v>56</v>
      </c>
      <c r="F384" t="s">
        <v>57</v>
      </c>
      <c r="G384">
        <v>39</v>
      </c>
      <c r="H384">
        <v>36.340000000000003</v>
      </c>
      <c r="I384">
        <v>1417.26</v>
      </c>
      <c r="J384">
        <v>67</v>
      </c>
      <c r="K384">
        <v>375.26</v>
      </c>
      <c r="L384" t="s">
        <v>38</v>
      </c>
      <c r="M384" t="s">
        <v>27</v>
      </c>
      <c r="N384" t="s">
        <v>28</v>
      </c>
    </row>
    <row r="385" spans="1:14" x14ac:dyDescent="0.25">
      <c r="A385" t="s">
        <v>538</v>
      </c>
      <c r="B385" t="s">
        <v>840</v>
      </c>
      <c r="C385" t="s">
        <v>54</v>
      </c>
      <c r="D385" t="s">
        <v>55</v>
      </c>
      <c r="E385" t="s">
        <v>60</v>
      </c>
      <c r="F385" t="s">
        <v>52</v>
      </c>
      <c r="G385">
        <v>16</v>
      </c>
      <c r="H385">
        <v>24.33</v>
      </c>
      <c r="I385">
        <v>389.28</v>
      </c>
      <c r="J385">
        <v>22.33</v>
      </c>
      <c r="K385">
        <v>118.95</v>
      </c>
      <c r="L385" t="s">
        <v>19</v>
      </c>
      <c r="M385" t="s">
        <v>32</v>
      </c>
      <c r="N385" t="s">
        <v>58</v>
      </c>
    </row>
    <row r="386" spans="1:14" x14ac:dyDescent="0.25">
      <c r="A386" t="s">
        <v>539</v>
      </c>
      <c r="B386" t="s">
        <v>839</v>
      </c>
      <c r="C386" t="s">
        <v>300</v>
      </c>
      <c r="D386" t="s">
        <v>74</v>
      </c>
      <c r="E386" t="s">
        <v>60</v>
      </c>
      <c r="F386" t="s">
        <v>52</v>
      </c>
      <c r="G386">
        <v>40</v>
      </c>
      <c r="H386">
        <v>22.28</v>
      </c>
      <c r="I386">
        <v>891.2</v>
      </c>
      <c r="J386">
        <v>32.729999999999997</v>
      </c>
      <c r="K386">
        <v>238.47</v>
      </c>
      <c r="L386" t="s">
        <v>19</v>
      </c>
      <c r="M386" t="s">
        <v>27</v>
      </c>
      <c r="N386" t="s">
        <v>58</v>
      </c>
    </row>
    <row r="387" spans="1:14" x14ac:dyDescent="0.25">
      <c r="A387" t="s">
        <v>540</v>
      </c>
      <c r="B387" t="s">
        <v>838</v>
      </c>
      <c r="C387" t="s">
        <v>105</v>
      </c>
      <c r="D387" t="s">
        <v>77</v>
      </c>
      <c r="E387" t="s">
        <v>63</v>
      </c>
      <c r="F387" t="s">
        <v>37</v>
      </c>
      <c r="G387">
        <v>45</v>
      </c>
      <c r="H387">
        <v>21.71</v>
      </c>
      <c r="I387">
        <v>976.95</v>
      </c>
      <c r="J387">
        <v>51.6</v>
      </c>
      <c r="K387">
        <v>351.6</v>
      </c>
      <c r="L387" t="s">
        <v>19</v>
      </c>
      <c r="M387" t="s">
        <v>20</v>
      </c>
      <c r="N387" t="s">
        <v>58</v>
      </c>
    </row>
    <row r="388" spans="1:14" x14ac:dyDescent="0.25">
      <c r="A388" t="s">
        <v>541</v>
      </c>
      <c r="B388" t="s">
        <v>837</v>
      </c>
      <c r="C388" t="s">
        <v>181</v>
      </c>
      <c r="D388" t="s">
        <v>151</v>
      </c>
      <c r="E388" t="s">
        <v>56</v>
      </c>
      <c r="F388" t="s">
        <v>57</v>
      </c>
      <c r="G388">
        <v>8</v>
      </c>
      <c r="H388">
        <v>31.07</v>
      </c>
      <c r="I388">
        <v>248.56</v>
      </c>
      <c r="J388">
        <v>10.97</v>
      </c>
      <c r="K388">
        <v>37.590000000000003</v>
      </c>
      <c r="L388" t="s">
        <v>19</v>
      </c>
      <c r="M388" t="s">
        <v>27</v>
      </c>
      <c r="N388" t="s">
        <v>28</v>
      </c>
    </row>
    <row r="389" spans="1:14" x14ac:dyDescent="0.25">
      <c r="A389" t="s">
        <v>542</v>
      </c>
      <c r="B389" t="s">
        <v>794</v>
      </c>
      <c r="C389" t="s">
        <v>231</v>
      </c>
      <c r="D389" t="s">
        <v>106</v>
      </c>
      <c r="E389" t="s">
        <v>63</v>
      </c>
      <c r="F389" t="s">
        <v>37</v>
      </c>
      <c r="G389">
        <v>47</v>
      </c>
      <c r="H389">
        <v>21.93</v>
      </c>
      <c r="I389">
        <v>1030.71</v>
      </c>
      <c r="J389">
        <v>70.989999999999995</v>
      </c>
      <c r="K389">
        <v>360.47</v>
      </c>
      <c r="L389" t="s">
        <v>38</v>
      </c>
      <c r="M389" t="s">
        <v>20</v>
      </c>
      <c r="N389" t="s">
        <v>28</v>
      </c>
    </row>
    <row r="390" spans="1:14" x14ac:dyDescent="0.25">
      <c r="A390" t="s">
        <v>543</v>
      </c>
      <c r="B390" t="s">
        <v>836</v>
      </c>
      <c r="C390" t="s">
        <v>102</v>
      </c>
      <c r="D390" t="s">
        <v>106</v>
      </c>
      <c r="E390" t="s">
        <v>63</v>
      </c>
      <c r="F390" t="s">
        <v>37</v>
      </c>
      <c r="G390">
        <v>46</v>
      </c>
      <c r="H390">
        <v>21.46</v>
      </c>
      <c r="I390">
        <v>987.16</v>
      </c>
      <c r="J390">
        <v>21.64</v>
      </c>
      <c r="K390">
        <v>379.02</v>
      </c>
      <c r="L390" t="s">
        <v>26</v>
      </c>
      <c r="M390" t="s">
        <v>20</v>
      </c>
      <c r="N390" t="s">
        <v>28</v>
      </c>
    </row>
    <row r="391" spans="1:14" x14ac:dyDescent="0.25">
      <c r="A391" t="s">
        <v>544</v>
      </c>
      <c r="B391" t="s">
        <v>835</v>
      </c>
      <c r="C391" t="s">
        <v>76</v>
      </c>
      <c r="D391" t="s">
        <v>16</v>
      </c>
      <c r="E391" t="s">
        <v>83</v>
      </c>
      <c r="F391" t="s">
        <v>52</v>
      </c>
      <c r="G391">
        <v>45</v>
      </c>
      <c r="H391">
        <v>47.1</v>
      </c>
      <c r="I391">
        <v>2119.5</v>
      </c>
      <c r="J391">
        <v>120.16</v>
      </c>
      <c r="K391">
        <v>739.34</v>
      </c>
      <c r="L391" t="s">
        <v>26</v>
      </c>
      <c r="M391" t="s">
        <v>27</v>
      </c>
      <c r="N391" t="s">
        <v>21</v>
      </c>
    </row>
    <row r="392" spans="1:14" x14ac:dyDescent="0.25">
      <c r="A392" t="s">
        <v>545</v>
      </c>
      <c r="B392" t="s">
        <v>780</v>
      </c>
      <c r="C392" t="s">
        <v>15</v>
      </c>
      <c r="D392" t="s">
        <v>177</v>
      </c>
      <c r="E392" t="s">
        <v>17</v>
      </c>
      <c r="F392" t="s">
        <v>18</v>
      </c>
      <c r="G392">
        <v>2</v>
      </c>
      <c r="H392">
        <v>58.32</v>
      </c>
      <c r="I392">
        <v>116.64</v>
      </c>
      <c r="J392">
        <v>8.99</v>
      </c>
      <c r="K392">
        <v>37.65</v>
      </c>
      <c r="L392" t="s">
        <v>19</v>
      </c>
      <c r="M392" t="s">
        <v>27</v>
      </c>
      <c r="N392" t="s">
        <v>58</v>
      </c>
    </row>
    <row r="393" spans="1:14" x14ac:dyDescent="0.25">
      <c r="A393" t="s">
        <v>546</v>
      </c>
      <c r="B393" t="s">
        <v>834</v>
      </c>
      <c r="C393" t="s">
        <v>300</v>
      </c>
      <c r="D393" t="s">
        <v>106</v>
      </c>
      <c r="E393" t="s">
        <v>17</v>
      </c>
      <c r="F393" t="s">
        <v>18</v>
      </c>
      <c r="G393">
        <v>31</v>
      </c>
      <c r="H393">
        <v>61.34</v>
      </c>
      <c r="I393">
        <v>1901.54</v>
      </c>
      <c r="J393">
        <v>147.43</v>
      </c>
      <c r="K393">
        <v>669.11</v>
      </c>
      <c r="L393" t="s">
        <v>26</v>
      </c>
      <c r="M393" t="s">
        <v>20</v>
      </c>
      <c r="N393" t="s">
        <v>28</v>
      </c>
    </row>
    <row r="394" spans="1:14" x14ac:dyDescent="0.25">
      <c r="A394" t="s">
        <v>547</v>
      </c>
      <c r="B394" t="s">
        <v>833</v>
      </c>
      <c r="C394" t="s">
        <v>166</v>
      </c>
      <c r="D394" t="s">
        <v>42</v>
      </c>
      <c r="E394" t="s">
        <v>56</v>
      </c>
      <c r="F394" t="s">
        <v>57</v>
      </c>
      <c r="G394">
        <v>15</v>
      </c>
      <c r="H394">
        <v>43.9</v>
      </c>
      <c r="I394">
        <v>658.5</v>
      </c>
      <c r="J394">
        <v>36.479999999999997</v>
      </c>
      <c r="K394">
        <v>247.02</v>
      </c>
      <c r="L394" t="s">
        <v>38</v>
      </c>
      <c r="M394" t="s">
        <v>27</v>
      </c>
      <c r="N394" t="s">
        <v>21</v>
      </c>
    </row>
    <row r="395" spans="1:14" x14ac:dyDescent="0.25">
      <c r="A395" t="s">
        <v>548</v>
      </c>
      <c r="B395" t="s">
        <v>832</v>
      </c>
      <c r="C395" t="s">
        <v>166</v>
      </c>
      <c r="D395" t="s">
        <v>31</v>
      </c>
      <c r="E395" t="s">
        <v>63</v>
      </c>
      <c r="F395" t="s">
        <v>37</v>
      </c>
      <c r="G395">
        <v>4</v>
      </c>
      <c r="H395">
        <v>20.53</v>
      </c>
      <c r="I395">
        <v>82.12</v>
      </c>
      <c r="J395">
        <v>4.05</v>
      </c>
      <c r="K395">
        <v>27.07</v>
      </c>
      <c r="L395" t="s">
        <v>19</v>
      </c>
      <c r="M395" t="s">
        <v>32</v>
      </c>
      <c r="N395" t="s">
        <v>28</v>
      </c>
    </row>
    <row r="396" spans="1:14" x14ac:dyDescent="0.25">
      <c r="A396" t="s">
        <v>549</v>
      </c>
      <c r="B396" t="s">
        <v>831</v>
      </c>
      <c r="C396" t="s">
        <v>149</v>
      </c>
      <c r="D396" t="s">
        <v>129</v>
      </c>
      <c r="E396" t="s">
        <v>48</v>
      </c>
      <c r="F396" t="s">
        <v>37</v>
      </c>
      <c r="G396">
        <v>6</v>
      </c>
      <c r="H396">
        <v>24.7</v>
      </c>
      <c r="I396">
        <v>148.19999999999999</v>
      </c>
      <c r="J396">
        <v>3.76</v>
      </c>
      <c r="K396">
        <v>24.44</v>
      </c>
      <c r="L396" t="s">
        <v>38</v>
      </c>
      <c r="M396" t="s">
        <v>20</v>
      </c>
      <c r="N396" t="s">
        <v>130</v>
      </c>
    </row>
    <row r="397" spans="1:14" x14ac:dyDescent="0.25">
      <c r="A397" t="s">
        <v>550</v>
      </c>
      <c r="B397" t="s">
        <v>830</v>
      </c>
      <c r="C397" t="s">
        <v>330</v>
      </c>
      <c r="D397" t="s">
        <v>35</v>
      </c>
      <c r="E397" t="s">
        <v>63</v>
      </c>
      <c r="F397" t="s">
        <v>37</v>
      </c>
      <c r="G397">
        <v>19</v>
      </c>
      <c r="H397">
        <v>19.170000000000002</v>
      </c>
      <c r="I397">
        <v>364.23</v>
      </c>
      <c r="J397">
        <v>15.16</v>
      </c>
      <c r="K397">
        <v>106.82</v>
      </c>
      <c r="L397" t="s">
        <v>26</v>
      </c>
      <c r="M397" t="s">
        <v>27</v>
      </c>
      <c r="N397" t="s">
        <v>39</v>
      </c>
    </row>
    <row r="398" spans="1:14" x14ac:dyDescent="0.25">
      <c r="A398" t="s">
        <v>551</v>
      </c>
      <c r="B398" t="s">
        <v>758</v>
      </c>
      <c r="C398" t="s">
        <v>399</v>
      </c>
      <c r="D398" t="s">
        <v>55</v>
      </c>
      <c r="E398" t="s">
        <v>43</v>
      </c>
      <c r="F398" t="s">
        <v>44</v>
      </c>
      <c r="G398">
        <v>2</v>
      </c>
      <c r="H398">
        <v>55.28</v>
      </c>
      <c r="I398">
        <v>110.56</v>
      </c>
      <c r="J398">
        <v>5.37</v>
      </c>
      <c r="K398">
        <v>25.19</v>
      </c>
      <c r="L398" t="s">
        <v>38</v>
      </c>
      <c r="M398" t="s">
        <v>27</v>
      </c>
      <c r="N398" t="s">
        <v>58</v>
      </c>
    </row>
    <row r="399" spans="1:14" x14ac:dyDescent="0.25">
      <c r="A399" t="s">
        <v>552</v>
      </c>
      <c r="B399" t="s">
        <v>787</v>
      </c>
      <c r="C399" t="s">
        <v>211</v>
      </c>
      <c r="D399" t="s">
        <v>35</v>
      </c>
      <c r="E399" t="s">
        <v>56</v>
      </c>
      <c r="F399" t="s">
        <v>57</v>
      </c>
      <c r="G399">
        <v>49</v>
      </c>
      <c r="H399">
        <v>43.91</v>
      </c>
      <c r="I399">
        <v>2151.59</v>
      </c>
      <c r="J399">
        <v>63.55</v>
      </c>
      <c r="K399">
        <v>863.04</v>
      </c>
      <c r="L399" t="s">
        <v>19</v>
      </c>
      <c r="M399" t="s">
        <v>27</v>
      </c>
      <c r="N399" t="s">
        <v>39</v>
      </c>
    </row>
    <row r="400" spans="1:14" x14ac:dyDescent="0.25">
      <c r="A400" t="s">
        <v>553</v>
      </c>
      <c r="B400" t="s">
        <v>829</v>
      </c>
      <c r="C400" t="s">
        <v>193</v>
      </c>
      <c r="D400" t="s">
        <v>35</v>
      </c>
      <c r="E400" t="s">
        <v>56</v>
      </c>
      <c r="F400" t="s">
        <v>57</v>
      </c>
      <c r="G400">
        <v>29</v>
      </c>
      <c r="H400">
        <v>41.84</v>
      </c>
      <c r="I400">
        <v>1213.3599999999999</v>
      </c>
      <c r="J400">
        <v>56.83</v>
      </c>
      <c r="K400">
        <v>431.53</v>
      </c>
      <c r="L400" t="s">
        <v>38</v>
      </c>
      <c r="M400" t="s">
        <v>32</v>
      </c>
      <c r="N400" t="s">
        <v>39</v>
      </c>
    </row>
    <row r="401" spans="1:14" x14ac:dyDescent="0.25">
      <c r="A401" t="s">
        <v>554</v>
      </c>
      <c r="B401" t="s">
        <v>828</v>
      </c>
      <c r="C401" t="s">
        <v>176</v>
      </c>
      <c r="D401" t="s">
        <v>86</v>
      </c>
      <c r="E401" t="s">
        <v>60</v>
      </c>
      <c r="F401" t="s">
        <v>52</v>
      </c>
      <c r="G401">
        <v>43</v>
      </c>
      <c r="H401">
        <v>27.41</v>
      </c>
      <c r="I401">
        <v>1178.6300000000001</v>
      </c>
      <c r="J401">
        <v>55.82</v>
      </c>
      <c r="K401">
        <v>456.31</v>
      </c>
      <c r="L401" t="s">
        <v>38</v>
      </c>
      <c r="M401" t="s">
        <v>27</v>
      </c>
      <c r="N401" t="s">
        <v>87</v>
      </c>
    </row>
    <row r="402" spans="1:14" x14ac:dyDescent="0.25">
      <c r="A402" t="s">
        <v>555</v>
      </c>
      <c r="B402" t="s">
        <v>827</v>
      </c>
      <c r="C402" t="s">
        <v>473</v>
      </c>
      <c r="D402" t="s">
        <v>47</v>
      </c>
      <c r="E402" t="s">
        <v>48</v>
      </c>
      <c r="F402" t="s">
        <v>37</v>
      </c>
      <c r="G402">
        <v>28</v>
      </c>
      <c r="H402">
        <v>31.84</v>
      </c>
      <c r="I402">
        <v>891.52</v>
      </c>
      <c r="J402">
        <v>54.24</v>
      </c>
      <c r="K402">
        <v>277.27999999999997</v>
      </c>
      <c r="L402" t="s">
        <v>19</v>
      </c>
      <c r="M402" t="s">
        <v>27</v>
      </c>
      <c r="N402" t="s">
        <v>21</v>
      </c>
    </row>
    <row r="403" spans="1:14" x14ac:dyDescent="0.25">
      <c r="A403" t="s">
        <v>556</v>
      </c>
      <c r="B403" t="s">
        <v>826</v>
      </c>
      <c r="C403" t="s">
        <v>291</v>
      </c>
      <c r="D403" t="s">
        <v>55</v>
      </c>
      <c r="E403" t="s">
        <v>56</v>
      </c>
      <c r="F403" t="s">
        <v>57</v>
      </c>
      <c r="G403">
        <v>42</v>
      </c>
      <c r="H403">
        <v>35.840000000000003</v>
      </c>
      <c r="I403">
        <v>1505.28</v>
      </c>
      <c r="J403">
        <v>60.65</v>
      </c>
      <c r="K403">
        <v>394.63</v>
      </c>
      <c r="L403" t="s">
        <v>38</v>
      </c>
      <c r="M403" t="s">
        <v>27</v>
      </c>
      <c r="N403" t="s">
        <v>58</v>
      </c>
    </row>
    <row r="404" spans="1:14" x14ac:dyDescent="0.25">
      <c r="A404" t="s">
        <v>557</v>
      </c>
      <c r="B404" t="s">
        <v>825</v>
      </c>
      <c r="C404" t="s">
        <v>62</v>
      </c>
      <c r="D404" t="s">
        <v>69</v>
      </c>
      <c r="E404" t="s">
        <v>51</v>
      </c>
      <c r="F404" t="s">
        <v>52</v>
      </c>
      <c r="G404">
        <v>22</v>
      </c>
      <c r="H404">
        <v>30.55</v>
      </c>
      <c r="I404">
        <v>672.1</v>
      </c>
      <c r="J404">
        <v>46.8</v>
      </c>
      <c r="K404">
        <v>130.30000000000001</v>
      </c>
      <c r="L404" t="s">
        <v>26</v>
      </c>
      <c r="M404" t="s">
        <v>32</v>
      </c>
      <c r="N404" t="s">
        <v>58</v>
      </c>
    </row>
    <row r="405" spans="1:14" x14ac:dyDescent="0.25">
      <c r="A405" t="s">
        <v>558</v>
      </c>
      <c r="B405" t="s">
        <v>824</v>
      </c>
      <c r="C405" t="s">
        <v>221</v>
      </c>
      <c r="D405" t="s">
        <v>77</v>
      </c>
      <c r="E405" t="s">
        <v>83</v>
      </c>
      <c r="F405" t="s">
        <v>52</v>
      </c>
      <c r="G405">
        <v>13</v>
      </c>
      <c r="H405">
        <v>45.16</v>
      </c>
      <c r="I405">
        <v>587.08000000000004</v>
      </c>
      <c r="J405">
        <v>29.68</v>
      </c>
      <c r="K405">
        <v>193.4</v>
      </c>
      <c r="L405" t="s">
        <v>26</v>
      </c>
      <c r="M405" t="s">
        <v>27</v>
      </c>
      <c r="N405" t="s">
        <v>58</v>
      </c>
    </row>
    <row r="406" spans="1:14" x14ac:dyDescent="0.25">
      <c r="A406" t="s">
        <v>559</v>
      </c>
      <c r="B406" t="s">
        <v>823</v>
      </c>
      <c r="C406" t="s">
        <v>142</v>
      </c>
      <c r="D406" t="s">
        <v>129</v>
      </c>
      <c r="E406" t="s">
        <v>17</v>
      </c>
      <c r="F406" t="s">
        <v>18</v>
      </c>
      <c r="G406">
        <v>40</v>
      </c>
      <c r="H406">
        <v>45.23</v>
      </c>
      <c r="I406">
        <v>1809.2</v>
      </c>
      <c r="J406">
        <v>136.25</v>
      </c>
      <c r="K406">
        <v>272.95</v>
      </c>
      <c r="L406" t="s">
        <v>38</v>
      </c>
      <c r="M406" t="s">
        <v>32</v>
      </c>
      <c r="N406" t="s">
        <v>130</v>
      </c>
    </row>
    <row r="407" spans="1:14" x14ac:dyDescent="0.25">
      <c r="A407" t="s">
        <v>560</v>
      </c>
      <c r="B407" t="s">
        <v>822</v>
      </c>
      <c r="C407" t="s">
        <v>257</v>
      </c>
      <c r="D407" t="s">
        <v>77</v>
      </c>
      <c r="E407" t="s">
        <v>25</v>
      </c>
      <c r="F407" t="s">
        <v>18</v>
      </c>
      <c r="G407">
        <v>41</v>
      </c>
      <c r="H407">
        <v>22.78</v>
      </c>
      <c r="I407">
        <v>933.98</v>
      </c>
      <c r="J407">
        <v>38.369999999999997</v>
      </c>
      <c r="K407">
        <v>157.61000000000001</v>
      </c>
      <c r="L407" t="s">
        <v>26</v>
      </c>
      <c r="M407" t="s">
        <v>20</v>
      </c>
      <c r="N407" t="s">
        <v>58</v>
      </c>
    </row>
    <row r="408" spans="1:14" x14ac:dyDescent="0.25">
      <c r="A408" t="s">
        <v>561</v>
      </c>
      <c r="B408" t="s">
        <v>821</v>
      </c>
      <c r="C408" t="s">
        <v>102</v>
      </c>
      <c r="D408" t="s">
        <v>106</v>
      </c>
      <c r="E408" t="s">
        <v>60</v>
      </c>
      <c r="F408" t="s">
        <v>52</v>
      </c>
      <c r="G408">
        <v>34</v>
      </c>
      <c r="H408">
        <v>24.21</v>
      </c>
      <c r="I408">
        <v>823.14</v>
      </c>
      <c r="J408">
        <v>58.25</v>
      </c>
      <c r="K408">
        <v>237.89</v>
      </c>
      <c r="L408" t="s">
        <v>19</v>
      </c>
      <c r="M408" t="s">
        <v>20</v>
      </c>
      <c r="N408" t="s">
        <v>28</v>
      </c>
    </row>
    <row r="409" spans="1:14" x14ac:dyDescent="0.25">
      <c r="A409" t="s">
        <v>562</v>
      </c>
      <c r="B409" t="s">
        <v>820</v>
      </c>
      <c r="C409" t="s">
        <v>115</v>
      </c>
      <c r="D409" t="s">
        <v>24</v>
      </c>
      <c r="E409" t="s">
        <v>48</v>
      </c>
      <c r="F409" t="s">
        <v>37</v>
      </c>
      <c r="G409">
        <v>46</v>
      </c>
      <c r="H409">
        <v>34.64</v>
      </c>
      <c r="I409">
        <v>1593.44</v>
      </c>
      <c r="J409">
        <v>45.93</v>
      </c>
      <c r="K409">
        <v>627.51</v>
      </c>
      <c r="L409" t="s">
        <v>38</v>
      </c>
      <c r="M409" t="s">
        <v>20</v>
      </c>
      <c r="N409" t="s">
        <v>28</v>
      </c>
    </row>
    <row r="410" spans="1:14" x14ac:dyDescent="0.25">
      <c r="A410" t="s">
        <v>563</v>
      </c>
      <c r="B410" t="s">
        <v>819</v>
      </c>
      <c r="C410" t="s">
        <v>142</v>
      </c>
      <c r="D410" t="s">
        <v>42</v>
      </c>
      <c r="E410" t="s">
        <v>48</v>
      </c>
      <c r="F410" t="s">
        <v>37</v>
      </c>
      <c r="G410">
        <v>10</v>
      </c>
      <c r="H410">
        <v>27.06</v>
      </c>
      <c r="I410">
        <v>270.60000000000002</v>
      </c>
      <c r="J410">
        <v>15.35</v>
      </c>
      <c r="K410">
        <v>55.25</v>
      </c>
      <c r="L410" t="s">
        <v>19</v>
      </c>
      <c r="M410" t="s">
        <v>32</v>
      </c>
      <c r="N410" t="s">
        <v>21</v>
      </c>
    </row>
    <row r="411" spans="1:14" x14ac:dyDescent="0.25">
      <c r="A411" t="s">
        <v>564</v>
      </c>
      <c r="B411" t="s">
        <v>818</v>
      </c>
      <c r="C411" t="s">
        <v>139</v>
      </c>
      <c r="D411" t="s">
        <v>24</v>
      </c>
      <c r="E411" t="s">
        <v>25</v>
      </c>
      <c r="F411" t="s">
        <v>18</v>
      </c>
      <c r="G411">
        <v>11</v>
      </c>
      <c r="H411">
        <v>27.74</v>
      </c>
      <c r="I411">
        <v>305.14</v>
      </c>
      <c r="J411">
        <v>10.81</v>
      </c>
      <c r="K411">
        <v>96.33</v>
      </c>
      <c r="L411" t="s">
        <v>26</v>
      </c>
      <c r="M411" t="s">
        <v>32</v>
      </c>
      <c r="N411" t="s">
        <v>28</v>
      </c>
    </row>
    <row r="412" spans="1:14" x14ac:dyDescent="0.25">
      <c r="A412" t="s">
        <v>565</v>
      </c>
      <c r="B412" t="s">
        <v>817</v>
      </c>
      <c r="C412" t="s">
        <v>97</v>
      </c>
      <c r="D412" t="s">
        <v>42</v>
      </c>
      <c r="E412" t="s">
        <v>83</v>
      </c>
      <c r="F412" t="s">
        <v>52</v>
      </c>
      <c r="G412">
        <v>29</v>
      </c>
      <c r="H412">
        <v>38.08</v>
      </c>
      <c r="I412">
        <v>1104.32</v>
      </c>
      <c r="J412">
        <v>25.63</v>
      </c>
      <c r="K412">
        <v>266.69</v>
      </c>
      <c r="L412" t="s">
        <v>26</v>
      </c>
      <c r="M412" t="s">
        <v>32</v>
      </c>
      <c r="N412" t="s">
        <v>21</v>
      </c>
    </row>
    <row r="413" spans="1:14" x14ac:dyDescent="0.25">
      <c r="A413" t="s">
        <v>566</v>
      </c>
      <c r="B413" t="s">
        <v>816</v>
      </c>
      <c r="C413" t="s">
        <v>119</v>
      </c>
      <c r="D413" t="s">
        <v>42</v>
      </c>
      <c r="E413" t="s">
        <v>83</v>
      </c>
      <c r="F413" t="s">
        <v>52</v>
      </c>
      <c r="G413">
        <v>18</v>
      </c>
      <c r="H413">
        <v>43.65</v>
      </c>
      <c r="I413">
        <v>785.7</v>
      </c>
      <c r="J413">
        <v>54.52</v>
      </c>
      <c r="K413">
        <v>227.18</v>
      </c>
      <c r="L413" t="s">
        <v>26</v>
      </c>
      <c r="M413" t="s">
        <v>20</v>
      </c>
      <c r="N413" t="s">
        <v>21</v>
      </c>
    </row>
    <row r="414" spans="1:14" x14ac:dyDescent="0.25">
      <c r="A414" t="s">
        <v>567</v>
      </c>
      <c r="B414" t="s">
        <v>815</v>
      </c>
      <c r="C414" t="s">
        <v>354</v>
      </c>
      <c r="D414" t="s">
        <v>106</v>
      </c>
      <c r="E414" t="s">
        <v>17</v>
      </c>
      <c r="F414" t="s">
        <v>18</v>
      </c>
      <c r="G414">
        <v>49</v>
      </c>
      <c r="H414">
        <v>51.97</v>
      </c>
      <c r="I414">
        <v>2546.5300000000002</v>
      </c>
      <c r="J414">
        <v>112.26</v>
      </c>
      <c r="K414">
        <v>719.27</v>
      </c>
      <c r="L414" t="s">
        <v>26</v>
      </c>
      <c r="M414" t="s">
        <v>27</v>
      </c>
      <c r="N414" t="s">
        <v>28</v>
      </c>
    </row>
    <row r="415" spans="1:14" x14ac:dyDescent="0.25">
      <c r="A415" t="s">
        <v>568</v>
      </c>
      <c r="B415" t="s">
        <v>814</v>
      </c>
      <c r="C415" t="s">
        <v>123</v>
      </c>
      <c r="D415" t="s">
        <v>69</v>
      </c>
      <c r="E415" t="s">
        <v>56</v>
      </c>
      <c r="F415" t="s">
        <v>57</v>
      </c>
      <c r="G415">
        <v>13</v>
      </c>
      <c r="H415">
        <v>36.85</v>
      </c>
      <c r="I415">
        <v>479.05</v>
      </c>
      <c r="J415">
        <v>10.15</v>
      </c>
      <c r="K415">
        <v>143.9</v>
      </c>
      <c r="L415" t="s">
        <v>19</v>
      </c>
      <c r="M415" t="s">
        <v>32</v>
      </c>
      <c r="N415" t="s">
        <v>58</v>
      </c>
    </row>
    <row r="416" spans="1:14" x14ac:dyDescent="0.25">
      <c r="A416" t="s">
        <v>569</v>
      </c>
      <c r="B416" t="s">
        <v>813</v>
      </c>
      <c r="C416" t="s">
        <v>73</v>
      </c>
      <c r="D416" t="s">
        <v>42</v>
      </c>
      <c r="E416" t="s">
        <v>36</v>
      </c>
      <c r="F416" t="s">
        <v>37</v>
      </c>
      <c r="G416">
        <v>33</v>
      </c>
      <c r="H416">
        <v>38.520000000000003</v>
      </c>
      <c r="I416">
        <v>1271.1600000000001</v>
      </c>
      <c r="J416">
        <v>81.459999999999994</v>
      </c>
      <c r="K416">
        <v>133.69999999999999</v>
      </c>
      <c r="L416" t="s">
        <v>19</v>
      </c>
      <c r="M416" t="s">
        <v>20</v>
      </c>
      <c r="N416" t="s">
        <v>21</v>
      </c>
    </row>
    <row r="417" spans="1:14" x14ac:dyDescent="0.25">
      <c r="A417" t="s">
        <v>570</v>
      </c>
      <c r="B417" t="s">
        <v>812</v>
      </c>
      <c r="C417" t="s">
        <v>240</v>
      </c>
      <c r="D417" t="s">
        <v>55</v>
      </c>
      <c r="E417" t="s">
        <v>60</v>
      </c>
      <c r="F417" t="s">
        <v>52</v>
      </c>
      <c r="G417">
        <v>41</v>
      </c>
      <c r="H417">
        <v>26.98</v>
      </c>
      <c r="I417">
        <v>1106.18</v>
      </c>
      <c r="J417">
        <v>51.77</v>
      </c>
      <c r="K417">
        <v>418.91</v>
      </c>
      <c r="L417" t="s">
        <v>38</v>
      </c>
      <c r="M417" t="s">
        <v>27</v>
      </c>
      <c r="N417" t="s">
        <v>58</v>
      </c>
    </row>
    <row r="418" spans="1:14" x14ac:dyDescent="0.25">
      <c r="A418" t="s">
        <v>571</v>
      </c>
      <c r="B418" t="s">
        <v>811</v>
      </c>
      <c r="C418" t="s">
        <v>97</v>
      </c>
      <c r="D418" t="s">
        <v>106</v>
      </c>
      <c r="E418" t="s">
        <v>60</v>
      </c>
      <c r="F418" t="s">
        <v>52</v>
      </c>
      <c r="G418">
        <v>4</v>
      </c>
      <c r="H418">
        <v>23.56</v>
      </c>
      <c r="I418">
        <v>94.24</v>
      </c>
      <c r="J418">
        <v>7.03</v>
      </c>
      <c r="K418">
        <v>25.21</v>
      </c>
      <c r="L418" t="s">
        <v>38</v>
      </c>
      <c r="M418" t="s">
        <v>32</v>
      </c>
      <c r="N418" t="s">
        <v>28</v>
      </c>
    </row>
    <row r="419" spans="1:14" x14ac:dyDescent="0.25">
      <c r="A419" t="s">
        <v>572</v>
      </c>
      <c r="B419" t="s">
        <v>810</v>
      </c>
      <c r="C419" t="s">
        <v>297</v>
      </c>
      <c r="D419" t="s">
        <v>177</v>
      </c>
      <c r="E419" t="s">
        <v>36</v>
      </c>
      <c r="F419" t="s">
        <v>37</v>
      </c>
      <c r="G419">
        <v>17</v>
      </c>
      <c r="H419">
        <v>57.14</v>
      </c>
      <c r="I419">
        <v>971.38</v>
      </c>
      <c r="J419">
        <v>70.010000000000005</v>
      </c>
      <c r="K419">
        <v>357.37</v>
      </c>
      <c r="L419" t="s">
        <v>38</v>
      </c>
      <c r="M419" t="s">
        <v>27</v>
      </c>
      <c r="N419" t="s">
        <v>58</v>
      </c>
    </row>
    <row r="420" spans="1:14" x14ac:dyDescent="0.25">
      <c r="A420" t="s">
        <v>573</v>
      </c>
      <c r="B420" t="s">
        <v>809</v>
      </c>
      <c r="C420" t="s">
        <v>113</v>
      </c>
      <c r="D420" t="s">
        <v>129</v>
      </c>
      <c r="E420" t="s">
        <v>56</v>
      </c>
      <c r="F420" t="s">
        <v>57</v>
      </c>
      <c r="G420">
        <v>44</v>
      </c>
      <c r="H420">
        <v>38.14</v>
      </c>
      <c r="I420">
        <v>1678.16</v>
      </c>
      <c r="J420">
        <v>124.49</v>
      </c>
      <c r="K420">
        <v>453.67</v>
      </c>
      <c r="L420" t="s">
        <v>38</v>
      </c>
      <c r="M420" t="s">
        <v>20</v>
      </c>
      <c r="N420" t="s">
        <v>130</v>
      </c>
    </row>
    <row r="421" spans="1:14" x14ac:dyDescent="0.25">
      <c r="A421" t="s">
        <v>574</v>
      </c>
      <c r="B421" t="s">
        <v>808</v>
      </c>
      <c r="C421" t="s">
        <v>102</v>
      </c>
      <c r="D421" t="s">
        <v>86</v>
      </c>
      <c r="E421" t="s">
        <v>25</v>
      </c>
      <c r="F421" t="s">
        <v>18</v>
      </c>
      <c r="G421">
        <v>14</v>
      </c>
      <c r="H421">
        <v>24</v>
      </c>
      <c r="I421">
        <v>336</v>
      </c>
      <c r="J421">
        <v>22.88</v>
      </c>
      <c r="K421">
        <v>61.12</v>
      </c>
      <c r="L421" t="s">
        <v>26</v>
      </c>
      <c r="M421" t="s">
        <v>27</v>
      </c>
      <c r="N421" t="s">
        <v>87</v>
      </c>
    </row>
    <row r="422" spans="1:14" x14ac:dyDescent="0.25">
      <c r="A422" t="s">
        <v>575</v>
      </c>
      <c r="B422" t="s">
        <v>807</v>
      </c>
      <c r="C422" t="s">
        <v>76</v>
      </c>
      <c r="D422" t="s">
        <v>55</v>
      </c>
      <c r="E422" t="s">
        <v>60</v>
      </c>
      <c r="F422" t="s">
        <v>52</v>
      </c>
      <c r="G422">
        <v>50</v>
      </c>
      <c r="H422">
        <v>26.91</v>
      </c>
      <c r="I422">
        <v>1345.5</v>
      </c>
      <c r="J422">
        <v>91.7</v>
      </c>
      <c r="K422">
        <v>478.8</v>
      </c>
      <c r="L422" t="s">
        <v>38</v>
      </c>
      <c r="M422" t="s">
        <v>20</v>
      </c>
      <c r="N422" t="s">
        <v>58</v>
      </c>
    </row>
    <row r="423" spans="1:14" x14ac:dyDescent="0.25">
      <c r="A423" t="s">
        <v>576</v>
      </c>
      <c r="B423" t="s">
        <v>782</v>
      </c>
      <c r="C423" t="s">
        <v>286</v>
      </c>
      <c r="D423" t="s">
        <v>31</v>
      </c>
      <c r="E423" t="s">
        <v>43</v>
      </c>
      <c r="F423" t="s">
        <v>44</v>
      </c>
      <c r="G423">
        <v>7</v>
      </c>
      <c r="H423">
        <v>59.41</v>
      </c>
      <c r="I423">
        <v>415.87</v>
      </c>
      <c r="J423">
        <v>25.51</v>
      </c>
      <c r="K423">
        <v>110.36</v>
      </c>
      <c r="L423" t="s">
        <v>19</v>
      </c>
      <c r="M423" t="s">
        <v>32</v>
      </c>
      <c r="N423" t="s">
        <v>28</v>
      </c>
    </row>
    <row r="424" spans="1:14" x14ac:dyDescent="0.25">
      <c r="A424" t="s">
        <v>577</v>
      </c>
      <c r="B424" t="s">
        <v>806</v>
      </c>
      <c r="C424" t="s">
        <v>249</v>
      </c>
      <c r="D424" t="s">
        <v>77</v>
      </c>
      <c r="E424" t="s">
        <v>56</v>
      </c>
      <c r="F424" t="s">
        <v>57</v>
      </c>
      <c r="G424">
        <v>48</v>
      </c>
      <c r="H424">
        <v>37.31</v>
      </c>
      <c r="I424">
        <v>1790.88</v>
      </c>
      <c r="J424">
        <v>67.45</v>
      </c>
      <c r="K424">
        <v>523.42999999999995</v>
      </c>
      <c r="L424" t="s">
        <v>19</v>
      </c>
      <c r="M424" t="s">
        <v>27</v>
      </c>
      <c r="N424" t="s">
        <v>58</v>
      </c>
    </row>
    <row r="425" spans="1:14" x14ac:dyDescent="0.25">
      <c r="A425" t="s">
        <v>578</v>
      </c>
      <c r="B425" t="s">
        <v>805</v>
      </c>
      <c r="C425" t="s">
        <v>179</v>
      </c>
      <c r="D425" t="s">
        <v>74</v>
      </c>
      <c r="E425" t="s">
        <v>43</v>
      </c>
      <c r="F425" t="s">
        <v>44</v>
      </c>
      <c r="G425">
        <v>38</v>
      </c>
      <c r="H425">
        <v>52.91</v>
      </c>
      <c r="I425">
        <v>2010.58</v>
      </c>
      <c r="J425">
        <v>94.22</v>
      </c>
      <c r="K425">
        <v>396.36</v>
      </c>
      <c r="L425" t="s">
        <v>19</v>
      </c>
      <c r="M425" t="s">
        <v>20</v>
      </c>
      <c r="N425" t="s">
        <v>58</v>
      </c>
    </row>
    <row r="426" spans="1:14" x14ac:dyDescent="0.25">
      <c r="A426" t="s">
        <v>579</v>
      </c>
      <c r="B426" t="s">
        <v>804</v>
      </c>
      <c r="C426" t="s">
        <v>67</v>
      </c>
      <c r="D426" t="s">
        <v>24</v>
      </c>
      <c r="E426" t="s">
        <v>25</v>
      </c>
      <c r="F426" t="s">
        <v>18</v>
      </c>
      <c r="G426">
        <v>14</v>
      </c>
      <c r="H426">
        <v>27.09</v>
      </c>
      <c r="I426">
        <v>379.26</v>
      </c>
      <c r="J426">
        <v>14.42</v>
      </c>
      <c r="K426">
        <v>112.84</v>
      </c>
      <c r="L426" t="s">
        <v>38</v>
      </c>
      <c r="M426" t="s">
        <v>32</v>
      </c>
      <c r="N426" t="s">
        <v>28</v>
      </c>
    </row>
    <row r="427" spans="1:14" x14ac:dyDescent="0.25">
      <c r="A427" t="s">
        <v>580</v>
      </c>
      <c r="B427" t="s">
        <v>803</v>
      </c>
      <c r="C427" t="s">
        <v>113</v>
      </c>
      <c r="D427" t="s">
        <v>77</v>
      </c>
      <c r="E427" t="s">
        <v>51</v>
      </c>
      <c r="F427" t="s">
        <v>52</v>
      </c>
      <c r="G427">
        <v>41</v>
      </c>
      <c r="H427">
        <v>30.52</v>
      </c>
      <c r="I427">
        <v>1251.32</v>
      </c>
      <c r="J427">
        <v>56.88</v>
      </c>
      <c r="K427">
        <v>271.94</v>
      </c>
      <c r="L427" t="s">
        <v>19</v>
      </c>
      <c r="M427" t="s">
        <v>32</v>
      </c>
      <c r="N427" t="s">
        <v>58</v>
      </c>
    </row>
    <row r="428" spans="1:14" x14ac:dyDescent="0.25">
      <c r="A428" t="s">
        <v>581</v>
      </c>
      <c r="B428" t="s">
        <v>802</v>
      </c>
      <c r="C428" t="s">
        <v>231</v>
      </c>
      <c r="D428" t="s">
        <v>42</v>
      </c>
      <c r="E428" t="s">
        <v>83</v>
      </c>
      <c r="F428" t="s">
        <v>52</v>
      </c>
      <c r="G428">
        <v>23</v>
      </c>
      <c r="H428">
        <v>40.94</v>
      </c>
      <c r="I428">
        <v>941.62</v>
      </c>
      <c r="J428">
        <v>71.66</v>
      </c>
      <c r="K428">
        <v>225.96</v>
      </c>
      <c r="L428" t="s">
        <v>26</v>
      </c>
      <c r="M428" t="s">
        <v>32</v>
      </c>
      <c r="N428" t="s">
        <v>21</v>
      </c>
    </row>
    <row r="429" spans="1:14" x14ac:dyDescent="0.25">
      <c r="A429" t="s">
        <v>582</v>
      </c>
      <c r="B429" t="s">
        <v>801</v>
      </c>
      <c r="C429" t="s">
        <v>297</v>
      </c>
      <c r="D429" t="s">
        <v>151</v>
      </c>
      <c r="E429" t="s">
        <v>83</v>
      </c>
      <c r="F429" t="s">
        <v>52</v>
      </c>
      <c r="G429">
        <v>34</v>
      </c>
      <c r="H429">
        <v>41.77</v>
      </c>
      <c r="I429">
        <v>1420.18</v>
      </c>
      <c r="J429">
        <v>112.45</v>
      </c>
      <c r="K429">
        <v>355.73</v>
      </c>
      <c r="L429" t="s">
        <v>26</v>
      </c>
      <c r="M429" t="s">
        <v>32</v>
      </c>
      <c r="N429" t="s">
        <v>28</v>
      </c>
    </row>
    <row r="430" spans="1:14" x14ac:dyDescent="0.25">
      <c r="A430" t="s">
        <v>583</v>
      </c>
      <c r="B430" t="s">
        <v>800</v>
      </c>
      <c r="C430" t="s">
        <v>102</v>
      </c>
      <c r="D430" t="s">
        <v>177</v>
      </c>
      <c r="E430" t="s">
        <v>43</v>
      </c>
      <c r="F430" t="s">
        <v>44</v>
      </c>
      <c r="G430">
        <v>32</v>
      </c>
      <c r="H430">
        <v>69.98</v>
      </c>
      <c r="I430">
        <v>2239.36</v>
      </c>
      <c r="J430">
        <v>133.51</v>
      </c>
      <c r="K430">
        <v>825.85</v>
      </c>
      <c r="L430" t="s">
        <v>38</v>
      </c>
      <c r="M430" t="s">
        <v>20</v>
      </c>
      <c r="N430" t="s">
        <v>58</v>
      </c>
    </row>
    <row r="431" spans="1:14" x14ac:dyDescent="0.25">
      <c r="A431" t="s">
        <v>584</v>
      </c>
      <c r="B431" t="s">
        <v>799</v>
      </c>
      <c r="C431" t="s">
        <v>166</v>
      </c>
      <c r="D431" t="s">
        <v>24</v>
      </c>
      <c r="E431" t="s">
        <v>17</v>
      </c>
      <c r="F431" t="s">
        <v>18</v>
      </c>
      <c r="G431">
        <v>25</v>
      </c>
      <c r="H431">
        <v>42.91</v>
      </c>
      <c r="I431">
        <v>1072.75</v>
      </c>
      <c r="J431">
        <v>80.02</v>
      </c>
      <c r="K431">
        <v>117.73</v>
      </c>
      <c r="L431" t="s">
        <v>26</v>
      </c>
      <c r="M431" t="s">
        <v>27</v>
      </c>
      <c r="N431" t="s">
        <v>28</v>
      </c>
    </row>
    <row r="432" spans="1:14" x14ac:dyDescent="0.25">
      <c r="A432" t="s">
        <v>585</v>
      </c>
      <c r="B432" t="s">
        <v>798</v>
      </c>
      <c r="C432" t="s">
        <v>408</v>
      </c>
      <c r="D432" t="s">
        <v>42</v>
      </c>
      <c r="E432" t="s">
        <v>63</v>
      </c>
      <c r="F432" t="s">
        <v>37</v>
      </c>
      <c r="G432">
        <v>7</v>
      </c>
      <c r="H432">
        <v>22.6</v>
      </c>
      <c r="I432">
        <v>158.19999999999999</v>
      </c>
      <c r="J432">
        <v>7.04</v>
      </c>
      <c r="K432">
        <v>61.91</v>
      </c>
      <c r="L432" t="s">
        <v>38</v>
      </c>
      <c r="M432" t="s">
        <v>20</v>
      </c>
      <c r="N432" t="s">
        <v>21</v>
      </c>
    </row>
    <row r="433" spans="1:14" x14ac:dyDescent="0.25">
      <c r="A433" t="s">
        <v>586</v>
      </c>
      <c r="B433" t="s">
        <v>797</v>
      </c>
      <c r="C433" t="s">
        <v>89</v>
      </c>
      <c r="D433" t="s">
        <v>16</v>
      </c>
      <c r="E433" t="s">
        <v>63</v>
      </c>
      <c r="F433" t="s">
        <v>37</v>
      </c>
      <c r="G433">
        <v>48</v>
      </c>
      <c r="H433">
        <v>19.5</v>
      </c>
      <c r="I433">
        <v>936</v>
      </c>
      <c r="J433">
        <v>70.069999999999993</v>
      </c>
      <c r="K433">
        <v>253.93</v>
      </c>
      <c r="L433" t="s">
        <v>19</v>
      </c>
      <c r="M433" t="s">
        <v>27</v>
      </c>
      <c r="N433" t="s">
        <v>21</v>
      </c>
    </row>
    <row r="434" spans="1:14" x14ac:dyDescent="0.25">
      <c r="A434" t="s">
        <v>587</v>
      </c>
      <c r="B434" t="s">
        <v>796</v>
      </c>
      <c r="C434" t="s">
        <v>30</v>
      </c>
      <c r="D434" t="s">
        <v>129</v>
      </c>
      <c r="E434" t="s">
        <v>43</v>
      </c>
      <c r="F434" t="s">
        <v>44</v>
      </c>
      <c r="G434">
        <v>32</v>
      </c>
      <c r="H434">
        <v>49.97</v>
      </c>
      <c r="I434">
        <v>1599.04</v>
      </c>
      <c r="J434">
        <v>43.1</v>
      </c>
      <c r="K434">
        <v>275.94</v>
      </c>
      <c r="L434" t="s">
        <v>26</v>
      </c>
      <c r="M434" t="s">
        <v>32</v>
      </c>
      <c r="N434" t="s">
        <v>130</v>
      </c>
    </row>
    <row r="435" spans="1:14" x14ac:dyDescent="0.25">
      <c r="A435" t="s">
        <v>588</v>
      </c>
      <c r="B435" t="s">
        <v>795</v>
      </c>
      <c r="C435" t="s">
        <v>15</v>
      </c>
      <c r="D435" t="s">
        <v>106</v>
      </c>
      <c r="E435" t="s">
        <v>60</v>
      </c>
      <c r="F435" t="s">
        <v>52</v>
      </c>
      <c r="G435">
        <v>41</v>
      </c>
      <c r="H435">
        <v>25.62</v>
      </c>
      <c r="I435">
        <v>1050.42</v>
      </c>
      <c r="J435">
        <v>79.2</v>
      </c>
      <c r="K435">
        <v>335.72</v>
      </c>
      <c r="L435" t="s">
        <v>19</v>
      </c>
      <c r="M435" t="s">
        <v>27</v>
      </c>
      <c r="N435" t="s">
        <v>28</v>
      </c>
    </row>
    <row r="436" spans="1:14" x14ac:dyDescent="0.25">
      <c r="A436" t="s">
        <v>589</v>
      </c>
      <c r="B436" t="s">
        <v>794</v>
      </c>
      <c r="C436" t="s">
        <v>293</v>
      </c>
      <c r="D436" t="s">
        <v>16</v>
      </c>
      <c r="E436" t="s">
        <v>63</v>
      </c>
      <c r="F436" t="s">
        <v>37</v>
      </c>
      <c r="G436">
        <v>46</v>
      </c>
      <c r="H436">
        <v>16.78</v>
      </c>
      <c r="I436">
        <v>771.88</v>
      </c>
      <c r="J436">
        <v>18.04</v>
      </c>
      <c r="K436">
        <v>167.34</v>
      </c>
      <c r="L436" t="s">
        <v>38</v>
      </c>
      <c r="M436" t="s">
        <v>32</v>
      </c>
      <c r="N436" t="s">
        <v>21</v>
      </c>
    </row>
    <row r="437" spans="1:14" x14ac:dyDescent="0.25">
      <c r="A437" t="s">
        <v>590</v>
      </c>
      <c r="B437" t="s">
        <v>793</v>
      </c>
      <c r="C437" t="s">
        <v>319</v>
      </c>
      <c r="D437" t="s">
        <v>31</v>
      </c>
      <c r="E437" t="s">
        <v>36</v>
      </c>
      <c r="F437" t="s">
        <v>37</v>
      </c>
      <c r="G437">
        <v>16</v>
      </c>
      <c r="H437">
        <v>42.18</v>
      </c>
      <c r="I437">
        <v>674.88</v>
      </c>
      <c r="J437">
        <v>19.100000000000001</v>
      </c>
      <c r="K437">
        <v>143.78</v>
      </c>
      <c r="L437" t="s">
        <v>19</v>
      </c>
      <c r="M437" t="s">
        <v>32</v>
      </c>
      <c r="N437" t="s">
        <v>28</v>
      </c>
    </row>
    <row r="438" spans="1:14" x14ac:dyDescent="0.25">
      <c r="A438" t="s">
        <v>591</v>
      </c>
      <c r="B438" t="s">
        <v>792</v>
      </c>
      <c r="C438" t="s">
        <v>67</v>
      </c>
      <c r="D438" t="s">
        <v>106</v>
      </c>
      <c r="E438" t="s">
        <v>56</v>
      </c>
      <c r="F438" t="s">
        <v>57</v>
      </c>
      <c r="G438">
        <v>12</v>
      </c>
      <c r="H438">
        <v>34.97</v>
      </c>
      <c r="I438">
        <v>419.64</v>
      </c>
      <c r="J438">
        <v>28.48</v>
      </c>
      <c r="K438">
        <v>91.16</v>
      </c>
      <c r="L438" t="s">
        <v>19</v>
      </c>
      <c r="M438" t="s">
        <v>20</v>
      </c>
      <c r="N438" t="s">
        <v>28</v>
      </c>
    </row>
    <row r="439" spans="1:14" x14ac:dyDescent="0.25">
      <c r="A439" t="s">
        <v>592</v>
      </c>
      <c r="B439" t="s">
        <v>791</v>
      </c>
      <c r="C439" t="s">
        <v>137</v>
      </c>
      <c r="D439" t="s">
        <v>35</v>
      </c>
      <c r="E439" t="s">
        <v>48</v>
      </c>
      <c r="F439" t="s">
        <v>37</v>
      </c>
      <c r="G439">
        <v>31</v>
      </c>
      <c r="H439">
        <v>33.619999999999997</v>
      </c>
      <c r="I439">
        <v>1042.22</v>
      </c>
      <c r="J439">
        <v>26.33</v>
      </c>
      <c r="K439">
        <v>395.89</v>
      </c>
      <c r="L439" t="s">
        <v>38</v>
      </c>
      <c r="M439" t="s">
        <v>32</v>
      </c>
      <c r="N439" t="s">
        <v>39</v>
      </c>
    </row>
    <row r="440" spans="1:14" x14ac:dyDescent="0.25">
      <c r="A440" t="s">
        <v>593</v>
      </c>
      <c r="B440" t="s">
        <v>790</v>
      </c>
      <c r="C440" t="s">
        <v>421</v>
      </c>
      <c r="D440" t="s">
        <v>74</v>
      </c>
      <c r="E440" t="s">
        <v>51</v>
      </c>
      <c r="F440" t="s">
        <v>52</v>
      </c>
      <c r="G440">
        <v>40</v>
      </c>
      <c r="H440">
        <v>30.56</v>
      </c>
      <c r="I440">
        <v>1222.4000000000001</v>
      </c>
      <c r="J440">
        <v>26.42</v>
      </c>
      <c r="K440">
        <v>295.98</v>
      </c>
      <c r="L440" t="s">
        <v>19</v>
      </c>
      <c r="M440" t="s">
        <v>20</v>
      </c>
      <c r="N440" t="s">
        <v>58</v>
      </c>
    </row>
    <row r="441" spans="1:14" x14ac:dyDescent="0.25">
      <c r="A441" t="s">
        <v>594</v>
      </c>
      <c r="B441" t="s">
        <v>789</v>
      </c>
      <c r="C441" t="s">
        <v>142</v>
      </c>
      <c r="D441" t="s">
        <v>151</v>
      </c>
      <c r="E441" t="s">
        <v>17</v>
      </c>
      <c r="F441" t="s">
        <v>18</v>
      </c>
      <c r="G441">
        <v>15</v>
      </c>
      <c r="H441">
        <v>61.93</v>
      </c>
      <c r="I441">
        <v>928.95</v>
      </c>
      <c r="J441">
        <v>25.68</v>
      </c>
      <c r="K441">
        <v>378.27</v>
      </c>
      <c r="L441" t="s">
        <v>26</v>
      </c>
      <c r="M441" t="s">
        <v>32</v>
      </c>
      <c r="N441" t="s">
        <v>28</v>
      </c>
    </row>
    <row r="442" spans="1:14" x14ac:dyDescent="0.25">
      <c r="A442" t="s">
        <v>595</v>
      </c>
      <c r="B442" t="s">
        <v>788</v>
      </c>
      <c r="C442" t="s">
        <v>121</v>
      </c>
      <c r="D442" t="s">
        <v>55</v>
      </c>
      <c r="E442" t="s">
        <v>48</v>
      </c>
      <c r="F442" t="s">
        <v>37</v>
      </c>
      <c r="G442">
        <v>20</v>
      </c>
      <c r="H442">
        <v>35.770000000000003</v>
      </c>
      <c r="I442">
        <v>715.4</v>
      </c>
      <c r="J442">
        <v>39.229999999999997</v>
      </c>
      <c r="K442">
        <v>276.17</v>
      </c>
      <c r="L442" t="s">
        <v>19</v>
      </c>
      <c r="M442" t="s">
        <v>20</v>
      </c>
      <c r="N442" t="s">
        <v>58</v>
      </c>
    </row>
    <row r="443" spans="1:14" x14ac:dyDescent="0.25">
      <c r="A443" t="s">
        <v>596</v>
      </c>
      <c r="B443" t="s">
        <v>787</v>
      </c>
      <c r="C443" t="s">
        <v>246</v>
      </c>
      <c r="D443" t="s">
        <v>24</v>
      </c>
      <c r="E443" t="s">
        <v>63</v>
      </c>
      <c r="F443" t="s">
        <v>37</v>
      </c>
      <c r="G443">
        <v>21</v>
      </c>
      <c r="H443">
        <v>22.48</v>
      </c>
      <c r="I443">
        <v>472.08</v>
      </c>
      <c r="J443">
        <v>12.96</v>
      </c>
      <c r="K443">
        <v>191.37</v>
      </c>
      <c r="L443" t="s">
        <v>26</v>
      </c>
      <c r="M443" t="s">
        <v>20</v>
      </c>
      <c r="N443" t="s">
        <v>28</v>
      </c>
    </row>
    <row r="444" spans="1:14" x14ac:dyDescent="0.25">
      <c r="A444" t="s">
        <v>597</v>
      </c>
      <c r="B444" t="s">
        <v>781</v>
      </c>
      <c r="C444" t="s">
        <v>274</v>
      </c>
      <c r="D444" t="s">
        <v>55</v>
      </c>
      <c r="E444" t="s">
        <v>25</v>
      </c>
      <c r="F444" t="s">
        <v>18</v>
      </c>
      <c r="G444">
        <v>8</v>
      </c>
      <c r="H444">
        <v>27.53</v>
      </c>
      <c r="I444">
        <v>220.24</v>
      </c>
      <c r="J444">
        <v>12.66</v>
      </c>
      <c r="K444">
        <v>63.58</v>
      </c>
      <c r="L444" t="s">
        <v>26</v>
      </c>
      <c r="M444" t="s">
        <v>27</v>
      </c>
      <c r="N444" t="s">
        <v>58</v>
      </c>
    </row>
    <row r="445" spans="1:14" x14ac:dyDescent="0.25">
      <c r="A445" t="s">
        <v>598</v>
      </c>
      <c r="B445" t="s">
        <v>761</v>
      </c>
      <c r="C445" t="s">
        <v>226</v>
      </c>
      <c r="D445" t="s">
        <v>177</v>
      </c>
      <c r="E445" t="s">
        <v>51</v>
      </c>
      <c r="F445" t="s">
        <v>52</v>
      </c>
      <c r="G445">
        <v>35</v>
      </c>
      <c r="H445">
        <v>39.65</v>
      </c>
      <c r="I445">
        <v>1387.75</v>
      </c>
      <c r="J445">
        <v>60.95</v>
      </c>
      <c r="K445">
        <v>539.29999999999995</v>
      </c>
      <c r="L445" t="s">
        <v>38</v>
      </c>
      <c r="M445" t="s">
        <v>27</v>
      </c>
      <c r="N445" t="s">
        <v>58</v>
      </c>
    </row>
    <row r="446" spans="1:14" x14ac:dyDescent="0.25">
      <c r="A446" t="s">
        <v>599</v>
      </c>
      <c r="B446" t="s">
        <v>786</v>
      </c>
      <c r="C446" t="s">
        <v>181</v>
      </c>
      <c r="D446" t="s">
        <v>86</v>
      </c>
      <c r="E446" t="s">
        <v>60</v>
      </c>
      <c r="F446" t="s">
        <v>52</v>
      </c>
      <c r="G446">
        <v>50</v>
      </c>
      <c r="H446">
        <v>23.68</v>
      </c>
      <c r="I446">
        <v>1184</v>
      </c>
      <c r="J446">
        <v>46.62</v>
      </c>
      <c r="K446">
        <v>362.38</v>
      </c>
      <c r="L446" t="s">
        <v>26</v>
      </c>
      <c r="M446" t="s">
        <v>27</v>
      </c>
      <c r="N446" t="s">
        <v>87</v>
      </c>
    </row>
    <row r="447" spans="1:14" x14ac:dyDescent="0.25">
      <c r="A447" t="s">
        <v>600</v>
      </c>
      <c r="B447" t="s">
        <v>785</v>
      </c>
      <c r="C447" t="s">
        <v>183</v>
      </c>
      <c r="D447" t="s">
        <v>74</v>
      </c>
      <c r="E447" t="s">
        <v>63</v>
      </c>
      <c r="F447" t="s">
        <v>37</v>
      </c>
      <c r="G447">
        <v>5</v>
      </c>
      <c r="H447">
        <v>19.809999999999999</v>
      </c>
      <c r="I447">
        <v>99.05</v>
      </c>
      <c r="J447">
        <v>5.91</v>
      </c>
      <c r="K447">
        <v>29.39</v>
      </c>
      <c r="L447" t="s">
        <v>26</v>
      </c>
      <c r="M447" t="s">
        <v>32</v>
      </c>
      <c r="N447" t="s">
        <v>58</v>
      </c>
    </row>
    <row r="448" spans="1:14" x14ac:dyDescent="0.25">
      <c r="A448" t="s">
        <v>601</v>
      </c>
      <c r="B448" t="s">
        <v>758</v>
      </c>
      <c r="C448" t="s">
        <v>76</v>
      </c>
      <c r="D448" t="s">
        <v>35</v>
      </c>
      <c r="E448" t="s">
        <v>63</v>
      </c>
      <c r="F448" t="s">
        <v>37</v>
      </c>
      <c r="G448">
        <v>27</v>
      </c>
      <c r="H448">
        <v>18.03</v>
      </c>
      <c r="I448">
        <v>486.81</v>
      </c>
      <c r="J448">
        <v>36.630000000000003</v>
      </c>
      <c r="K448">
        <v>105.93</v>
      </c>
      <c r="L448" t="s">
        <v>19</v>
      </c>
      <c r="M448" t="s">
        <v>32</v>
      </c>
      <c r="N448" t="s">
        <v>39</v>
      </c>
    </row>
    <row r="449" spans="1:14" x14ac:dyDescent="0.25">
      <c r="A449" t="s">
        <v>602</v>
      </c>
      <c r="B449" t="s">
        <v>784</v>
      </c>
      <c r="C449" t="s">
        <v>261</v>
      </c>
      <c r="D449" t="s">
        <v>86</v>
      </c>
      <c r="E449" t="s">
        <v>25</v>
      </c>
      <c r="F449" t="s">
        <v>18</v>
      </c>
      <c r="G449">
        <v>45</v>
      </c>
      <c r="H449">
        <v>26.93</v>
      </c>
      <c r="I449">
        <v>1211.8499999999999</v>
      </c>
      <c r="J449">
        <v>62.85</v>
      </c>
      <c r="K449">
        <v>339</v>
      </c>
      <c r="L449" t="s">
        <v>26</v>
      </c>
      <c r="M449" t="s">
        <v>27</v>
      </c>
      <c r="N449" t="s">
        <v>87</v>
      </c>
    </row>
    <row r="450" spans="1:14" x14ac:dyDescent="0.25">
      <c r="A450" t="s">
        <v>603</v>
      </c>
      <c r="B450" t="s">
        <v>783</v>
      </c>
      <c r="C450" t="s">
        <v>319</v>
      </c>
      <c r="D450" t="s">
        <v>31</v>
      </c>
      <c r="E450" t="s">
        <v>48</v>
      </c>
      <c r="F450" t="s">
        <v>37</v>
      </c>
      <c r="G450">
        <v>40</v>
      </c>
      <c r="H450">
        <v>32.54</v>
      </c>
      <c r="I450">
        <v>1301.5999999999999</v>
      </c>
      <c r="J450">
        <v>47.06</v>
      </c>
      <c r="K450">
        <v>454.54</v>
      </c>
      <c r="L450" t="s">
        <v>19</v>
      </c>
      <c r="M450" t="s">
        <v>27</v>
      </c>
      <c r="N450" t="s">
        <v>28</v>
      </c>
    </row>
    <row r="451" spans="1:14" x14ac:dyDescent="0.25">
      <c r="A451" t="s">
        <v>604</v>
      </c>
      <c r="B451" t="s">
        <v>782</v>
      </c>
      <c r="C451" t="s">
        <v>85</v>
      </c>
      <c r="D451" t="s">
        <v>177</v>
      </c>
      <c r="E451" t="s">
        <v>51</v>
      </c>
      <c r="F451" t="s">
        <v>52</v>
      </c>
      <c r="G451">
        <v>26</v>
      </c>
      <c r="H451">
        <v>35.32</v>
      </c>
      <c r="I451">
        <v>918.32</v>
      </c>
      <c r="J451">
        <v>60.02</v>
      </c>
      <c r="K451">
        <v>273.3</v>
      </c>
      <c r="L451" t="s">
        <v>38</v>
      </c>
      <c r="M451" t="s">
        <v>20</v>
      </c>
      <c r="N451" t="s">
        <v>58</v>
      </c>
    </row>
    <row r="452" spans="1:14" x14ac:dyDescent="0.25">
      <c r="A452" t="s">
        <v>605</v>
      </c>
      <c r="B452" t="s">
        <v>781</v>
      </c>
      <c r="C452" t="s">
        <v>93</v>
      </c>
      <c r="D452" t="s">
        <v>35</v>
      </c>
      <c r="E452" t="s">
        <v>63</v>
      </c>
      <c r="F452" t="s">
        <v>37</v>
      </c>
      <c r="G452">
        <v>16</v>
      </c>
      <c r="H452">
        <v>16.440000000000001</v>
      </c>
      <c r="I452">
        <v>263.04000000000002</v>
      </c>
      <c r="J452">
        <v>17.64</v>
      </c>
      <c r="K452">
        <v>41.4</v>
      </c>
      <c r="L452" t="s">
        <v>19</v>
      </c>
      <c r="M452" t="s">
        <v>20</v>
      </c>
      <c r="N452" t="s">
        <v>39</v>
      </c>
    </row>
    <row r="453" spans="1:14" x14ac:dyDescent="0.25">
      <c r="A453" t="s">
        <v>606</v>
      </c>
      <c r="B453" t="s">
        <v>780</v>
      </c>
      <c r="C453" t="s">
        <v>226</v>
      </c>
      <c r="D453" t="s">
        <v>106</v>
      </c>
      <c r="E453" t="s">
        <v>83</v>
      </c>
      <c r="F453" t="s">
        <v>52</v>
      </c>
      <c r="G453">
        <v>39</v>
      </c>
      <c r="H453">
        <v>46.27</v>
      </c>
      <c r="I453">
        <v>1804.53</v>
      </c>
      <c r="J453">
        <v>38.57</v>
      </c>
      <c r="K453">
        <v>673.96</v>
      </c>
      <c r="L453" t="s">
        <v>38</v>
      </c>
      <c r="M453" t="s">
        <v>32</v>
      </c>
      <c r="N453" t="s">
        <v>28</v>
      </c>
    </row>
    <row r="454" spans="1:14" x14ac:dyDescent="0.25">
      <c r="A454" t="s">
        <v>607</v>
      </c>
      <c r="B454" t="s">
        <v>779</v>
      </c>
      <c r="C454" t="s">
        <v>154</v>
      </c>
      <c r="D454" t="s">
        <v>24</v>
      </c>
      <c r="E454" t="s">
        <v>56</v>
      </c>
      <c r="F454" t="s">
        <v>57</v>
      </c>
      <c r="G454">
        <v>15</v>
      </c>
      <c r="H454">
        <v>33.22</v>
      </c>
      <c r="I454">
        <v>498.3</v>
      </c>
      <c r="J454">
        <v>36.85</v>
      </c>
      <c r="K454">
        <v>86.45</v>
      </c>
      <c r="L454" t="s">
        <v>38</v>
      </c>
      <c r="M454" t="s">
        <v>32</v>
      </c>
      <c r="N454" t="s">
        <v>28</v>
      </c>
    </row>
    <row r="455" spans="1:14" x14ac:dyDescent="0.25">
      <c r="A455" t="s">
        <v>608</v>
      </c>
      <c r="B455" t="s">
        <v>778</v>
      </c>
      <c r="C455" t="s">
        <v>207</v>
      </c>
      <c r="D455" t="s">
        <v>86</v>
      </c>
      <c r="E455" t="s">
        <v>43</v>
      </c>
      <c r="F455" t="s">
        <v>44</v>
      </c>
      <c r="G455">
        <v>35</v>
      </c>
      <c r="H455">
        <v>71.02</v>
      </c>
      <c r="I455">
        <v>2485.6999999999998</v>
      </c>
      <c r="J455">
        <v>137.22</v>
      </c>
      <c r="K455">
        <v>948.48</v>
      </c>
      <c r="L455" t="s">
        <v>26</v>
      </c>
      <c r="M455" t="s">
        <v>27</v>
      </c>
      <c r="N455" t="s">
        <v>87</v>
      </c>
    </row>
    <row r="456" spans="1:14" x14ac:dyDescent="0.25">
      <c r="A456" t="s">
        <v>609</v>
      </c>
      <c r="B456" t="s">
        <v>777</v>
      </c>
      <c r="C456" t="s">
        <v>102</v>
      </c>
      <c r="D456" t="s">
        <v>74</v>
      </c>
      <c r="E456" t="s">
        <v>83</v>
      </c>
      <c r="F456" t="s">
        <v>52</v>
      </c>
      <c r="G456">
        <v>2</v>
      </c>
      <c r="H456">
        <v>42.31</v>
      </c>
      <c r="I456">
        <v>84.62</v>
      </c>
      <c r="J456">
        <v>4.28</v>
      </c>
      <c r="K456">
        <v>24.34</v>
      </c>
      <c r="L456" t="s">
        <v>26</v>
      </c>
      <c r="M456" t="s">
        <v>27</v>
      </c>
      <c r="N456" t="s">
        <v>58</v>
      </c>
    </row>
    <row r="457" spans="1:14" x14ac:dyDescent="0.25">
      <c r="A457" t="s">
        <v>610</v>
      </c>
      <c r="B457" t="s">
        <v>742</v>
      </c>
      <c r="C457" t="s">
        <v>91</v>
      </c>
      <c r="D457" t="s">
        <v>69</v>
      </c>
      <c r="E457" t="s">
        <v>56</v>
      </c>
      <c r="F457" t="s">
        <v>57</v>
      </c>
      <c r="G457">
        <v>8</v>
      </c>
      <c r="H457">
        <v>41.36</v>
      </c>
      <c r="I457">
        <v>330.88</v>
      </c>
      <c r="J457">
        <v>11.78</v>
      </c>
      <c r="K457">
        <v>119.1</v>
      </c>
      <c r="L457" t="s">
        <v>19</v>
      </c>
      <c r="M457" t="s">
        <v>20</v>
      </c>
      <c r="N457" t="s">
        <v>58</v>
      </c>
    </row>
    <row r="458" spans="1:14" x14ac:dyDescent="0.25">
      <c r="A458" t="s">
        <v>611</v>
      </c>
      <c r="B458" t="s">
        <v>776</v>
      </c>
      <c r="C458" t="s">
        <v>121</v>
      </c>
      <c r="D458" t="s">
        <v>42</v>
      </c>
      <c r="E458" t="s">
        <v>25</v>
      </c>
      <c r="F458" t="s">
        <v>18</v>
      </c>
      <c r="G458">
        <v>3</v>
      </c>
      <c r="H458">
        <v>31.39</v>
      </c>
      <c r="I458">
        <v>94.17</v>
      </c>
      <c r="J458">
        <v>2.52</v>
      </c>
      <c r="K458">
        <v>37.65</v>
      </c>
      <c r="L458" t="s">
        <v>38</v>
      </c>
      <c r="M458" t="s">
        <v>32</v>
      </c>
      <c r="N458" t="s">
        <v>21</v>
      </c>
    </row>
    <row r="459" spans="1:14" x14ac:dyDescent="0.25">
      <c r="A459" t="s">
        <v>612</v>
      </c>
      <c r="B459" t="s">
        <v>775</v>
      </c>
      <c r="C459" t="s">
        <v>145</v>
      </c>
      <c r="D459" t="s">
        <v>106</v>
      </c>
      <c r="E459" t="s">
        <v>51</v>
      </c>
      <c r="F459" t="s">
        <v>52</v>
      </c>
      <c r="G459">
        <v>48</v>
      </c>
      <c r="H459">
        <v>33.61</v>
      </c>
      <c r="I459">
        <v>1613.28</v>
      </c>
      <c r="J459">
        <v>109.92</v>
      </c>
      <c r="K459">
        <v>423.36</v>
      </c>
      <c r="L459" t="s">
        <v>19</v>
      </c>
      <c r="M459" t="s">
        <v>32</v>
      </c>
      <c r="N459" t="s">
        <v>28</v>
      </c>
    </row>
    <row r="460" spans="1:14" x14ac:dyDescent="0.25">
      <c r="A460" t="s">
        <v>613</v>
      </c>
      <c r="B460" t="s">
        <v>774</v>
      </c>
      <c r="C460" t="s">
        <v>173</v>
      </c>
      <c r="D460" t="s">
        <v>151</v>
      </c>
      <c r="E460" t="s">
        <v>36</v>
      </c>
      <c r="F460" t="s">
        <v>37</v>
      </c>
      <c r="G460">
        <v>9</v>
      </c>
      <c r="H460">
        <v>50.29</v>
      </c>
      <c r="I460">
        <v>452.61</v>
      </c>
      <c r="J460">
        <v>32.93</v>
      </c>
      <c r="K460">
        <v>131.68</v>
      </c>
      <c r="L460" t="s">
        <v>26</v>
      </c>
      <c r="M460" t="s">
        <v>32</v>
      </c>
      <c r="N460" t="s">
        <v>28</v>
      </c>
    </row>
    <row r="461" spans="1:14" x14ac:dyDescent="0.25">
      <c r="A461" t="s">
        <v>614</v>
      </c>
      <c r="B461" t="s">
        <v>773</v>
      </c>
      <c r="C461" t="s">
        <v>145</v>
      </c>
      <c r="D461" t="s">
        <v>16</v>
      </c>
      <c r="E461" t="s">
        <v>51</v>
      </c>
      <c r="F461" t="s">
        <v>52</v>
      </c>
      <c r="G461">
        <v>12</v>
      </c>
      <c r="H461">
        <v>34.96</v>
      </c>
      <c r="I461">
        <v>419.52</v>
      </c>
      <c r="J461">
        <v>15.43</v>
      </c>
      <c r="K461">
        <v>134.09</v>
      </c>
      <c r="L461" t="s">
        <v>26</v>
      </c>
      <c r="M461" t="s">
        <v>32</v>
      </c>
      <c r="N461" t="s">
        <v>21</v>
      </c>
    </row>
    <row r="462" spans="1:14" x14ac:dyDescent="0.25">
      <c r="A462" t="s">
        <v>615</v>
      </c>
      <c r="B462" t="s">
        <v>772</v>
      </c>
      <c r="C462" t="s">
        <v>371</v>
      </c>
      <c r="D462" t="s">
        <v>129</v>
      </c>
      <c r="E462" t="s">
        <v>17</v>
      </c>
      <c r="F462" t="s">
        <v>18</v>
      </c>
      <c r="G462">
        <v>29</v>
      </c>
      <c r="H462">
        <v>52.72</v>
      </c>
      <c r="I462">
        <v>1528.88</v>
      </c>
      <c r="J462">
        <v>96.91</v>
      </c>
      <c r="K462">
        <v>416.97</v>
      </c>
      <c r="L462" t="s">
        <v>26</v>
      </c>
      <c r="M462" t="s">
        <v>32</v>
      </c>
      <c r="N462" t="s">
        <v>130</v>
      </c>
    </row>
    <row r="463" spans="1:14" x14ac:dyDescent="0.25">
      <c r="A463" t="s">
        <v>616</v>
      </c>
      <c r="B463" t="s">
        <v>771</v>
      </c>
      <c r="C463" t="s">
        <v>330</v>
      </c>
      <c r="D463" t="s">
        <v>42</v>
      </c>
      <c r="E463" t="s">
        <v>60</v>
      </c>
      <c r="F463" t="s">
        <v>52</v>
      </c>
      <c r="G463">
        <v>39</v>
      </c>
      <c r="H463">
        <v>22.18</v>
      </c>
      <c r="I463">
        <v>865.02</v>
      </c>
      <c r="J463">
        <v>26.23</v>
      </c>
      <c r="K463">
        <v>234.29</v>
      </c>
      <c r="L463" t="s">
        <v>19</v>
      </c>
      <c r="M463" t="s">
        <v>32</v>
      </c>
      <c r="N463" t="s">
        <v>21</v>
      </c>
    </row>
    <row r="464" spans="1:14" x14ac:dyDescent="0.25">
      <c r="A464" t="s">
        <v>617</v>
      </c>
      <c r="B464" t="s">
        <v>770</v>
      </c>
      <c r="C464" t="s">
        <v>323</v>
      </c>
      <c r="D464" t="s">
        <v>69</v>
      </c>
      <c r="E464" t="s">
        <v>60</v>
      </c>
      <c r="F464" t="s">
        <v>52</v>
      </c>
      <c r="G464">
        <v>11</v>
      </c>
      <c r="H464">
        <v>21.4</v>
      </c>
      <c r="I464">
        <v>235.4</v>
      </c>
      <c r="J464">
        <v>11.64</v>
      </c>
      <c r="K464">
        <v>53.26</v>
      </c>
      <c r="L464" t="s">
        <v>19</v>
      </c>
      <c r="M464" t="s">
        <v>32</v>
      </c>
      <c r="N464" t="s">
        <v>58</v>
      </c>
    </row>
    <row r="465" spans="1:14" x14ac:dyDescent="0.25">
      <c r="A465" t="s">
        <v>618</v>
      </c>
      <c r="B465" t="s">
        <v>769</v>
      </c>
      <c r="C465" t="s">
        <v>291</v>
      </c>
      <c r="D465" t="s">
        <v>69</v>
      </c>
      <c r="E465" t="s">
        <v>56</v>
      </c>
      <c r="F465" t="s">
        <v>57</v>
      </c>
      <c r="G465">
        <v>21</v>
      </c>
      <c r="H465">
        <v>36.26</v>
      </c>
      <c r="I465">
        <v>761.46</v>
      </c>
      <c r="J465">
        <v>56.99</v>
      </c>
      <c r="K465">
        <v>179.47</v>
      </c>
      <c r="L465" t="s">
        <v>26</v>
      </c>
      <c r="M465" t="s">
        <v>20</v>
      </c>
      <c r="N465" t="s">
        <v>58</v>
      </c>
    </row>
    <row r="466" spans="1:14" x14ac:dyDescent="0.25">
      <c r="A466" t="s">
        <v>619</v>
      </c>
      <c r="B466" t="s">
        <v>768</v>
      </c>
      <c r="C466" t="s">
        <v>207</v>
      </c>
      <c r="D466" t="s">
        <v>55</v>
      </c>
      <c r="E466" t="s">
        <v>51</v>
      </c>
      <c r="F466" t="s">
        <v>52</v>
      </c>
      <c r="G466">
        <v>39</v>
      </c>
      <c r="H466">
        <v>35.409999999999997</v>
      </c>
      <c r="I466">
        <v>1380.99</v>
      </c>
      <c r="J466">
        <v>84.56</v>
      </c>
      <c r="K466">
        <v>418.93</v>
      </c>
      <c r="L466" t="s">
        <v>26</v>
      </c>
      <c r="M466" t="s">
        <v>20</v>
      </c>
      <c r="N466" t="s">
        <v>58</v>
      </c>
    </row>
    <row r="467" spans="1:14" x14ac:dyDescent="0.25">
      <c r="A467" t="s">
        <v>620</v>
      </c>
      <c r="B467" t="s">
        <v>767</v>
      </c>
      <c r="C467" t="s">
        <v>110</v>
      </c>
      <c r="D467" t="s">
        <v>55</v>
      </c>
      <c r="E467" t="s">
        <v>25</v>
      </c>
      <c r="F467" t="s">
        <v>18</v>
      </c>
      <c r="G467">
        <v>13</v>
      </c>
      <c r="H467">
        <v>27.35</v>
      </c>
      <c r="I467">
        <v>355.55</v>
      </c>
      <c r="J467">
        <v>26.23</v>
      </c>
      <c r="K467">
        <v>95.32</v>
      </c>
      <c r="L467" t="s">
        <v>26</v>
      </c>
      <c r="M467" t="s">
        <v>32</v>
      </c>
      <c r="N467" t="s">
        <v>58</v>
      </c>
    </row>
    <row r="468" spans="1:14" x14ac:dyDescent="0.25">
      <c r="A468" t="s">
        <v>621</v>
      </c>
      <c r="B468" t="s">
        <v>757</v>
      </c>
      <c r="C468" t="s">
        <v>91</v>
      </c>
      <c r="D468" t="s">
        <v>35</v>
      </c>
      <c r="E468" t="s">
        <v>63</v>
      </c>
      <c r="F468" t="s">
        <v>37</v>
      </c>
      <c r="G468">
        <v>40</v>
      </c>
      <c r="H468">
        <v>21.08</v>
      </c>
      <c r="I468">
        <v>843.2</v>
      </c>
      <c r="J468">
        <v>66.81</v>
      </c>
      <c r="K468">
        <v>266.39</v>
      </c>
      <c r="L468" t="s">
        <v>38</v>
      </c>
      <c r="M468" t="s">
        <v>27</v>
      </c>
      <c r="N468" t="s">
        <v>39</v>
      </c>
    </row>
    <row r="469" spans="1:14" x14ac:dyDescent="0.25">
      <c r="A469" t="s">
        <v>622</v>
      </c>
      <c r="B469" t="s">
        <v>766</v>
      </c>
      <c r="C469" t="s">
        <v>371</v>
      </c>
      <c r="D469" t="s">
        <v>47</v>
      </c>
      <c r="E469" t="s">
        <v>60</v>
      </c>
      <c r="F469" t="s">
        <v>52</v>
      </c>
      <c r="G469">
        <v>47</v>
      </c>
      <c r="H469">
        <v>27.54</v>
      </c>
      <c r="I469">
        <v>1294.3800000000001</v>
      </c>
      <c r="J469">
        <v>62.78</v>
      </c>
      <c r="K469">
        <v>503.1</v>
      </c>
      <c r="L469" t="s">
        <v>19</v>
      </c>
      <c r="M469" t="s">
        <v>20</v>
      </c>
      <c r="N469" t="s">
        <v>21</v>
      </c>
    </row>
    <row r="470" spans="1:14" x14ac:dyDescent="0.25">
      <c r="A470" t="s">
        <v>623</v>
      </c>
      <c r="B470" t="s">
        <v>765</v>
      </c>
      <c r="C470" t="s">
        <v>34</v>
      </c>
      <c r="D470" t="s">
        <v>177</v>
      </c>
      <c r="E470" t="s">
        <v>36</v>
      </c>
      <c r="F470" t="s">
        <v>37</v>
      </c>
      <c r="G470">
        <v>16</v>
      </c>
      <c r="H470">
        <v>45.08</v>
      </c>
      <c r="I470">
        <v>721.28</v>
      </c>
      <c r="J470">
        <v>21.61</v>
      </c>
      <c r="K470">
        <v>187.67</v>
      </c>
      <c r="L470" t="s">
        <v>26</v>
      </c>
      <c r="M470" t="s">
        <v>32</v>
      </c>
      <c r="N470" t="s">
        <v>58</v>
      </c>
    </row>
    <row r="471" spans="1:14" x14ac:dyDescent="0.25">
      <c r="A471" t="s">
        <v>624</v>
      </c>
      <c r="B471" t="s">
        <v>764</v>
      </c>
      <c r="C471" t="s">
        <v>123</v>
      </c>
      <c r="D471" t="s">
        <v>74</v>
      </c>
      <c r="E471" t="s">
        <v>51</v>
      </c>
      <c r="F471" t="s">
        <v>52</v>
      </c>
      <c r="G471">
        <v>37</v>
      </c>
      <c r="H471">
        <v>33.200000000000003</v>
      </c>
      <c r="I471">
        <v>1228.4000000000001</v>
      </c>
      <c r="J471">
        <v>41.34</v>
      </c>
      <c r="K471">
        <v>354.56</v>
      </c>
      <c r="L471" t="s">
        <v>38</v>
      </c>
      <c r="M471" t="s">
        <v>27</v>
      </c>
      <c r="N471" t="s">
        <v>58</v>
      </c>
    </row>
    <row r="472" spans="1:14" x14ac:dyDescent="0.25">
      <c r="A472" t="s">
        <v>625</v>
      </c>
      <c r="B472" t="s">
        <v>763</v>
      </c>
      <c r="C472" t="s">
        <v>15</v>
      </c>
      <c r="D472" t="s">
        <v>74</v>
      </c>
      <c r="E472" t="s">
        <v>25</v>
      </c>
      <c r="F472" t="s">
        <v>18</v>
      </c>
      <c r="G472">
        <v>8</v>
      </c>
      <c r="H472">
        <v>27.31</v>
      </c>
      <c r="I472">
        <v>218.48</v>
      </c>
      <c r="J472">
        <v>9.51</v>
      </c>
      <c r="K472">
        <v>64.97</v>
      </c>
      <c r="L472" t="s">
        <v>38</v>
      </c>
      <c r="M472" t="s">
        <v>20</v>
      </c>
      <c r="N472" t="s">
        <v>58</v>
      </c>
    </row>
    <row r="473" spans="1:14" x14ac:dyDescent="0.25">
      <c r="A473" t="s">
        <v>626</v>
      </c>
      <c r="B473" t="s">
        <v>762</v>
      </c>
      <c r="C473" t="s">
        <v>97</v>
      </c>
      <c r="D473" t="s">
        <v>86</v>
      </c>
      <c r="E473" t="s">
        <v>25</v>
      </c>
      <c r="F473" t="s">
        <v>18</v>
      </c>
      <c r="G473">
        <v>19</v>
      </c>
      <c r="H473">
        <v>29.14</v>
      </c>
      <c r="I473">
        <v>553.66</v>
      </c>
      <c r="J473">
        <v>19.7</v>
      </c>
      <c r="K473">
        <v>191.96</v>
      </c>
      <c r="L473" t="s">
        <v>19</v>
      </c>
      <c r="M473" t="s">
        <v>27</v>
      </c>
      <c r="N473" t="s">
        <v>87</v>
      </c>
    </row>
    <row r="474" spans="1:14" x14ac:dyDescent="0.25">
      <c r="A474" t="s">
        <v>627</v>
      </c>
      <c r="B474" t="s">
        <v>761</v>
      </c>
      <c r="C474" t="s">
        <v>209</v>
      </c>
      <c r="D474" t="s">
        <v>69</v>
      </c>
      <c r="E474" t="s">
        <v>17</v>
      </c>
      <c r="F474" t="s">
        <v>18</v>
      </c>
      <c r="G474">
        <v>6</v>
      </c>
      <c r="H474">
        <v>55.41</v>
      </c>
      <c r="I474">
        <v>332.46</v>
      </c>
      <c r="J474">
        <v>15.57</v>
      </c>
      <c r="K474">
        <v>106.89</v>
      </c>
      <c r="L474" t="s">
        <v>19</v>
      </c>
      <c r="M474" t="s">
        <v>20</v>
      </c>
      <c r="N474" t="s">
        <v>58</v>
      </c>
    </row>
    <row r="475" spans="1:14" x14ac:dyDescent="0.25">
      <c r="A475" t="s">
        <v>628</v>
      </c>
      <c r="B475" t="s">
        <v>760</v>
      </c>
      <c r="C475" t="s">
        <v>193</v>
      </c>
      <c r="D475" t="s">
        <v>74</v>
      </c>
      <c r="E475" t="s">
        <v>25</v>
      </c>
      <c r="F475" t="s">
        <v>18</v>
      </c>
      <c r="G475">
        <v>48</v>
      </c>
      <c r="H475">
        <v>29.07</v>
      </c>
      <c r="I475">
        <v>1395.36</v>
      </c>
      <c r="J475">
        <v>70.38</v>
      </c>
      <c r="K475">
        <v>460.98</v>
      </c>
      <c r="L475" t="s">
        <v>26</v>
      </c>
      <c r="M475" t="s">
        <v>32</v>
      </c>
      <c r="N475" t="s">
        <v>58</v>
      </c>
    </row>
    <row r="476" spans="1:14" x14ac:dyDescent="0.25">
      <c r="A476" t="s">
        <v>629</v>
      </c>
      <c r="B476" t="s">
        <v>759</v>
      </c>
      <c r="C476" t="s">
        <v>286</v>
      </c>
      <c r="D476" t="s">
        <v>35</v>
      </c>
      <c r="E476" t="s">
        <v>51</v>
      </c>
      <c r="F476" t="s">
        <v>52</v>
      </c>
      <c r="G476">
        <v>26</v>
      </c>
      <c r="H476">
        <v>27.17</v>
      </c>
      <c r="I476">
        <v>706.42</v>
      </c>
      <c r="J476">
        <v>33.94</v>
      </c>
      <c r="K476">
        <v>87.48</v>
      </c>
      <c r="L476" t="s">
        <v>38</v>
      </c>
      <c r="M476" t="s">
        <v>27</v>
      </c>
      <c r="N476" t="s">
        <v>39</v>
      </c>
    </row>
    <row r="477" spans="1:14" x14ac:dyDescent="0.25">
      <c r="A477" t="s">
        <v>630</v>
      </c>
      <c r="B477" t="s">
        <v>758</v>
      </c>
      <c r="C477" t="s">
        <v>105</v>
      </c>
      <c r="D477" t="s">
        <v>77</v>
      </c>
      <c r="E477" t="s">
        <v>17</v>
      </c>
      <c r="F477" t="s">
        <v>18</v>
      </c>
      <c r="G477">
        <v>9</v>
      </c>
      <c r="H477">
        <v>48.76</v>
      </c>
      <c r="I477">
        <v>438.84</v>
      </c>
      <c r="J477">
        <v>16.91</v>
      </c>
      <c r="K477">
        <v>106.93</v>
      </c>
      <c r="L477" t="s">
        <v>38</v>
      </c>
      <c r="M477" t="s">
        <v>20</v>
      </c>
      <c r="N477" t="s">
        <v>58</v>
      </c>
    </row>
    <row r="478" spans="1:14" x14ac:dyDescent="0.25">
      <c r="A478" t="s">
        <v>631</v>
      </c>
      <c r="B478" t="s">
        <v>757</v>
      </c>
      <c r="C478" t="s">
        <v>226</v>
      </c>
      <c r="D478" t="s">
        <v>24</v>
      </c>
      <c r="E478" t="s">
        <v>51</v>
      </c>
      <c r="F478" t="s">
        <v>52</v>
      </c>
      <c r="G478">
        <v>37</v>
      </c>
      <c r="H478">
        <v>33.21</v>
      </c>
      <c r="I478">
        <v>1228.77</v>
      </c>
      <c r="J478">
        <v>96.12</v>
      </c>
      <c r="K478">
        <v>300.14999999999998</v>
      </c>
      <c r="L478" t="s">
        <v>38</v>
      </c>
      <c r="M478" t="s">
        <v>27</v>
      </c>
      <c r="N478" t="s">
        <v>28</v>
      </c>
    </row>
    <row r="479" spans="1:14" x14ac:dyDescent="0.25">
      <c r="A479" t="s">
        <v>632</v>
      </c>
      <c r="B479" t="s">
        <v>756</v>
      </c>
      <c r="C479" t="s">
        <v>105</v>
      </c>
      <c r="D479" t="s">
        <v>35</v>
      </c>
      <c r="E479" t="s">
        <v>63</v>
      </c>
      <c r="F479" t="s">
        <v>37</v>
      </c>
      <c r="G479">
        <v>29</v>
      </c>
      <c r="H479">
        <v>16.54</v>
      </c>
      <c r="I479">
        <v>479.66</v>
      </c>
      <c r="J479">
        <v>30.23</v>
      </c>
      <c r="K479">
        <v>79.680000000000007</v>
      </c>
      <c r="L479" t="s">
        <v>26</v>
      </c>
      <c r="M479" t="s">
        <v>32</v>
      </c>
      <c r="N479" t="s">
        <v>39</v>
      </c>
    </row>
    <row r="480" spans="1:14" x14ac:dyDescent="0.25">
      <c r="A480" t="s">
        <v>633</v>
      </c>
      <c r="B480" t="s">
        <v>755</v>
      </c>
      <c r="C480" t="s">
        <v>76</v>
      </c>
      <c r="D480" t="s">
        <v>129</v>
      </c>
      <c r="E480" t="s">
        <v>56</v>
      </c>
      <c r="F480" t="s">
        <v>57</v>
      </c>
      <c r="G480">
        <v>11</v>
      </c>
      <c r="H480">
        <v>44.56</v>
      </c>
      <c r="I480">
        <v>490.16</v>
      </c>
      <c r="J480">
        <v>23.97</v>
      </c>
      <c r="K480">
        <v>191.19</v>
      </c>
      <c r="L480" t="s">
        <v>26</v>
      </c>
      <c r="M480" t="s">
        <v>32</v>
      </c>
      <c r="N480" t="s">
        <v>130</v>
      </c>
    </row>
    <row r="481" spans="1:14" x14ac:dyDescent="0.25">
      <c r="A481" t="s">
        <v>634</v>
      </c>
      <c r="B481" t="s">
        <v>754</v>
      </c>
      <c r="C481" t="s">
        <v>50</v>
      </c>
      <c r="D481" t="s">
        <v>47</v>
      </c>
      <c r="E481" t="s">
        <v>36</v>
      </c>
      <c r="F481" t="s">
        <v>37</v>
      </c>
      <c r="G481">
        <v>50</v>
      </c>
      <c r="H481">
        <v>44.78</v>
      </c>
      <c r="I481">
        <v>2239</v>
      </c>
      <c r="J481">
        <v>169.97</v>
      </c>
      <c r="K481">
        <v>469.03</v>
      </c>
      <c r="L481" t="s">
        <v>19</v>
      </c>
      <c r="M481" t="s">
        <v>32</v>
      </c>
      <c r="N481" t="s">
        <v>21</v>
      </c>
    </row>
    <row r="482" spans="1:14" x14ac:dyDescent="0.25">
      <c r="A482" t="s">
        <v>635</v>
      </c>
      <c r="B482" t="s">
        <v>753</v>
      </c>
      <c r="C482" t="s">
        <v>73</v>
      </c>
      <c r="D482" t="s">
        <v>16</v>
      </c>
      <c r="E482" t="s">
        <v>25</v>
      </c>
      <c r="F482" t="s">
        <v>18</v>
      </c>
      <c r="G482">
        <v>30</v>
      </c>
      <c r="H482">
        <v>22.51</v>
      </c>
      <c r="I482">
        <v>675.3</v>
      </c>
      <c r="J482">
        <v>26.26</v>
      </c>
      <c r="K482">
        <v>109.04</v>
      </c>
      <c r="L482" t="s">
        <v>19</v>
      </c>
      <c r="M482" t="s">
        <v>20</v>
      </c>
      <c r="N482" t="s">
        <v>21</v>
      </c>
    </row>
    <row r="483" spans="1:14" x14ac:dyDescent="0.25">
      <c r="A483" t="s">
        <v>636</v>
      </c>
      <c r="B483" t="s">
        <v>752</v>
      </c>
      <c r="C483" t="s">
        <v>246</v>
      </c>
      <c r="D483" t="s">
        <v>129</v>
      </c>
      <c r="E483" t="s">
        <v>60</v>
      </c>
      <c r="F483" t="s">
        <v>52</v>
      </c>
      <c r="G483">
        <v>50</v>
      </c>
      <c r="H483">
        <v>27.18</v>
      </c>
      <c r="I483">
        <v>1359</v>
      </c>
      <c r="J483">
        <v>45.67</v>
      </c>
      <c r="K483">
        <v>538.33000000000004</v>
      </c>
      <c r="L483" t="s">
        <v>19</v>
      </c>
      <c r="M483" t="s">
        <v>32</v>
      </c>
      <c r="N483" t="s">
        <v>130</v>
      </c>
    </row>
    <row r="484" spans="1:14" x14ac:dyDescent="0.25">
      <c r="A484" t="s">
        <v>637</v>
      </c>
      <c r="B484" t="s">
        <v>751</v>
      </c>
      <c r="C484" t="s">
        <v>135</v>
      </c>
      <c r="D484" t="s">
        <v>31</v>
      </c>
      <c r="E484" t="s">
        <v>83</v>
      </c>
      <c r="F484" t="s">
        <v>52</v>
      </c>
      <c r="G484">
        <v>28</v>
      </c>
      <c r="H484">
        <v>37.51</v>
      </c>
      <c r="I484">
        <v>1050.28</v>
      </c>
      <c r="J484">
        <v>45.83</v>
      </c>
      <c r="K484">
        <v>220.45</v>
      </c>
      <c r="L484" t="s">
        <v>38</v>
      </c>
      <c r="M484" t="s">
        <v>27</v>
      </c>
      <c r="N484" t="s">
        <v>28</v>
      </c>
    </row>
    <row r="485" spans="1:14" x14ac:dyDescent="0.25">
      <c r="A485" t="s">
        <v>638</v>
      </c>
      <c r="B485" t="s">
        <v>750</v>
      </c>
      <c r="C485" t="s">
        <v>67</v>
      </c>
      <c r="D485" t="s">
        <v>129</v>
      </c>
      <c r="E485" t="s">
        <v>43</v>
      </c>
      <c r="F485" t="s">
        <v>44</v>
      </c>
      <c r="G485">
        <v>50</v>
      </c>
      <c r="H485">
        <v>53.71</v>
      </c>
      <c r="I485">
        <v>2685.5</v>
      </c>
      <c r="J485">
        <v>197.89</v>
      </c>
      <c r="K485">
        <v>487.61</v>
      </c>
      <c r="L485" t="s">
        <v>26</v>
      </c>
      <c r="M485" t="s">
        <v>32</v>
      </c>
      <c r="N485" t="s">
        <v>130</v>
      </c>
    </row>
    <row r="486" spans="1:14" x14ac:dyDescent="0.25">
      <c r="A486" t="s">
        <v>639</v>
      </c>
      <c r="B486" t="s">
        <v>749</v>
      </c>
      <c r="C486" t="s">
        <v>399</v>
      </c>
      <c r="D486" t="s">
        <v>86</v>
      </c>
      <c r="E486" t="s">
        <v>60</v>
      </c>
      <c r="F486" t="s">
        <v>52</v>
      </c>
      <c r="G486">
        <v>24</v>
      </c>
      <c r="H486">
        <v>18.62</v>
      </c>
      <c r="I486">
        <v>446.88</v>
      </c>
      <c r="J486">
        <v>26.91</v>
      </c>
      <c r="K486">
        <v>47.97</v>
      </c>
      <c r="L486" t="s">
        <v>26</v>
      </c>
      <c r="M486" t="s">
        <v>27</v>
      </c>
      <c r="N486" t="s">
        <v>87</v>
      </c>
    </row>
    <row r="487" spans="1:14" x14ac:dyDescent="0.25">
      <c r="A487" t="s">
        <v>640</v>
      </c>
      <c r="B487" t="s">
        <v>748</v>
      </c>
      <c r="C487" t="s">
        <v>183</v>
      </c>
      <c r="D487" t="s">
        <v>69</v>
      </c>
      <c r="E487" t="s">
        <v>43</v>
      </c>
      <c r="F487" t="s">
        <v>44</v>
      </c>
      <c r="G487">
        <v>10</v>
      </c>
      <c r="H487">
        <v>49.15</v>
      </c>
      <c r="I487">
        <v>491.5</v>
      </c>
      <c r="J487">
        <v>13.3</v>
      </c>
      <c r="K487">
        <v>78.2</v>
      </c>
      <c r="L487" t="s">
        <v>38</v>
      </c>
      <c r="M487" t="s">
        <v>32</v>
      </c>
      <c r="N487" t="s">
        <v>58</v>
      </c>
    </row>
    <row r="488" spans="1:14" x14ac:dyDescent="0.25">
      <c r="A488" t="s">
        <v>641</v>
      </c>
      <c r="B488" t="s">
        <v>747</v>
      </c>
      <c r="C488" t="s">
        <v>207</v>
      </c>
      <c r="D488" t="s">
        <v>55</v>
      </c>
      <c r="E488" t="s">
        <v>43</v>
      </c>
      <c r="F488" t="s">
        <v>44</v>
      </c>
      <c r="G488">
        <v>42</v>
      </c>
      <c r="H488">
        <v>50.96</v>
      </c>
      <c r="I488">
        <v>2140.3200000000002</v>
      </c>
      <c r="J488">
        <v>127.85</v>
      </c>
      <c r="K488">
        <v>332.47</v>
      </c>
      <c r="L488" t="s">
        <v>19</v>
      </c>
      <c r="M488" t="s">
        <v>27</v>
      </c>
      <c r="N488" t="s">
        <v>58</v>
      </c>
    </row>
    <row r="489" spans="1:14" x14ac:dyDescent="0.25">
      <c r="A489" t="s">
        <v>642</v>
      </c>
      <c r="B489" t="s">
        <v>746</v>
      </c>
      <c r="C489" t="s">
        <v>204</v>
      </c>
      <c r="D489" t="s">
        <v>55</v>
      </c>
      <c r="E489" t="s">
        <v>56</v>
      </c>
      <c r="F489" t="s">
        <v>57</v>
      </c>
      <c r="G489">
        <v>39</v>
      </c>
      <c r="H489">
        <v>37.46</v>
      </c>
      <c r="I489">
        <v>1460.94</v>
      </c>
      <c r="J489">
        <v>82.25</v>
      </c>
      <c r="K489">
        <v>403.69</v>
      </c>
      <c r="L489" t="s">
        <v>38</v>
      </c>
      <c r="M489" t="s">
        <v>20</v>
      </c>
      <c r="N489" t="s">
        <v>58</v>
      </c>
    </row>
    <row r="490" spans="1:14" x14ac:dyDescent="0.25">
      <c r="A490" t="s">
        <v>643</v>
      </c>
      <c r="B490" t="s">
        <v>745</v>
      </c>
      <c r="C490" t="s">
        <v>108</v>
      </c>
      <c r="D490" t="s">
        <v>106</v>
      </c>
      <c r="E490" t="s">
        <v>63</v>
      </c>
      <c r="F490" t="s">
        <v>37</v>
      </c>
      <c r="G490">
        <v>7</v>
      </c>
      <c r="H490">
        <v>20.2</v>
      </c>
      <c r="I490">
        <v>141.4</v>
      </c>
      <c r="J490">
        <v>4.3499999999999996</v>
      </c>
      <c r="K490">
        <v>47.8</v>
      </c>
      <c r="L490" t="s">
        <v>26</v>
      </c>
      <c r="M490" t="s">
        <v>32</v>
      </c>
      <c r="N490" t="s">
        <v>28</v>
      </c>
    </row>
    <row r="491" spans="1:14" x14ac:dyDescent="0.25">
      <c r="A491" t="s">
        <v>644</v>
      </c>
      <c r="B491" t="s">
        <v>744</v>
      </c>
      <c r="C491" t="s">
        <v>123</v>
      </c>
      <c r="D491" t="s">
        <v>42</v>
      </c>
      <c r="E491" t="s">
        <v>63</v>
      </c>
      <c r="F491" t="s">
        <v>37</v>
      </c>
      <c r="G491">
        <v>18</v>
      </c>
      <c r="H491">
        <v>18.63</v>
      </c>
      <c r="I491">
        <v>335.34</v>
      </c>
      <c r="J491">
        <v>26.18</v>
      </c>
      <c r="K491">
        <v>79.66</v>
      </c>
      <c r="L491" t="s">
        <v>26</v>
      </c>
      <c r="M491" t="s">
        <v>20</v>
      </c>
      <c r="N491" t="s">
        <v>21</v>
      </c>
    </row>
    <row r="492" spans="1:14" x14ac:dyDescent="0.25">
      <c r="A492" t="s">
        <v>645</v>
      </c>
      <c r="B492" t="s">
        <v>743</v>
      </c>
      <c r="C492" t="s">
        <v>291</v>
      </c>
      <c r="D492" t="s">
        <v>129</v>
      </c>
      <c r="E492" t="s">
        <v>51</v>
      </c>
      <c r="F492" t="s">
        <v>52</v>
      </c>
      <c r="G492">
        <v>12</v>
      </c>
      <c r="H492">
        <v>27.08</v>
      </c>
      <c r="I492">
        <v>324.95999999999998</v>
      </c>
      <c r="J492">
        <v>15.59</v>
      </c>
      <c r="K492">
        <v>39.369999999999997</v>
      </c>
      <c r="L492" t="s">
        <v>26</v>
      </c>
      <c r="M492" t="s">
        <v>32</v>
      </c>
      <c r="N492" t="s">
        <v>130</v>
      </c>
    </row>
    <row r="493" spans="1:14" x14ac:dyDescent="0.25">
      <c r="A493" t="s">
        <v>646</v>
      </c>
      <c r="B493" t="s">
        <v>742</v>
      </c>
      <c r="C493" t="s">
        <v>315</v>
      </c>
      <c r="D493" t="s">
        <v>106</v>
      </c>
      <c r="E493" t="s">
        <v>56</v>
      </c>
      <c r="F493" t="s">
        <v>57</v>
      </c>
      <c r="G493">
        <v>50</v>
      </c>
      <c r="H493">
        <v>32.21</v>
      </c>
      <c r="I493">
        <v>1610.5</v>
      </c>
      <c r="J493">
        <v>32.68</v>
      </c>
      <c r="K493">
        <v>327.82</v>
      </c>
      <c r="L493" t="s">
        <v>26</v>
      </c>
      <c r="M493" t="s">
        <v>32</v>
      </c>
      <c r="N493" t="s">
        <v>28</v>
      </c>
    </row>
    <row r="494" spans="1:14" x14ac:dyDescent="0.25">
      <c r="A494" t="s">
        <v>647</v>
      </c>
      <c r="B494" t="s">
        <v>741</v>
      </c>
      <c r="C494" t="s">
        <v>410</v>
      </c>
      <c r="D494" t="s">
        <v>86</v>
      </c>
      <c r="E494" t="s">
        <v>63</v>
      </c>
      <c r="F494" t="s">
        <v>37</v>
      </c>
      <c r="G494">
        <v>49</v>
      </c>
      <c r="H494">
        <v>20.59</v>
      </c>
      <c r="I494">
        <v>1008.91</v>
      </c>
      <c r="J494">
        <v>78.03</v>
      </c>
      <c r="K494">
        <v>306.13</v>
      </c>
      <c r="L494" t="s">
        <v>26</v>
      </c>
      <c r="M494" t="s">
        <v>32</v>
      </c>
      <c r="N494" t="s">
        <v>87</v>
      </c>
    </row>
    <row r="495" spans="1:14" x14ac:dyDescent="0.25">
      <c r="A495" t="s">
        <v>648</v>
      </c>
      <c r="B495" t="s">
        <v>740</v>
      </c>
      <c r="C495" t="s">
        <v>85</v>
      </c>
      <c r="D495" t="s">
        <v>31</v>
      </c>
      <c r="E495" t="s">
        <v>48</v>
      </c>
      <c r="F495" t="s">
        <v>37</v>
      </c>
      <c r="G495">
        <v>22</v>
      </c>
      <c r="H495">
        <v>28.63</v>
      </c>
      <c r="I495">
        <v>629.86</v>
      </c>
      <c r="J495">
        <v>29.08</v>
      </c>
      <c r="K495">
        <v>160.78</v>
      </c>
      <c r="L495" t="s">
        <v>26</v>
      </c>
      <c r="M495" t="s">
        <v>27</v>
      </c>
      <c r="N495" t="s">
        <v>28</v>
      </c>
    </row>
    <row r="496" spans="1:14" x14ac:dyDescent="0.25">
      <c r="A496" t="s">
        <v>649</v>
      </c>
      <c r="B496" t="s">
        <v>739</v>
      </c>
      <c r="C496" t="s">
        <v>183</v>
      </c>
      <c r="D496" t="s">
        <v>55</v>
      </c>
      <c r="E496" t="s">
        <v>43</v>
      </c>
      <c r="F496" t="s">
        <v>44</v>
      </c>
      <c r="G496">
        <v>11</v>
      </c>
      <c r="H496">
        <v>56.12</v>
      </c>
      <c r="I496">
        <v>617.32000000000005</v>
      </c>
      <c r="J496">
        <v>38.26</v>
      </c>
      <c r="K496">
        <v>139.06</v>
      </c>
      <c r="L496" t="s">
        <v>26</v>
      </c>
      <c r="M496" t="s">
        <v>27</v>
      </c>
      <c r="N496" t="s">
        <v>58</v>
      </c>
    </row>
    <row r="497" spans="1:14" x14ac:dyDescent="0.25">
      <c r="A497" t="s">
        <v>650</v>
      </c>
      <c r="B497" t="s">
        <v>738</v>
      </c>
      <c r="C497" t="s">
        <v>41</v>
      </c>
      <c r="D497" t="s">
        <v>16</v>
      </c>
      <c r="E497" t="s">
        <v>56</v>
      </c>
      <c r="F497" t="s">
        <v>57</v>
      </c>
      <c r="G497">
        <v>2</v>
      </c>
      <c r="H497">
        <v>30.88</v>
      </c>
      <c r="I497">
        <v>61.76</v>
      </c>
      <c r="J497">
        <v>4.42</v>
      </c>
      <c r="K497">
        <v>7.34</v>
      </c>
      <c r="L497" t="s">
        <v>38</v>
      </c>
      <c r="M497" t="s">
        <v>27</v>
      </c>
      <c r="N497" t="s">
        <v>21</v>
      </c>
    </row>
    <row r="498" spans="1:14" x14ac:dyDescent="0.25">
      <c r="A498" t="s">
        <v>651</v>
      </c>
      <c r="B498" t="s">
        <v>737</v>
      </c>
      <c r="C498" t="s">
        <v>297</v>
      </c>
      <c r="D498" t="s">
        <v>129</v>
      </c>
      <c r="E498" t="s">
        <v>43</v>
      </c>
      <c r="F498" t="s">
        <v>44</v>
      </c>
      <c r="G498">
        <v>34</v>
      </c>
      <c r="H498">
        <v>63.8</v>
      </c>
      <c r="I498">
        <v>2169.1999999999998</v>
      </c>
      <c r="J498">
        <v>69.650000000000006</v>
      </c>
      <c r="K498">
        <v>739.55</v>
      </c>
      <c r="L498" t="s">
        <v>26</v>
      </c>
      <c r="M498" t="s">
        <v>32</v>
      </c>
      <c r="N498" t="s">
        <v>130</v>
      </c>
    </row>
    <row r="499" spans="1:14" x14ac:dyDescent="0.25">
      <c r="A499" t="s">
        <v>652</v>
      </c>
      <c r="B499" t="s">
        <v>736</v>
      </c>
      <c r="C499" t="s">
        <v>176</v>
      </c>
      <c r="D499" t="s">
        <v>47</v>
      </c>
      <c r="E499" t="s">
        <v>83</v>
      </c>
      <c r="F499" t="s">
        <v>52</v>
      </c>
      <c r="G499">
        <v>50</v>
      </c>
      <c r="H499">
        <v>44.61</v>
      </c>
      <c r="I499">
        <v>2230.5</v>
      </c>
      <c r="J499">
        <v>91.32</v>
      </c>
      <c r="K499">
        <v>739.18</v>
      </c>
      <c r="L499" t="s">
        <v>38</v>
      </c>
      <c r="M499" t="s">
        <v>20</v>
      </c>
      <c r="N499" t="s">
        <v>21</v>
      </c>
    </row>
    <row r="500" spans="1:14" x14ac:dyDescent="0.25">
      <c r="A500" t="s">
        <v>653</v>
      </c>
      <c r="B500" t="s">
        <v>735</v>
      </c>
      <c r="C500" t="s">
        <v>71</v>
      </c>
      <c r="D500" t="s">
        <v>74</v>
      </c>
      <c r="E500" t="s">
        <v>63</v>
      </c>
      <c r="F500" t="s">
        <v>37</v>
      </c>
      <c r="G500">
        <v>14</v>
      </c>
      <c r="H500">
        <v>18.61</v>
      </c>
      <c r="I500">
        <v>260.54000000000002</v>
      </c>
      <c r="J500">
        <v>5.39</v>
      </c>
      <c r="K500">
        <v>76.650000000000006</v>
      </c>
      <c r="L500" t="s">
        <v>26</v>
      </c>
      <c r="M500" t="s">
        <v>32</v>
      </c>
      <c r="N500" t="s">
        <v>58</v>
      </c>
    </row>
    <row r="501" spans="1:14" x14ac:dyDescent="0.25">
      <c r="A501" t="s">
        <v>654</v>
      </c>
      <c r="B501" t="s">
        <v>734</v>
      </c>
      <c r="C501" t="s">
        <v>286</v>
      </c>
      <c r="D501" t="s">
        <v>24</v>
      </c>
      <c r="E501" t="s">
        <v>60</v>
      </c>
      <c r="F501" t="s">
        <v>52</v>
      </c>
      <c r="G501">
        <v>7</v>
      </c>
      <c r="H501">
        <v>24.61</v>
      </c>
      <c r="I501">
        <v>172.27</v>
      </c>
      <c r="J501">
        <v>9.64</v>
      </c>
      <c r="K501">
        <v>54.13</v>
      </c>
      <c r="L501" t="s">
        <v>38</v>
      </c>
      <c r="M501" t="s">
        <v>32</v>
      </c>
      <c r="N501" t="s">
        <v>28</v>
      </c>
    </row>
  </sheetData>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1"/>
  <sheetViews>
    <sheetView workbookViewId="0">
      <selection activeCell="J13" sqref="J13"/>
    </sheetView>
  </sheetViews>
  <sheetFormatPr defaultRowHeight="15" x14ac:dyDescent="0.25"/>
  <cols>
    <col min="1" max="1" width="10.42578125" bestFit="1" customWidth="1"/>
    <col min="2" max="2" width="16.140625" bestFit="1" customWidth="1"/>
    <col min="3" max="3" width="11.28515625" bestFit="1" customWidth="1"/>
    <col min="4" max="4" width="13.28515625" bestFit="1" customWidth="1"/>
    <col min="5" max="5" width="13.85546875" bestFit="1" customWidth="1"/>
    <col min="6" max="6" width="9.28515625" bestFit="1" customWidth="1"/>
  </cols>
  <sheetData>
    <row r="1" spans="1:6" x14ac:dyDescent="0.25">
      <c r="A1" s="3" t="s">
        <v>655</v>
      </c>
      <c r="B1" s="3" t="s">
        <v>4</v>
      </c>
      <c r="C1" s="3" t="s">
        <v>5</v>
      </c>
      <c r="D1" s="3" t="s">
        <v>656</v>
      </c>
      <c r="E1" s="3" t="s">
        <v>657</v>
      </c>
      <c r="F1" s="3" t="s">
        <v>658</v>
      </c>
    </row>
    <row r="2" spans="1:6" x14ac:dyDescent="0.25">
      <c r="A2" t="s">
        <v>659</v>
      </c>
      <c r="B2" t="s">
        <v>36</v>
      </c>
      <c r="C2" t="s">
        <v>37</v>
      </c>
      <c r="D2" t="s">
        <v>660</v>
      </c>
      <c r="E2" t="s">
        <v>55</v>
      </c>
      <c r="F2">
        <v>32</v>
      </c>
    </row>
    <row r="3" spans="1:6" x14ac:dyDescent="0.25">
      <c r="A3" t="s">
        <v>661</v>
      </c>
      <c r="B3" t="s">
        <v>60</v>
      </c>
      <c r="C3" t="s">
        <v>52</v>
      </c>
      <c r="D3" t="s">
        <v>662</v>
      </c>
      <c r="E3" t="s">
        <v>177</v>
      </c>
      <c r="F3">
        <v>15.5</v>
      </c>
    </row>
    <row r="4" spans="1:6" x14ac:dyDescent="0.25">
      <c r="A4" t="s">
        <v>663</v>
      </c>
      <c r="B4" t="s">
        <v>25</v>
      </c>
      <c r="C4" t="s">
        <v>18</v>
      </c>
      <c r="D4" t="s">
        <v>664</v>
      </c>
      <c r="E4" t="s">
        <v>31</v>
      </c>
      <c r="F4">
        <v>18</v>
      </c>
    </row>
    <row r="5" spans="1:6" x14ac:dyDescent="0.25">
      <c r="A5" t="s">
        <v>665</v>
      </c>
      <c r="B5" t="s">
        <v>63</v>
      </c>
      <c r="C5" t="s">
        <v>37</v>
      </c>
      <c r="D5" t="s">
        <v>666</v>
      </c>
      <c r="E5" t="s">
        <v>667</v>
      </c>
      <c r="F5">
        <v>12.75</v>
      </c>
    </row>
    <row r="6" spans="1:6" x14ac:dyDescent="0.25">
      <c r="A6" t="s">
        <v>668</v>
      </c>
      <c r="B6" t="s">
        <v>56</v>
      </c>
      <c r="C6" t="s">
        <v>57</v>
      </c>
      <c r="D6" t="s">
        <v>669</v>
      </c>
      <c r="E6" t="s">
        <v>670</v>
      </c>
      <c r="F6">
        <v>25</v>
      </c>
    </row>
    <row r="7" spans="1:6" x14ac:dyDescent="0.25">
      <c r="A7" t="s">
        <v>671</v>
      </c>
      <c r="B7" t="s">
        <v>48</v>
      </c>
      <c r="C7" t="s">
        <v>37</v>
      </c>
      <c r="D7" t="s">
        <v>672</v>
      </c>
      <c r="E7" t="s">
        <v>55</v>
      </c>
      <c r="F7">
        <v>20</v>
      </c>
    </row>
    <row r="8" spans="1:6" x14ac:dyDescent="0.25">
      <c r="A8" t="s">
        <v>673</v>
      </c>
      <c r="B8" t="s">
        <v>51</v>
      </c>
      <c r="C8" t="s">
        <v>52</v>
      </c>
      <c r="D8" t="s">
        <v>674</v>
      </c>
      <c r="E8" t="s">
        <v>177</v>
      </c>
      <c r="F8">
        <v>22.5</v>
      </c>
    </row>
    <row r="9" spans="1:6" x14ac:dyDescent="0.25">
      <c r="A9" t="s">
        <v>675</v>
      </c>
      <c r="B9" t="s">
        <v>17</v>
      </c>
      <c r="C9" t="s">
        <v>18</v>
      </c>
      <c r="D9" t="s">
        <v>676</v>
      </c>
      <c r="E9" t="s">
        <v>667</v>
      </c>
      <c r="F9">
        <v>35</v>
      </c>
    </row>
    <row r="10" spans="1:6" x14ac:dyDescent="0.25">
      <c r="A10" t="s">
        <v>677</v>
      </c>
      <c r="B10" t="s">
        <v>83</v>
      </c>
      <c r="C10" t="s">
        <v>52</v>
      </c>
      <c r="D10" t="s">
        <v>666</v>
      </c>
      <c r="E10" t="s">
        <v>177</v>
      </c>
      <c r="F10">
        <v>28</v>
      </c>
    </row>
    <row r="11" spans="1:6" x14ac:dyDescent="0.25">
      <c r="A11" t="s">
        <v>678</v>
      </c>
      <c r="B11" t="s">
        <v>43</v>
      </c>
      <c r="C11" t="s">
        <v>44</v>
      </c>
      <c r="D11" t="s">
        <v>679</v>
      </c>
      <c r="E11" t="s">
        <v>680</v>
      </c>
      <c r="F11">
        <v>40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7"/>
  <sheetViews>
    <sheetView workbookViewId="0">
      <selection activeCell="D7" sqref="A1:D7"/>
    </sheetView>
  </sheetViews>
  <sheetFormatPr defaultRowHeight="15" x14ac:dyDescent="0.25"/>
  <cols>
    <col min="1" max="1" width="12.140625" bestFit="1" customWidth="1"/>
    <col min="2" max="2" width="12.85546875" bestFit="1" customWidth="1"/>
    <col min="3" max="3" width="9.28515625" bestFit="1" customWidth="1"/>
    <col min="4" max="4" width="12.42578125" bestFit="1" customWidth="1"/>
  </cols>
  <sheetData>
    <row r="1" spans="1:4" x14ac:dyDescent="0.25">
      <c r="A1" s="3" t="s">
        <v>13</v>
      </c>
      <c r="B1" s="3" t="s">
        <v>706</v>
      </c>
      <c r="C1" s="3" t="s">
        <v>705</v>
      </c>
      <c r="D1" s="3" t="s">
        <v>704</v>
      </c>
    </row>
    <row r="2" spans="1:4" x14ac:dyDescent="0.25">
      <c r="A2" t="s">
        <v>21</v>
      </c>
      <c r="B2" t="s">
        <v>703</v>
      </c>
      <c r="C2" t="s">
        <v>694</v>
      </c>
      <c r="D2" t="s">
        <v>702</v>
      </c>
    </row>
    <row r="3" spans="1:4" x14ac:dyDescent="0.25">
      <c r="A3" t="s">
        <v>28</v>
      </c>
      <c r="B3" t="s">
        <v>701</v>
      </c>
      <c r="C3" t="s">
        <v>701</v>
      </c>
      <c r="D3" t="s">
        <v>700</v>
      </c>
    </row>
    <row r="4" spans="1:4" x14ac:dyDescent="0.25">
      <c r="A4" t="s">
        <v>58</v>
      </c>
      <c r="B4" t="s">
        <v>699</v>
      </c>
      <c r="C4" t="s">
        <v>699</v>
      </c>
      <c r="D4" t="s">
        <v>698</v>
      </c>
    </row>
    <row r="5" spans="1:4" x14ac:dyDescent="0.25">
      <c r="A5" t="s">
        <v>87</v>
      </c>
      <c r="B5" t="s">
        <v>697</v>
      </c>
      <c r="C5" t="s">
        <v>697</v>
      </c>
      <c r="D5" t="s">
        <v>696</v>
      </c>
    </row>
    <row r="6" spans="1:4" x14ac:dyDescent="0.25">
      <c r="A6" t="s">
        <v>39</v>
      </c>
      <c r="B6" t="s">
        <v>695</v>
      </c>
      <c r="C6" t="s">
        <v>694</v>
      </c>
      <c r="D6" t="s">
        <v>693</v>
      </c>
    </row>
    <row r="7" spans="1:4" x14ac:dyDescent="0.25">
      <c r="A7" t="s">
        <v>130</v>
      </c>
      <c r="B7" t="s">
        <v>692</v>
      </c>
      <c r="C7" t="s">
        <v>129</v>
      </c>
      <c r="D7" t="s">
        <v>691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N94"/>
  <sheetViews>
    <sheetView workbookViewId="0">
      <selection activeCell="R9" sqref="R9"/>
    </sheetView>
  </sheetViews>
  <sheetFormatPr defaultRowHeight="15" x14ac:dyDescent="0.25"/>
  <cols>
    <col min="1" max="1" width="12.140625" bestFit="1" customWidth="1"/>
    <col min="3" max="3" width="10.42578125" bestFit="1" customWidth="1"/>
    <col min="4" max="4" width="10.85546875" bestFit="1" customWidth="1"/>
    <col min="5" max="5" width="9.85546875" bestFit="1" customWidth="1"/>
    <col min="6" max="6" width="7.42578125" bestFit="1" customWidth="1"/>
    <col min="9" max="9" width="14" customWidth="1"/>
    <col min="10" max="10" width="8.7109375" style="10" customWidth="1"/>
    <col min="11" max="11" width="12.28515625" style="5" customWidth="1"/>
    <col min="12" max="12" width="12.7109375" style="5" customWidth="1"/>
    <col min="13" max="13" width="11.7109375" customWidth="1"/>
    <col min="14" max="14" width="9.28515625" customWidth="1"/>
  </cols>
  <sheetData>
    <row r="1" spans="1:14" x14ac:dyDescent="0.25">
      <c r="A1" s="3" t="s">
        <v>13</v>
      </c>
      <c r="B1" s="3" t="s">
        <v>727</v>
      </c>
      <c r="C1" s="3" t="s">
        <v>8</v>
      </c>
      <c r="D1" s="3" t="s">
        <v>726</v>
      </c>
      <c r="E1" s="3" t="s">
        <v>725</v>
      </c>
      <c r="F1" s="3" t="s">
        <v>724</v>
      </c>
      <c r="I1" s="7" t="s">
        <v>13</v>
      </c>
      <c r="J1" s="9" t="s">
        <v>727</v>
      </c>
      <c r="K1" s="11" t="s">
        <v>8</v>
      </c>
      <c r="L1" s="11" t="s">
        <v>726</v>
      </c>
      <c r="M1" s="7" t="s">
        <v>725</v>
      </c>
      <c r="N1" s="7" t="s">
        <v>724</v>
      </c>
    </row>
    <row r="2" spans="1:14" x14ac:dyDescent="0.25">
      <c r="A2" t="s">
        <v>87</v>
      </c>
      <c r="B2" t="s">
        <v>721</v>
      </c>
      <c r="C2">
        <v>3778.57</v>
      </c>
      <c r="D2">
        <v>1212.1199999999999</v>
      </c>
      <c r="E2">
        <v>3</v>
      </c>
      <c r="F2">
        <v>5</v>
      </c>
      <c r="I2" t="s">
        <v>58</v>
      </c>
      <c r="J2" s="10" t="s">
        <v>722</v>
      </c>
      <c r="K2" s="5">
        <v>12118.86</v>
      </c>
      <c r="L2" s="5">
        <v>2799.31</v>
      </c>
      <c r="M2">
        <v>11</v>
      </c>
      <c r="N2">
        <v>5</v>
      </c>
    </row>
    <row r="3" spans="1:14" x14ac:dyDescent="0.25">
      <c r="A3" t="s">
        <v>87</v>
      </c>
      <c r="B3" t="s">
        <v>720</v>
      </c>
      <c r="C3">
        <v>3519.18</v>
      </c>
      <c r="D3">
        <v>910.68</v>
      </c>
      <c r="E3">
        <v>2</v>
      </c>
      <c r="F3">
        <v>3</v>
      </c>
      <c r="I3" t="s">
        <v>28</v>
      </c>
      <c r="J3" s="10" t="s">
        <v>722</v>
      </c>
      <c r="K3" s="5">
        <v>5963.8</v>
      </c>
      <c r="L3" s="5">
        <v>1573.73</v>
      </c>
      <c r="M3">
        <v>5</v>
      </c>
      <c r="N3">
        <v>5</v>
      </c>
    </row>
    <row r="4" spans="1:14" x14ac:dyDescent="0.25">
      <c r="A4" t="s">
        <v>87</v>
      </c>
      <c r="B4" t="s">
        <v>719</v>
      </c>
      <c r="C4">
        <v>1765.51</v>
      </c>
      <c r="D4">
        <v>530.96</v>
      </c>
      <c r="E4">
        <v>2</v>
      </c>
      <c r="F4">
        <v>4</v>
      </c>
      <c r="I4" t="s">
        <v>21</v>
      </c>
      <c r="J4" s="10" t="s">
        <v>722</v>
      </c>
      <c r="K4" s="5">
        <v>4059.57</v>
      </c>
      <c r="L4" s="5">
        <v>1247.83</v>
      </c>
      <c r="M4">
        <v>5</v>
      </c>
      <c r="N4">
        <v>1</v>
      </c>
    </row>
    <row r="5" spans="1:14" x14ac:dyDescent="0.25">
      <c r="A5" t="s">
        <v>87</v>
      </c>
      <c r="B5" t="s">
        <v>717</v>
      </c>
      <c r="C5">
        <v>4768.72</v>
      </c>
      <c r="D5">
        <v>1717.12</v>
      </c>
      <c r="E5">
        <v>3</v>
      </c>
      <c r="F5">
        <v>7</v>
      </c>
      <c r="I5" t="s">
        <v>130</v>
      </c>
      <c r="J5" s="10" t="s">
        <v>722</v>
      </c>
      <c r="K5" s="5">
        <v>656.88</v>
      </c>
      <c r="L5" s="5">
        <v>167.02</v>
      </c>
      <c r="M5">
        <v>1</v>
      </c>
      <c r="N5">
        <v>9</v>
      </c>
    </row>
    <row r="6" spans="1:14" x14ac:dyDescent="0.25">
      <c r="A6" t="s">
        <v>87</v>
      </c>
      <c r="B6" t="s">
        <v>716</v>
      </c>
      <c r="C6">
        <v>751.14</v>
      </c>
      <c r="D6">
        <v>168.93</v>
      </c>
      <c r="E6">
        <v>4</v>
      </c>
      <c r="F6">
        <v>8</v>
      </c>
      <c r="I6" t="s">
        <v>39</v>
      </c>
      <c r="J6" s="10" t="s">
        <v>722</v>
      </c>
      <c r="K6" s="5">
        <v>843.2</v>
      </c>
      <c r="L6" s="5">
        <v>266.39</v>
      </c>
      <c r="M6">
        <v>1</v>
      </c>
      <c r="N6">
        <v>3</v>
      </c>
    </row>
    <row r="7" spans="1:14" x14ac:dyDescent="0.25">
      <c r="A7" t="s">
        <v>87</v>
      </c>
      <c r="B7" t="s">
        <v>714</v>
      </c>
      <c r="C7">
        <v>2704.41</v>
      </c>
      <c r="D7">
        <v>772.61</v>
      </c>
      <c r="E7">
        <v>3</v>
      </c>
      <c r="F7">
        <v>5</v>
      </c>
      <c r="I7" t="s">
        <v>87</v>
      </c>
      <c r="J7" s="10" t="s">
        <v>721</v>
      </c>
      <c r="K7" s="5">
        <v>3778.57</v>
      </c>
      <c r="L7" s="5">
        <v>1212.1199999999999</v>
      </c>
      <c r="M7">
        <v>3</v>
      </c>
      <c r="N7">
        <v>5</v>
      </c>
    </row>
    <row r="8" spans="1:14" x14ac:dyDescent="0.25">
      <c r="A8" t="s">
        <v>87</v>
      </c>
      <c r="B8" t="s">
        <v>713</v>
      </c>
      <c r="C8">
        <v>908.84</v>
      </c>
      <c r="D8">
        <v>264.43</v>
      </c>
      <c r="E8">
        <v>2</v>
      </c>
      <c r="F8">
        <v>6</v>
      </c>
      <c r="I8" t="s">
        <v>58</v>
      </c>
      <c r="J8" s="10" t="s">
        <v>721</v>
      </c>
      <c r="K8" s="5">
        <v>8766.07</v>
      </c>
      <c r="L8" s="5">
        <v>2416.6</v>
      </c>
      <c r="M8">
        <v>9</v>
      </c>
      <c r="N8">
        <v>6</v>
      </c>
    </row>
    <row r="9" spans="1:14" x14ac:dyDescent="0.25">
      <c r="A9" t="s">
        <v>87</v>
      </c>
      <c r="B9" t="s">
        <v>712</v>
      </c>
      <c r="C9">
        <v>794.82</v>
      </c>
      <c r="D9">
        <v>255.37</v>
      </c>
      <c r="E9">
        <v>1</v>
      </c>
      <c r="F9">
        <v>7</v>
      </c>
      <c r="I9" t="s">
        <v>28</v>
      </c>
      <c r="J9" s="10" t="s">
        <v>721</v>
      </c>
      <c r="K9" s="5">
        <v>10805.59</v>
      </c>
      <c r="L9" s="5">
        <v>3570.55</v>
      </c>
      <c r="M9">
        <v>11</v>
      </c>
      <c r="N9">
        <v>1</v>
      </c>
    </row>
    <row r="10" spans="1:14" x14ac:dyDescent="0.25">
      <c r="A10" t="s">
        <v>87</v>
      </c>
      <c r="B10" t="s">
        <v>711</v>
      </c>
      <c r="C10">
        <v>1882.75</v>
      </c>
      <c r="D10">
        <v>346.8</v>
      </c>
      <c r="E10">
        <v>4</v>
      </c>
      <c r="F10">
        <v>3</v>
      </c>
      <c r="I10" t="s">
        <v>21</v>
      </c>
      <c r="J10" s="10" t="s">
        <v>721</v>
      </c>
      <c r="K10" s="5">
        <v>5390.3499999999995</v>
      </c>
      <c r="L10" s="5">
        <v>1662.29</v>
      </c>
      <c r="M10">
        <v>5</v>
      </c>
      <c r="N10">
        <v>5</v>
      </c>
    </row>
    <row r="11" spans="1:14" x14ac:dyDescent="0.25">
      <c r="A11" t="s">
        <v>87</v>
      </c>
      <c r="B11" t="s">
        <v>710</v>
      </c>
      <c r="C11">
        <v>3269.37</v>
      </c>
      <c r="D11">
        <v>1085.4100000000001</v>
      </c>
      <c r="E11">
        <v>2</v>
      </c>
      <c r="F11">
        <v>2</v>
      </c>
      <c r="I11" t="s">
        <v>39</v>
      </c>
      <c r="J11" s="10" t="s">
        <v>721</v>
      </c>
      <c r="K11" s="5">
        <v>1171.42</v>
      </c>
      <c r="L11" s="5">
        <v>372.47</v>
      </c>
      <c r="M11">
        <v>1</v>
      </c>
      <c r="N11">
        <v>7</v>
      </c>
    </row>
    <row r="12" spans="1:14" x14ac:dyDescent="0.25">
      <c r="A12" t="s">
        <v>87</v>
      </c>
      <c r="B12" t="s">
        <v>709</v>
      </c>
      <c r="C12">
        <v>412.62</v>
      </c>
      <c r="D12">
        <v>155.44</v>
      </c>
      <c r="E12">
        <v>1</v>
      </c>
      <c r="F12">
        <v>8</v>
      </c>
      <c r="I12" t="s">
        <v>87</v>
      </c>
      <c r="J12" s="10" t="s">
        <v>720</v>
      </c>
      <c r="K12" s="5">
        <v>3519.18</v>
      </c>
      <c r="L12" s="5">
        <v>910.68</v>
      </c>
      <c r="M12">
        <v>2</v>
      </c>
      <c r="N12">
        <v>3</v>
      </c>
    </row>
    <row r="13" spans="1:14" x14ac:dyDescent="0.25">
      <c r="A13" t="s">
        <v>87</v>
      </c>
      <c r="B13" t="s">
        <v>723</v>
      </c>
      <c r="C13">
        <v>2964.8</v>
      </c>
      <c r="D13">
        <v>920.04</v>
      </c>
      <c r="E13">
        <v>4</v>
      </c>
      <c r="F13">
        <v>4</v>
      </c>
      <c r="I13" t="s">
        <v>58</v>
      </c>
      <c r="J13" s="10" t="s">
        <v>720</v>
      </c>
      <c r="K13" s="5">
        <v>7955.66</v>
      </c>
      <c r="L13" s="5">
        <v>2329.09</v>
      </c>
      <c r="M13">
        <v>9</v>
      </c>
      <c r="N13">
        <v>1</v>
      </c>
    </row>
    <row r="14" spans="1:14" x14ac:dyDescent="0.25">
      <c r="A14" t="s">
        <v>87</v>
      </c>
      <c r="B14" t="s">
        <v>708</v>
      </c>
      <c r="C14">
        <v>1974.31</v>
      </c>
      <c r="D14">
        <v>627.41</v>
      </c>
      <c r="E14">
        <v>2</v>
      </c>
      <c r="F14">
        <v>9</v>
      </c>
      <c r="I14" t="s">
        <v>28</v>
      </c>
      <c r="J14" s="10" t="s">
        <v>720</v>
      </c>
      <c r="K14" s="5">
        <v>5417.25</v>
      </c>
      <c r="L14" s="5">
        <v>1555.47</v>
      </c>
      <c r="M14">
        <v>5</v>
      </c>
      <c r="N14">
        <v>7</v>
      </c>
    </row>
    <row r="15" spans="1:14" x14ac:dyDescent="0.25">
      <c r="A15" t="s">
        <v>58</v>
      </c>
      <c r="B15" t="s">
        <v>722</v>
      </c>
      <c r="C15">
        <v>12118.86</v>
      </c>
      <c r="D15">
        <v>2799.31</v>
      </c>
      <c r="E15">
        <v>11</v>
      </c>
      <c r="F15">
        <v>5</v>
      </c>
      <c r="I15" t="s">
        <v>21</v>
      </c>
      <c r="J15" s="10" t="s">
        <v>720</v>
      </c>
      <c r="K15" s="5">
        <v>1064.19</v>
      </c>
      <c r="L15" s="5">
        <v>388.91</v>
      </c>
      <c r="M15">
        <v>3</v>
      </c>
      <c r="N15">
        <v>1</v>
      </c>
    </row>
    <row r="16" spans="1:14" x14ac:dyDescent="0.25">
      <c r="A16" t="s">
        <v>58</v>
      </c>
      <c r="B16" t="s">
        <v>721</v>
      </c>
      <c r="C16">
        <v>8766.07</v>
      </c>
      <c r="D16">
        <v>2416.6</v>
      </c>
      <c r="E16">
        <v>9</v>
      </c>
      <c r="F16">
        <v>6</v>
      </c>
      <c r="I16" t="s">
        <v>130</v>
      </c>
      <c r="J16" s="10" t="s">
        <v>720</v>
      </c>
      <c r="K16" s="5">
        <v>6450.38</v>
      </c>
      <c r="L16" s="5">
        <v>1428.65</v>
      </c>
      <c r="M16">
        <v>4</v>
      </c>
      <c r="N16">
        <v>3</v>
      </c>
    </row>
    <row r="17" spans="1:14" x14ac:dyDescent="0.25">
      <c r="A17" t="s">
        <v>58</v>
      </c>
      <c r="B17" t="s">
        <v>720</v>
      </c>
      <c r="C17">
        <v>7955.66</v>
      </c>
      <c r="D17">
        <v>2329.09</v>
      </c>
      <c r="E17">
        <v>9</v>
      </c>
      <c r="F17">
        <v>1</v>
      </c>
      <c r="I17" t="s">
        <v>39</v>
      </c>
      <c r="J17" s="10" t="s">
        <v>720</v>
      </c>
      <c r="K17" s="5">
        <v>3043.92</v>
      </c>
      <c r="L17" s="5">
        <v>836.17000000000007</v>
      </c>
      <c r="M17">
        <v>3</v>
      </c>
      <c r="N17">
        <v>5</v>
      </c>
    </row>
    <row r="18" spans="1:14" x14ac:dyDescent="0.25">
      <c r="A18" t="s">
        <v>58</v>
      </c>
      <c r="B18" t="s">
        <v>719</v>
      </c>
      <c r="C18">
        <v>5871.72</v>
      </c>
      <c r="D18">
        <v>1889.51</v>
      </c>
      <c r="E18">
        <v>6</v>
      </c>
      <c r="F18">
        <v>1</v>
      </c>
      <c r="I18" t="s">
        <v>87</v>
      </c>
      <c r="J18" s="10" t="s">
        <v>719</v>
      </c>
      <c r="K18" s="5">
        <v>1765.51</v>
      </c>
      <c r="L18" s="5">
        <v>530.96</v>
      </c>
      <c r="M18">
        <v>2</v>
      </c>
      <c r="N18">
        <v>4</v>
      </c>
    </row>
    <row r="19" spans="1:14" x14ac:dyDescent="0.25">
      <c r="A19" t="s">
        <v>58</v>
      </c>
      <c r="B19" t="s">
        <v>718</v>
      </c>
      <c r="C19">
        <v>5008.9399999999996</v>
      </c>
      <c r="D19">
        <v>1129.83</v>
      </c>
      <c r="E19">
        <v>7</v>
      </c>
      <c r="F19">
        <v>8</v>
      </c>
      <c r="I19" t="s">
        <v>58</v>
      </c>
      <c r="J19" s="10" t="s">
        <v>719</v>
      </c>
      <c r="K19" s="5">
        <v>5871.72</v>
      </c>
      <c r="L19" s="5">
        <v>1889.51</v>
      </c>
      <c r="M19">
        <v>6</v>
      </c>
      <c r="N19">
        <v>1</v>
      </c>
    </row>
    <row r="20" spans="1:14" x14ac:dyDescent="0.25">
      <c r="A20" t="s">
        <v>58</v>
      </c>
      <c r="B20" t="s">
        <v>717</v>
      </c>
      <c r="C20">
        <v>8767.11</v>
      </c>
      <c r="D20">
        <v>2622.31</v>
      </c>
      <c r="E20">
        <v>7</v>
      </c>
      <c r="F20">
        <v>3</v>
      </c>
      <c r="I20" t="s">
        <v>28</v>
      </c>
      <c r="J20" s="10" t="s">
        <v>719</v>
      </c>
      <c r="K20" s="5">
        <v>3447.44</v>
      </c>
      <c r="L20" s="5">
        <v>997.16000000000008</v>
      </c>
      <c r="M20">
        <v>5</v>
      </c>
      <c r="N20">
        <v>8</v>
      </c>
    </row>
    <row r="21" spans="1:14" x14ac:dyDescent="0.25">
      <c r="A21" t="s">
        <v>58</v>
      </c>
      <c r="B21" t="s">
        <v>716</v>
      </c>
      <c r="C21">
        <v>13074.39</v>
      </c>
      <c r="D21">
        <v>3550.23</v>
      </c>
      <c r="E21">
        <v>11</v>
      </c>
      <c r="F21">
        <v>2</v>
      </c>
      <c r="I21" t="s">
        <v>21</v>
      </c>
      <c r="J21" s="10" t="s">
        <v>719</v>
      </c>
      <c r="K21" s="5">
        <v>1721.74</v>
      </c>
      <c r="L21" s="5">
        <v>465.98</v>
      </c>
      <c r="M21">
        <v>3</v>
      </c>
      <c r="N21">
        <v>5</v>
      </c>
    </row>
    <row r="22" spans="1:14" x14ac:dyDescent="0.25">
      <c r="A22" t="s">
        <v>58</v>
      </c>
      <c r="B22" t="s">
        <v>715</v>
      </c>
      <c r="C22">
        <v>12111.05</v>
      </c>
      <c r="D22">
        <v>3346.91</v>
      </c>
      <c r="E22">
        <v>11</v>
      </c>
      <c r="F22">
        <v>1</v>
      </c>
      <c r="I22" t="s">
        <v>39</v>
      </c>
      <c r="J22" s="10" t="s">
        <v>719</v>
      </c>
      <c r="K22" s="5">
        <v>1269.94</v>
      </c>
      <c r="L22" s="5">
        <v>439</v>
      </c>
      <c r="M22">
        <v>2</v>
      </c>
      <c r="N22">
        <v>5</v>
      </c>
    </row>
    <row r="23" spans="1:14" x14ac:dyDescent="0.25">
      <c r="A23" t="s">
        <v>58</v>
      </c>
      <c r="B23" t="s">
        <v>714</v>
      </c>
      <c r="C23">
        <v>14892.08</v>
      </c>
      <c r="D23">
        <v>4197.32</v>
      </c>
      <c r="E23">
        <v>19</v>
      </c>
      <c r="F23">
        <v>1</v>
      </c>
      <c r="I23" t="s">
        <v>58</v>
      </c>
      <c r="J23" s="10" t="s">
        <v>718</v>
      </c>
      <c r="K23" s="5">
        <v>5008.9399999999996</v>
      </c>
      <c r="L23" s="5">
        <v>1129.83</v>
      </c>
      <c r="M23">
        <v>7</v>
      </c>
      <c r="N23">
        <v>8</v>
      </c>
    </row>
    <row r="24" spans="1:14" x14ac:dyDescent="0.25">
      <c r="A24" t="s">
        <v>58</v>
      </c>
      <c r="B24" t="s">
        <v>713</v>
      </c>
      <c r="C24">
        <v>8946.65</v>
      </c>
      <c r="D24">
        <v>3064.47</v>
      </c>
      <c r="E24">
        <v>9</v>
      </c>
      <c r="F24">
        <v>9</v>
      </c>
      <c r="I24" t="s">
        <v>28</v>
      </c>
      <c r="J24" s="10" t="s">
        <v>718</v>
      </c>
      <c r="K24" s="5">
        <v>2680.99</v>
      </c>
      <c r="L24" s="5">
        <v>567.59</v>
      </c>
      <c r="M24">
        <v>4</v>
      </c>
      <c r="N24">
        <v>1</v>
      </c>
    </row>
    <row r="25" spans="1:14" x14ac:dyDescent="0.25">
      <c r="A25" t="s">
        <v>58</v>
      </c>
      <c r="B25" t="s">
        <v>712</v>
      </c>
      <c r="C25">
        <v>13730.81</v>
      </c>
      <c r="D25">
        <v>3430.89</v>
      </c>
      <c r="E25">
        <v>13</v>
      </c>
      <c r="F25">
        <v>8</v>
      </c>
      <c r="I25" t="s">
        <v>21</v>
      </c>
      <c r="J25" s="10" t="s">
        <v>718</v>
      </c>
      <c r="K25" s="5">
        <v>8874.1</v>
      </c>
      <c r="L25" s="5">
        <v>2315.96</v>
      </c>
      <c r="M25">
        <v>8</v>
      </c>
      <c r="N25">
        <v>3</v>
      </c>
    </row>
    <row r="26" spans="1:14" x14ac:dyDescent="0.25">
      <c r="A26" t="s">
        <v>58</v>
      </c>
      <c r="B26" t="s">
        <v>711</v>
      </c>
      <c r="C26">
        <v>11679.03</v>
      </c>
      <c r="D26">
        <v>3081.7</v>
      </c>
      <c r="E26">
        <v>11</v>
      </c>
      <c r="F26">
        <v>3</v>
      </c>
      <c r="I26" t="s">
        <v>130</v>
      </c>
      <c r="J26" s="10" t="s">
        <v>718</v>
      </c>
      <c r="K26" s="5">
        <v>2045.91</v>
      </c>
      <c r="L26" s="5">
        <v>418.73</v>
      </c>
      <c r="M26">
        <v>3</v>
      </c>
      <c r="N26">
        <v>3</v>
      </c>
    </row>
    <row r="27" spans="1:14" x14ac:dyDescent="0.25">
      <c r="A27" t="s">
        <v>58</v>
      </c>
      <c r="B27" t="s">
        <v>710</v>
      </c>
      <c r="C27">
        <v>9897.75</v>
      </c>
      <c r="D27">
        <v>2652.22</v>
      </c>
      <c r="E27">
        <v>14</v>
      </c>
      <c r="F27">
        <v>5</v>
      </c>
      <c r="I27" t="s">
        <v>39</v>
      </c>
      <c r="J27" s="10" t="s">
        <v>718</v>
      </c>
      <c r="K27" s="5">
        <v>6434.71</v>
      </c>
      <c r="L27" s="5">
        <v>1817.21</v>
      </c>
      <c r="M27">
        <v>7</v>
      </c>
      <c r="N27">
        <v>7</v>
      </c>
    </row>
    <row r="28" spans="1:14" x14ac:dyDescent="0.25">
      <c r="A28" t="s">
        <v>58</v>
      </c>
      <c r="B28" t="s">
        <v>709</v>
      </c>
      <c r="C28">
        <v>5404.6900000000014</v>
      </c>
      <c r="D28">
        <v>1469.09</v>
      </c>
      <c r="E28">
        <v>8</v>
      </c>
      <c r="F28">
        <v>3</v>
      </c>
      <c r="I28" t="s">
        <v>87</v>
      </c>
      <c r="J28" s="10" t="s">
        <v>717</v>
      </c>
      <c r="K28" s="5">
        <v>4768.72</v>
      </c>
      <c r="L28" s="5">
        <v>1717.12</v>
      </c>
      <c r="M28">
        <v>3</v>
      </c>
      <c r="N28">
        <v>7</v>
      </c>
    </row>
    <row r="29" spans="1:14" x14ac:dyDescent="0.25">
      <c r="A29" t="s">
        <v>58</v>
      </c>
      <c r="B29" t="s">
        <v>723</v>
      </c>
      <c r="C29">
        <v>11784.96</v>
      </c>
      <c r="D29">
        <v>3759.57</v>
      </c>
      <c r="E29">
        <v>9</v>
      </c>
      <c r="F29">
        <v>5</v>
      </c>
      <c r="I29" t="s">
        <v>58</v>
      </c>
      <c r="J29" s="10" t="s">
        <v>717</v>
      </c>
      <c r="K29" s="5">
        <v>8767.11</v>
      </c>
      <c r="L29" s="5">
        <v>2622.31</v>
      </c>
      <c r="M29">
        <v>7</v>
      </c>
      <c r="N29">
        <v>3</v>
      </c>
    </row>
    <row r="30" spans="1:14" x14ac:dyDescent="0.25">
      <c r="A30" t="s">
        <v>58</v>
      </c>
      <c r="B30" t="s">
        <v>708</v>
      </c>
      <c r="C30">
        <v>16779.43</v>
      </c>
      <c r="D30">
        <v>5047.63</v>
      </c>
      <c r="E30">
        <v>17</v>
      </c>
      <c r="F30">
        <v>8</v>
      </c>
      <c r="I30" t="s">
        <v>28</v>
      </c>
      <c r="J30" s="10" t="s">
        <v>717</v>
      </c>
      <c r="K30" s="5">
        <v>15432.12</v>
      </c>
      <c r="L30" s="5">
        <v>4593.17</v>
      </c>
      <c r="M30">
        <v>16</v>
      </c>
      <c r="N30">
        <v>1</v>
      </c>
    </row>
    <row r="31" spans="1:14" x14ac:dyDescent="0.25">
      <c r="A31" t="s">
        <v>58</v>
      </c>
      <c r="B31" t="s">
        <v>707</v>
      </c>
      <c r="C31">
        <v>4379.2</v>
      </c>
      <c r="D31">
        <v>1129.18</v>
      </c>
      <c r="E31">
        <v>8</v>
      </c>
      <c r="F31">
        <v>1</v>
      </c>
      <c r="I31" t="s">
        <v>21</v>
      </c>
      <c r="J31" s="10" t="s">
        <v>717</v>
      </c>
      <c r="K31" s="5">
        <v>4737.55</v>
      </c>
      <c r="L31" s="5">
        <v>1543.71</v>
      </c>
      <c r="M31">
        <v>4</v>
      </c>
      <c r="N31">
        <v>1</v>
      </c>
    </row>
    <row r="32" spans="1:14" x14ac:dyDescent="0.25">
      <c r="A32" t="s">
        <v>28</v>
      </c>
      <c r="B32" t="s">
        <v>722</v>
      </c>
      <c r="C32">
        <v>5963.8</v>
      </c>
      <c r="D32">
        <v>1573.73</v>
      </c>
      <c r="E32">
        <v>5</v>
      </c>
      <c r="F32">
        <v>5</v>
      </c>
      <c r="I32" t="s">
        <v>130</v>
      </c>
      <c r="J32" s="10" t="s">
        <v>717</v>
      </c>
      <c r="K32" s="5">
        <v>2355.85</v>
      </c>
      <c r="L32" s="5">
        <v>356.88</v>
      </c>
      <c r="M32">
        <v>2</v>
      </c>
      <c r="N32">
        <v>1</v>
      </c>
    </row>
    <row r="33" spans="1:14" x14ac:dyDescent="0.25">
      <c r="A33" t="s">
        <v>28</v>
      </c>
      <c r="B33" t="s">
        <v>721</v>
      </c>
      <c r="C33">
        <v>10805.59</v>
      </c>
      <c r="D33">
        <v>3570.55</v>
      </c>
      <c r="E33">
        <v>11</v>
      </c>
      <c r="F33">
        <v>1</v>
      </c>
      <c r="I33" t="s">
        <v>39</v>
      </c>
      <c r="J33" s="10" t="s">
        <v>717</v>
      </c>
      <c r="K33" s="5">
        <v>2631.25</v>
      </c>
      <c r="L33" s="5">
        <v>942.72</v>
      </c>
      <c r="M33">
        <v>2</v>
      </c>
      <c r="N33">
        <v>4</v>
      </c>
    </row>
    <row r="34" spans="1:14" x14ac:dyDescent="0.25">
      <c r="A34" t="s">
        <v>28</v>
      </c>
      <c r="B34" t="s">
        <v>720</v>
      </c>
      <c r="C34">
        <v>5417.25</v>
      </c>
      <c r="D34">
        <v>1555.47</v>
      </c>
      <c r="E34">
        <v>5</v>
      </c>
      <c r="F34">
        <v>7</v>
      </c>
      <c r="I34" t="s">
        <v>87</v>
      </c>
      <c r="J34" s="10" t="s">
        <v>716</v>
      </c>
      <c r="K34" s="5">
        <v>751.14</v>
      </c>
      <c r="L34" s="5">
        <v>168.93</v>
      </c>
      <c r="M34">
        <v>4</v>
      </c>
      <c r="N34">
        <v>8</v>
      </c>
    </row>
    <row r="35" spans="1:14" x14ac:dyDescent="0.25">
      <c r="A35" t="s">
        <v>28</v>
      </c>
      <c r="B35" t="s">
        <v>719</v>
      </c>
      <c r="C35">
        <v>3447.44</v>
      </c>
      <c r="D35">
        <v>997.16000000000008</v>
      </c>
      <c r="E35">
        <v>5</v>
      </c>
      <c r="F35">
        <v>8</v>
      </c>
      <c r="I35" t="s">
        <v>58</v>
      </c>
      <c r="J35" s="10" t="s">
        <v>716</v>
      </c>
      <c r="K35" s="5">
        <v>13074.39</v>
      </c>
      <c r="L35" s="5">
        <v>3550.23</v>
      </c>
      <c r="M35">
        <v>11</v>
      </c>
      <c r="N35">
        <v>2</v>
      </c>
    </row>
    <row r="36" spans="1:14" x14ac:dyDescent="0.25">
      <c r="A36" t="s">
        <v>28</v>
      </c>
      <c r="B36" t="s">
        <v>718</v>
      </c>
      <c r="C36">
        <v>2680.99</v>
      </c>
      <c r="D36">
        <v>567.59</v>
      </c>
      <c r="E36">
        <v>4</v>
      </c>
      <c r="F36">
        <v>1</v>
      </c>
      <c r="I36" t="s">
        <v>28</v>
      </c>
      <c r="J36" s="10" t="s">
        <v>716</v>
      </c>
      <c r="K36" s="5">
        <v>10623.02</v>
      </c>
      <c r="L36" s="5">
        <v>3155.49</v>
      </c>
      <c r="M36">
        <v>15</v>
      </c>
      <c r="N36">
        <v>8</v>
      </c>
    </row>
    <row r="37" spans="1:14" x14ac:dyDescent="0.25">
      <c r="A37" t="s">
        <v>28</v>
      </c>
      <c r="B37" t="s">
        <v>717</v>
      </c>
      <c r="C37">
        <v>15432.12</v>
      </c>
      <c r="D37">
        <v>4593.17</v>
      </c>
      <c r="E37">
        <v>16</v>
      </c>
      <c r="F37">
        <v>1</v>
      </c>
      <c r="I37" t="s">
        <v>21</v>
      </c>
      <c r="J37" s="10" t="s">
        <v>716</v>
      </c>
      <c r="K37" s="5">
        <v>2262.48</v>
      </c>
      <c r="L37" s="5">
        <v>463.63</v>
      </c>
      <c r="M37">
        <v>2</v>
      </c>
      <c r="N37">
        <v>1</v>
      </c>
    </row>
    <row r="38" spans="1:14" x14ac:dyDescent="0.25">
      <c r="A38" t="s">
        <v>28</v>
      </c>
      <c r="B38" t="s">
        <v>716</v>
      </c>
      <c r="C38">
        <v>10623.02</v>
      </c>
      <c r="D38">
        <v>3155.49</v>
      </c>
      <c r="E38">
        <v>15</v>
      </c>
      <c r="F38">
        <v>8</v>
      </c>
      <c r="I38" t="s">
        <v>130</v>
      </c>
      <c r="J38" s="10" t="s">
        <v>716</v>
      </c>
      <c r="K38" s="5">
        <v>2376.6799999999998</v>
      </c>
      <c r="L38" s="5">
        <v>773.68</v>
      </c>
      <c r="M38">
        <v>3</v>
      </c>
      <c r="N38">
        <v>6</v>
      </c>
    </row>
    <row r="39" spans="1:14" x14ac:dyDescent="0.25">
      <c r="A39" t="s">
        <v>28</v>
      </c>
      <c r="B39" t="s">
        <v>715</v>
      </c>
      <c r="C39">
        <v>6538.51</v>
      </c>
      <c r="D39">
        <v>1686.63</v>
      </c>
      <c r="E39">
        <v>10</v>
      </c>
      <c r="F39">
        <v>1</v>
      </c>
      <c r="I39" t="s">
        <v>39</v>
      </c>
      <c r="J39" s="10" t="s">
        <v>716</v>
      </c>
      <c r="K39" s="5">
        <v>1201.2</v>
      </c>
      <c r="L39" s="5">
        <v>329.23</v>
      </c>
      <c r="M39">
        <v>1</v>
      </c>
      <c r="N39">
        <v>8</v>
      </c>
    </row>
    <row r="40" spans="1:14" x14ac:dyDescent="0.25">
      <c r="A40" t="s">
        <v>28</v>
      </c>
      <c r="B40" t="s">
        <v>714</v>
      </c>
      <c r="C40">
        <v>4338.0200000000004</v>
      </c>
      <c r="D40">
        <v>941.58999999999992</v>
      </c>
      <c r="E40">
        <v>5</v>
      </c>
      <c r="F40">
        <v>6</v>
      </c>
      <c r="I40" t="s">
        <v>58</v>
      </c>
      <c r="J40" s="10" t="s">
        <v>715</v>
      </c>
      <c r="K40" s="5">
        <v>12111.05</v>
      </c>
      <c r="L40" s="5">
        <v>3346.91</v>
      </c>
      <c r="M40">
        <v>11</v>
      </c>
      <c r="N40">
        <v>1</v>
      </c>
    </row>
    <row r="41" spans="1:14" x14ac:dyDescent="0.25">
      <c r="A41" t="s">
        <v>28</v>
      </c>
      <c r="B41" t="s">
        <v>713</v>
      </c>
      <c r="C41">
        <v>6894.59</v>
      </c>
      <c r="D41">
        <v>2046.19</v>
      </c>
      <c r="E41">
        <v>11</v>
      </c>
      <c r="F41">
        <v>2</v>
      </c>
      <c r="I41" t="s">
        <v>28</v>
      </c>
      <c r="J41" s="10" t="s">
        <v>715</v>
      </c>
      <c r="K41" s="5">
        <v>6538.51</v>
      </c>
      <c r="L41" s="5">
        <v>1686.63</v>
      </c>
      <c r="M41">
        <v>10</v>
      </c>
      <c r="N41">
        <v>1</v>
      </c>
    </row>
    <row r="42" spans="1:14" x14ac:dyDescent="0.25">
      <c r="A42" t="s">
        <v>28</v>
      </c>
      <c r="B42" t="s">
        <v>712</v>
      </c>
      <c r="C42">
        <v>6006.6500000000005</v>
      </c>
      <c r="D42">
        <v>1368.08</v>
      </c>
      <c r="E42">
        <v>7</v>
      </c>
      <c r="F42">
        <v>6</v>
      </c>
      <c r="I42" t="s">
        <v>21</v>
      </c>
      <c r="J42" s="10" t="s">
        <v>715</v>
      </c>
      <c r="K42" s="5">
        <v>2443.42</v>
      </c>
      <c r="L42" s="5">
        <v>578.91999999999996</v>
      </c>
      <c r="M42">
        <v>2</v>
      </c>
      <c r="N42">
        <v>7</v>
      </c>
    </row>
    <row r="43" spans="1:14" x14ac:dyDescent="0.25">
      <c r="A43" t="s">
        <v>28</v>
      </c>
      <c r="B43" t="s">
        <v>711</v>
      </c>
      <c r="C43">
        <v>5718.61</v>
      </c>
      <c r="D43">
        <v>1342.18</v>
      </c>
      <c r="E43">
        <v>7</v>
      </c>
      <c r="F43">
        <v>6</v>
      </c>
      <c r="I43" t="s">
        <v>39</v>
      </c>
      <c r="J43" s="10" t="s">
        <v>715</v>
      </c>
      <c r="K43" s="5">
        <v>7486.09</v>
      </c>
      <c r="L43" s="5">
        <v>2363.9299999999998</v>
      </c>
      <c r="M43">
        <v>5</v>
      </c>
      <c r="N43">
        <v>3</v>
      </c>
    </row>
    <row r="44" spans="1:14" x14ac:dyDescent="0.25">
      <c r="A44" t="s">
        <v>28</v>
      </c>
      <c r="B44" t="s">
        <v>710</v>
      </c>
      <c r="C44">
        <v>8016.39</v>
      </c>
      <c r="D44">
        <v>2485.71</v>
      </c>
      <c r="E44">
        <v>8</v>
      </c>
      <c r="F44">
        <v>9</v>
      </c>
      <c r="I44" t="s">
        <v>87</v>
      </c>
      <c r="J44" s="10" t="s">
        <v>714</v>
      </c>
      <c r="K44" s="5">
        <v>2704.41</v>
      </c>
      <c r="L44" s="5">
        <v>772.61</v>
      </c>
      <c r="M44">
        <v>3</v>
      </c>
      <c r="N44">
        <v>5</v>
      </c>
    </row>
    <row r="45" spans="1:14" x14ac:dyDescent="0.25">
      <c r="A45" t="s">
        <v>28</v>
      </c>
      <c r="B45" t="s">
        <v>709</v>
      </c>
      <c r="C45">
        <v>5431.37</v>
      </c>
      <c r="D45">
        <v>1032.25</v>
      </c>
      <c r="E45">
        <v>5</v>
      </c>
      <c r="F45">
        <v>3</v>
      </c>
      <c r="I45" t="s">
        <v>58</v>
      </c>
      <c r="J45" s="10" t="s">
        <v>714</v>
      </c>
      <c r="K45" s="5">
        <v>14892.08</v>
      </c>
      <c r="L45" s="5">
        <v>4197.32</v>
      </c>
      <c r="M45">
        <v>19</v>
      </c>
      <c r="N45">
        <v>1</v>
      </c>
    </row>
    <row r="46" spans="1:14" x14ac:dyDescent="0.25">
      <c r="A46" t="s">
        <v>28</v>
      </c>
      <c r="B46" t="s">
        <v>723</v>
      </c>
      <c r="C46">
        <v>9021.380000000001</v>
      </c>
      <c r="D46">
        <v>3026.61</v>
      </c>
      <c r="E46">
        <v>7</v>
      </c>
      <c r="F46">
        <v>5</v>
      </c>
      <c r="I46" t="s">
        <v>28</v>
      </c>
      <c r="J46" s="10" t="s">
        <v>714</v>
      </c>
      <c r="K46" s="5">
        <v>4338.0200000000004</v>
      </c>
      <c r="L46" s="5">
        <v>941.58999999999992</v>
      </c>
      <c r="M46">
        <v>5</v>
      </c>
      <c r="N46">
        <v>6</v>
      </c>
    </row>
    <row r="47" spans="1:14" x14ac:dyDescent="0.25">
      <c r="A47" t="s">
        <v>28</v>
      </c>
      <c r="B47" t="s">
        <v>708</v>
      </c>
      <c r="C47">
        <v>7453.18</v>
      </c>
      <c r="D47">
        <v>1835.78</v>
      </c>
      <c r="E47">
        <v>8</v>
      </c>
      <c r="F47">
        <v>6</v>
      </c>
      <c r="I47" t="s">
        <v>21</v>
      </c>
      <c r="J47" s="10" t="s">
        <v>714</v>
      </c>
      <c r="K47" s="5">
        <v>5589.5999999999995</v>
      </c>
      <c r="L47" s="5">
        <v>1545.11</v>
      </c>
      <c r="M47">
        <v>7</v>
      </c>
      <c r="N47">
        <v>1</v>
      </c>
    </row>
    <row r="48" spans="1:14" x14ac:dyDescent="0.25">
      <c r="A48" t="s">
        <v>28</v>
      </c>
      <c r="B48" t="s">
        <v>707</v>
      </c>
      <c r="C48">
        <v>1425.71</v>
      </c>
      <c r="D48">
        <v>356.57</v>
      </c>
      <c r="E48">
        <v>5</v>
      </c>
      <c r="F48">
        <v>5</v>
      </c>
      <c r="I48" t="s">
        <v>130</v>
      </c>
      <c r="J48" s="10" t="s">
        <v>714</v>
      </c>
      <c r="K48" s="5">
        <v>2832.86</v>
      </c>
      <c r="L48" s="5">
        <v>661.32999999999993</v>
      </c>
      <c r="M48">
        <v>3</v>
      </c>
      <c r="N48">
        <v>9</v>
      </c>
    </row>
    <row r="49" spans="1:14" x14ac:dyDescent="0.25">
      <c r="A49" t="s">
        <v>21</v>
      </c>
      <c r="B49" t="s">
        <v>722</v>
      </c>
      <c r="C49">
        <v>4059.57</v>
      </c>
      <c r="D49">
        <v>1247.83</v>
      </c>
      <c r="E49">
        <v>5</v>
      </c>
      <c r="F49">
        <v>1</v>
      </c>
      <c r="I49" t="s">
        <v>39</v>
      </c>
      <c r="J49" s="10" t="s">
        <v>714</v>
      </c>
      <c r="K49" s="5">
        <v>1381.76</v>
      </c>
      <c r="L49" s="5">
        <v>269.22000000000003</v>
      </c>
      <c r="M49">
        <v>1</v>
      </c>
      <c r="N49">
        <v>6</v>
      </c>
    </row>
    <row r="50" spans="1:14" x14ac:dyDescent="0.25">
      <c r="A50" t="s">
        <v>21</v>
      </c>
      <c r="B50" t="s">
        <v>721</v>
      </c>
      <c r="C50">
        <v>5390.3499999999995</v>
      </c>
      <c r="D50">
        <v>1662.29</v>
      </c>
      <c r="E50">
        <v>5</v>
      </c>
      <c r="F50">
        <v>5</v>
      </c>
      <c r="I50" t="s">
        <v>87</v>
      </c>
      <c r="J50" s="10" t="s">
        <v>713</v>
      </c>
      <c r="K50" s="5">
        <v>908.84</v>
      </c>
      <c r="L50" s="5">
        <v>264.43</v>
      </c>
      <c r="M50">
        <v>2</v>
      </c>
      <c r="N50">
        <v>6</v>
      </c>
    </row>
    <row r="51" spans="1:14" x14ac:dyDescent="0.25">
      <c r="A51" t="s">
        <v>21</v>
      </c>
      <c r="B51" t="s">
        <v>720</v>
      </c>
      <c r="C51">
        <v>1064.19</v>
      </c>
      <c r="D51">
        <v>388.91</v>
      </c>
      <c r="E51">
        <v>3</v>
      </c>
      <c r="F51">
        <v>1</v>
      </c>
      <c r="I51" t="s">
        <v>58</v>
      </c>
      <c r="J51" s="10" t="s">
        <v>713</v>
      </c>
      <c r="K51" s="5">
        <v>8946.65</v>
      </c>
      <c r="L51" s="5">
        <v>3064.47</v>
      </c>
      <c r="M51">
        <v>9</v>
      </c>
      <c r="N51">
        <v>9</v>
      </c>
    </row>
    <row r="52" spans="1:14" x14ac:dyDescent="0.25">
      <c r="A52" t="s">
        <v>21</v>
      </c>
      <c r="B52" t="s">
        <v>719</v>
      </c>
      <c r="C52">
        <v>1721.74</v>
      </c>
      <c r="D52">
        <v>465.98</v>
      </c>
      <c r="E52">
        <v>3</v>
      </c>
      <c r="F52">
        <v>5</v>
      </c>
      <c r="I52" t="s">
        <v>28</v>
      </c>
      <c r="J52" s="10" t="s">
        <v>713</v>
      </c>
      <c r="K52" s="5">
        <v>6894.59</v>
      </c>
      <c r="L52" s="5">
        <v>2046.19</v>
      </c>
      <c r="M52">
        <v>11</v>
      </c>
      <c r="N52">
        <v>2</v>
      </c>
    </row>
    <row r="53" spans="1:14" x14ac:dyDescent="0.25">
      <c r="A53" t="s">
        <v>21</v>
      </c>
      <c r="B53" t="s">
        <v>718</v>
      </c>
      <c r="C53">
        <v>8874.1</v>
      </c>
      <c r="D53">
        <v>2315.96</v>
      </c>
      <c r="E53">
        <v>8</v>
      </c>
      <c r="F53">
        <v>3</v>
      </c>
      <c r="I53" t="s">
        <v>21</v>
      </c>
      <c r="J53" s="10" t="s">
        <v>713</v>
      </c>
      <c r="K53" s="5">
        <v>7347.76</v>
      </c>
      <c r="L53" s="5">
        <v>1856.14</v>
      </c>
      <c r="M53">
        <v>7</v>
      </c>
      <c r="N53">
        <v>2</v>
      </c>
    </row>
    <row r="54" spans="1:14" x14ac:dyDescent="0.25">
      <c r="A54" t="s">
        <v>21</v>
      </c>
      <c r="B54" t="s">
        <v>717</v>
      </c>
      <c r="C54">
        <v>4737.55</v>
      </c>
      <c r="D54">
        <v>1543.71</v>
      </c>
      <c r="E54">
        <v>4</v>
      </c>
      <c r="F54">
        <v>1</v>
      </c>
      <c r="I54" t="s">
        <v>130</v>
      </c>
      <c r="J54" s="10" t="s">
        <v>713</v>
      </c>
      <c r="K54" s="5">
        <v>935.88</v>
      </c>
      <c r="L54" s="5">
        <v>186.51</v>
      </c>
      <c r="M54">
        <v>1</v>
      </c>
      <c r="N54">
        <v>4</v>
      </c>
    </row>
    <row r="55" spans="1:14" x14ac:dyDescent="0.25">
      <c r="A55" t="s">
        <v>21</v>
      </c>
      <c r="B55" t="s">
        <v>716</v>
      </c>
      <c r="C55">
        <v>2262.48</v>
      </c>
      <c r="D55">
        <v>463.63</v>
      </c>
      <c r="E55">
        <v>2</v>
      </c>
      <c r="F55">
        <v>1</v>
      </c>
      <c r="I55" t="s">
        <v>39</v>
      </c>
      <c r="J55" s="10" t="s">
        <v>713</v>
      </c>
      <c r="K55" s="5">
        <v>338.16</v>
      </c>
      <c r="L55" s="5">
        <v>134.77000000000001</v>
      </c>
      <c r="M55">
        <v>1</v>
      </c>
      <c r="N55">
        <v>4</v>
      </c>
    </row>
    <row r="56" spans="1:14" x14ac:dyDescent="0.25">
      <c r="A56" t="s">
        <v>21</v>
      </c>
      <c r="B56" t="s">
        <v>715</v>
      </c>
      <c r="C56">
        <v>2443.42</v>
      </c>
      <c r="D56">
        <v>578.91999999999996</v>
      </c>
      <c r="E56">
        <v>2</v>
      </c>
      <c r="F56">
        <v>7</v>
      </c>
      <c r="I56" t="s">
        <v>87</v>
      </c>
      <c r="J56" s="10" t="s">
        <v>712</v>
      </c>
      <c r="K56" s="5">
        <v>794.82</v>
      </c>
      <c r="L56" s="5">
        <v>255.37</v>
      </c>
      <c r="M56">
        <v>1</v>
      </c>
      <c r="N56">
        <v>7</v>
      </c>
    </row>
    <row r="57" spans="1:14" x14ac:dyDescent="0.25">
      <c r="A57" t="s">
        <v>21</v>
      </c>
      <c r="B57" t="s">
        <v>714</v>
      </c>
      <c r="C57">
        <v>5589.5999999999995</v>
      </c>
      <c r="D57">
        <v>1545.11</v>
      </c>
      <c r="E57">
        <v>7</v>
      </c>
      <c r="F57">
        <v>1</v>
      </c>
      <c r="I57" t="s">
        <v>58</v>
      </c>
      <c r="J57" s="10" t="s">
        <v>712</v>
      </c>
      <c r="K57" s="5">
        <v>13730.81</v>
      </c>
      <c r="L57" s="5">
        <v>3430.89</v>
      </c>
      <c r="M57">
        <v>13</v>
      </c>
      <c r="N57">
        <v>8</v>
      </c>
    </row>
    <row r="58" spans="1:14" x14ac:dyDescent="0.25">
      <c r="A58" t="s">
        <v>21</v>
      </c>
      <c r="B58" t="s">
        <v>713</v>
      </c>
      <c r="C58">
        <v>7347.76</v>
      </c>
      <c r="D58">
        <v>1856.14</v>
      </c>
      <c r="E58">
        <v>7</v>
      </c>
      <c r="F58">
        <v>2</v>
      </c>
      <c r="I58" t="s">
        <v>28</v>
      </c>
      <c r="J58" s="10" t="s">
        <v>712</v>
      </c>
      <c r="K58" s="5">
        <v>6006.6500000000005</v>
      </c>
      <c r="L58" s="5">
        <v>1368.08</v>
      </c>
      <c r="M58">
        <v>7</v>
      </c>
      <c r="N58">
        <v>6</v>
      </c>
    </row>
    <row r="59" spans="1:14" x14ac:dyDescent="0.25">
      <c r="A59" t="s">
        <v>21</v>
      </c>
      <c r="B59" t="s">
        <v>712</v>
      </c>
      <c r="C59">
        <v>6488.83</v>
      </c>
      <c r="D59">
        <v>1394.89</v>
      </c>
      <c r="E59">
        <v>5</v>
      </c>
      <c r="F59">
        <v>5</v>
      </c>
      <c r="I59" t="s">
        <v>21</v>
      </c>
      <c r="J59" s="10" t="s">
        <v>712</v>
      </c>
      <c r="K59" s="5">
        <v>6488.83</v>
      </c>
      <c r="L59" s="5">
        <v>1394.89</v>
      </c>
      <c r="M59">
        <v>5</v>
      </c>
      <c r="N59">
        <v>5</v>
      </c>
    </row>
    <row r="60" spans="1:14" x14ac:dyDescent="0.25">
      <c r="A60" t="s">
        <v>21</v>
      </c>
      <c r="B60" t="s">
        <v>711</v>
      </c>
      <c r="C60">
        <v>13213.87</v>
      </c>
      <c r="D60">
        <v>3606.27</v>
      </c>
      <c r="E60">
        <v>12</v>
      </c>
      <c r="F60">
        <v>7</v>
      </c>
      <c r="I60" t="s">
        <v>130</v>
      </c>
      <c r="J60" s="10" t="s">
        <v>712</v>
      </c>
      <c r="K60" s="5">
        <v>1719.38</v>
      </c>
      <c r="L60" s="5">
        <v>447.82000000000011</v>
      </c>
      <c r="M60">
        <v>2</v>
      </c>
      <c r="N60">
        <v>1</v>
      </c>
    </row>
    <row r="61" spans="1:14" x14ac:dyDescent="0.25">
      <c r="A61" t="s">
        <v>21</v>
      </c>
      <c r="B61" t="s">
        <v>710</v>
      </c>
      <c r="C61">
        <v>2048.6</v>
      </c>
      <c r="D61">
        <v>626.04999999999995</v>
      </c>
      <c r="E61">
        <v>3</v>
      </c>
      <c r="F61">
        <v>1</v>
      </c>
      <c r="I61" t="s">
        <v>39</v>
      </c>
      <c r="J61" s="10" t="s">
        <v>712</v>
      </c>
      <c r="K61" s="5">
        <v>3025.92</v>
      </c>
      <c r="L61" s="5">
        <v>866.08</v>
      </c>
      <c r="M61">
        <v>3</v>
      </c>
      <c r="N61">
        <v>7</v>
      </c>
    </row>
    <row r="62" spans="1:14" x14ac:dyDescent="0.25">
      <c r="A62" t="s">
        <v>21</v>
      </c>
      <c r="B62" t="s">
        <v>709</v>
      </c>
      <c r="C62">
        <v>9137.09</v>
      </c>
      <c r="D62">
        <v>3200.92</v>
      </c>
      <c r="E62">
        <v>8</v>
      </c>
      <c r="F62">
        <v>7</v>
      </c>
      <c r="I62" t="s">
        <v>87</v>
      </c>
      <c r="J62" s="10" t="s">
        <v>711</v>
      </c>
      <c r="K62" s="5">
        <v>1882.75</v>
      </c>
      <c r="L62" s="5">
        <v>346.8</v>
      </c>
      <c r="M62">
        <v>4</v>
      </c>
      <c r="N62">
        <v>3</v>
      </c>
    </row>
    <row r="63" spans="1:14" x14ac:dyDescent="0.25">
      <c r="A63" t="s">
        <v>21</v>
      </c>
      <c r="B63" t="s">
        <v>723</v>
      </c>
      <c r="C63">
        <v>3271.86</v>
      </c>
      <c r="D63">
        <v>762.28</v>
      </c>
      <c r="E63">
        <v>4</v>
      </c>
      <c r="F63">
        <v>7</v>
      </c>
      <c r="I63" t="s">
        <v>58</v>
      </c>
      <c r="J63" s="10" t="s">
        <v>711</v>
      </c>
      <c r="K63" s="5">
        <v>11679.03</v>
      </c>
      <c r="L63" s="5">
        <v>3081.7</v>
      </c>
      <c r="M63">
        <v>11</v>
      </c>
      <c r="N63">
        <v>3</v>
      </c>
    </row>
    <row r="64" spans="1:14" x14ac:dyDescent="0.25">
      <c r="A64" t="s">
        <v>21</v>
      </c>
      <c r="B64" t="s">
        <v>708</v>
      </c>
      <c r="C64">
        <v>6394.1900000000014</v>
      </c>
      <c r="D64">
        <v>1658.61</v>
      </c>
      <c r="E64">
        <v>7</v>
      </c>
      <c r="F64">
        <v>4</v>
      </c>
      <c r="I64" t="s">
        <v>28</v>
      </c>
      <c r="J64" s="10" t="s">
        <v>711</v>
      </c>
      <c r="K64" s="5">
        <v>5718.61</v>
      </c>
      <c r="L64" s="5">
        <v>1342.18</v>
      </c>
      <c r="M64">
        <v>7</v>
      </c>
      <c r="N64">
        <v>6</v>
      </c>
    </row>
    <row r="65" spans="1:14" x14ac:dyDescent="0.25">
      <c r="A65" t="s">
        <v>21</v>
      </c>
      <c r="B65" t="s">
        <v>707</v>
      </c>
      <c r="C65">
        <v>2899.87</v>
      </c>
      <c r="D65">
        <v>735.74</v>
      </c>
      <c r="E65">
        <v>2</v>
      </c>
      <c r="F65">
        <v>9</v>
      </c>
      <c r="I65" t="s">
        <v>21</v>
      </c>
      <c r="J65" s="10" t="s">
        <v>711</v>
      </c>
      <c r="K65" s="5">
        <v>13213.87</v>
      </c>
      <c r="L65" s="5">
        <v>3606.27</v>
      </c>
      <c r="M65">
        <v>12</v>
      </c>
      <c r="N65">
        <v>7</v>
      </c>
    </row>
    <row r="66" spans="1:14" x14ac:dyDescent="0.25">
      <c r="A66" t="s">
        <v>130</v>
      </c>
      <c r="B66" t="s">
        <v>722</v>
      </c>
      <c r="C66">
        <v>656.88</v>
      </c>
      <c r="D66">
        <v>167.02</v>
      </c>
      <c r="E66">
        <v>1</v>
      </c>
      <c r="F66">
        <v>9</v>
      </c>
      <c r="I66" t="s">
        <v>130</v>
      </c>
      <c r="J66" s="10" t="s">
        <v>711</v>
      </c>
      <c r="K66" s="5">
        <v>3220</v>
      </c>
      <c r="L66" s="5">
        <v>1219.8900000000001</v>
      </c>
      <c r="M66">
        <v>1</v>
      </c>
      <c r="N66">
        <v>7</v>
      </c>
    </row>
    <row r="67" spans="1:14" x14ac:dyDescent="0.25">
      <c r="A67" t="s">
        <v>130</v>
      </c>
      <c r="B67" t="s">
        <v>720</v>
      </c>
      <c r="C67">
        <v>6450.38</v>
      </c>
      <c r="D67">
        <v>1428.65</v>
      </c>
      <c r="E67">
        <v>4</v>
      </c>
      <c r="F67">
        <v>3</v>
      </c>
      <c r="I67" t="s">
        <v>39</v>
      </c>
      <c r="J67" s="10" t="s">
        <v>711</v>
      </c>
      <c r="K67" s="5">
        <v>3405.03</v>
      </c>
      <c r="L67" s="5">
        <v>884.06</v>
      </c>
      <c r="M67">
        <v>4</v>
      </c>
      <c r="N67">
        <v>7</v>
      </c>
    </row>
    <row r="68" spans="1:14" x14ac:dyDescent="0.25">
      <c r="A68" t="s">
        <v>130</v>
      </c>
      <c r="B68" t="s">
        <v>718</v>
      </c>
      <c r="C68">
        <v>2045.91</v>
      </c>
      <c r="D68">
        <v>418.73</v>
      </c>
      <c r="E68">
        <v>3</v>
      </c>
      <c r="F68">
        <v>3</v>
      </c>
      <c r="I68" t="s">
        <v>87</v>
      </c>
      <c r="J68" s="10" t="s">
        <v>710</v>
      </c>
      <c r="K68" s="5">
        <v>3269.37</v>
      </c>
      <c r="L68" s="5">
        <v>1085.4100000000001</v>
      </c>
      <c r="M68">
        <v>2</v>
      </c>
      <c r="N68">
        <v>2</v>
      </c>
    </row>
    <row r="69" spans="1:14" x14ac:dyDescent="0.25">
      <c r="A69" t="s">
        <v>130</v>
      </c>
      <c r="B69" t="s">
        <v>717</v>
      </c>
      <c r="C69">
        <v>2355.85</v>
      </c>
      <c r="D69">
        <v>356.88</v>
      </c>
      <c r="E69">
        <v>2</v>
      </c>
      <c r="F69">
        <v>1</v>
      </c>
      <c r="I69" t="s">
        <v>58</v>
      </c>
      <c r="J69" s="10" t="s">
        <v>710</v>
      </c>
      <c r="K69" s="5">
        <v>9897.75</v>
      </c>
      <c r="L69" s="5">
        <v>2652.22</v>
      </c>
      <c r="M69">
        <v>14</v>
      </c>
      <c r="N69">
        <v>5</v>
      </c>
    </row>
    <row r="70" spans="1:14" x14ac:dyDescent="0.25">
      <c r="A70" t="s">
        <v>130</v>
      </c>
      <c r="B70" t="s">
        <v>716</v>
      </c>
      <c r="C70">
        <v>2376.6799999999998</v>
      </c>
      <c r="D70">
        <v>773.68</v>
      </c>
      <c r="E70">
        <v>3</v>
      </c>
      <c r="F70">
        <v>6</v>
      </c>
      <c r="I70" t="s">
        <v>28</v>
      </c>
      <c r="J70" s="10" t="s">
        <v>710</v>
      </c>
      <c r="K70" s="5">
        <v>8016.39</v>
      </c>
      <c r="L70" s="5">
        <v>2485.71</v>
      </c>
      <c r="M70">
        <v>8</v>
      </c>
      <c r="N70">
        <v>9</v>
      </c>
    </row>
    <row r="71" spans="1:14" x14ac:dyDescent="0.25">
      <c r="A71" t="s">
        <v>130</v>
      </c>
      <c r="B71" t="s">
        <v>714</v>
      </c>
      <c r="C71">
        <v>2832.86</v>
      </c>
      <c r="D71">
        <v>661.32999999999993</v>
      </c>
      <c r="E71">
        <v>3</v>
      </c>
      <c r="F71">
        <v>9</v>
      </c>
      <c r="I71" t="s">
        <v>21</v>
      </c>
      <c r="J71" s="10" t="s">
        <v>710</v>
      </c>
      <c r="K71" s="5">
        <v>2048.6</v>
      </c>
      <c r="L71" s="5">
        <v>626.04999999999995</v>
      </c>
      <c r="M71">
        <v>3</v>
      </c>
      <c r="N71">
        <v>1</v>
      </c>
    </row>
    <row r="72" spans="1:14" x14ac:dyDescent="0.25">
      <c r="A72" t="s">
        <v>130</v>
      </c>
      <c r="B72" t="s">
        <v>713</v>
      </c>
      <c r="C72">
        <v>935.88</v>
      </c>
      <c r="D72">
        <v>186.51</v>
      </c>
      <c r="E72">
        <v>1</v>
      </c>
      <c r="F72">
        <v>4</v>
      </c>
      <c r="I72" t="s">
        <v>130</v>
      </c>
      <c r="J72" s="10" t="s">
        <v>710</v>
      </c>
      <c r="K72" s="5">
        <v>1567.87</v>
      </c>
      <c r="L72" s="5">
        <v>518.99</v>
      </c>
      <c r="M72">
        <v>3</v>
      </c>
      <c r="N72">
        <v>9</v>
      </c>
    </row>
    <row r="73" spans="1:14" x14ac:dyDescent="0.25">
      <c r="A73" t="s">
        <v>130</v>
      </c>
      <c r="B73" t="s">
        <v>712</v>
      </c>
      <c r="C73">
        <v>1719.38</v>
      </c>
      <c r="D73">
        <v>447.82000000000011</v>
      </c>
      <c r="E73">
        <v>2</v>
      </c>
      <c r="F73">
        <v>1</v>
      </c>
      <c r="I73" t="s">
        <v>39</v>
      </c>
      <c r="J73" s="10" t="s">
        <v>710</v>
      </c>
      <c r="K73" s="5">
        <v>263.04000000000002</v>
      </c>
      <c r="L73" s="5">
        <v>41.4</v>
      </c>
      <c r="M73">
        <v>1</v>
      </c>
      <c r="N73">
        <v>8</v>
      </c>
    </row>
    <row r="74" spans="1:14" x14ac:dyDescent="0.25">
      <c r="A74" t="s">
        <v>130</v>
      </c>
      <c r="B74" t="s">
        <v>711</v>
      </c>
      <c r="C74">
        <v>3220</v>
      </c>
      <c r="D74">
        <v>1219.8900000000001</v>
      </c>
      <c r="E74">
        <v>1</v>
      </c>
      <c r="F74">
        <v>7</v>
      </c>
      <c r="I74" t="s">
        <v>87</v>
      </c>
      <c r="J74" s="10" t="s">
        <v>709</v>
      </c>
      <c r="K74" s="5">
        <v>412.62</v>
      </c>
      <c r="L74" s="5">
        <v>155.44</v>
      </c>
      <c r="M74">
        <v>1</v>
      </c>
      <c r="N74">
        <v>8</v>
      </c>
    </row>
    <row r="75" spans="1:14" x14ac:dyDescent="0.25">
      <c r="A75" t="s">
        <v>130</v>
      </c>
      <c r="B75" t="s">
        <v>710</v>
      </c>
      <c r="C75">
        <v>1567.87</v>
      </c>
      <c r="D75">
        <v>518.99</v>
      </c>
      <c r="E75">
        <v>3</v>
      </c>
      <c r="F75">
        <v>9</v>
      </c>
      <c r="I75" t="s">
        <v>58</v>
      </c>
      <c r="J75" s="10" t="s">
        <v>709</v>
      </c>
      <c r="K75" s="5">
        <v>5404.6900000000014</v>
      </c>
      <c r="L75" s="5">
        <v>1469.09</v>
      </c>
      <c r="M75">
        <v>8</v>
      </c>
      <c r="N75">
        <v>3</v>
      </c>
    </row>
    <row r="76" spans="1:14" x14ac:dyDescent="0.25">
      <c r="A76" t="s">
        <v>130</v>
      </c>
      <c r="B76" t="s">
        <v>709</v>
      </c>
      <c r="C76">
        <v>4977.83</v>
      </c>
      <c r="D76">
        <v>1410.15</v>
      </c>
      <c r="E76">
        <v>3</v>
      </c>
      <c r="F76">
        <v>3</v>
      </c>
      <c r="I76" t="s">
        <v>28</v>
      </c>
      <c r="J76" s="10" t="s">
        <v>709</v>
      </c>
      <c r="K76" s="5">
        <v>5431.37</v>
      </c>
      <c r="L76" s="5">
        <v>1032.25</v>
      </c>
      <c r="M76">
        <v>5</v>
      </c>
      <c r="N76">
        <v>3</v>
      </c>
    </row>
    <row r="77" spans="1:14" x14ac:dyDescent="0.25">
      <c r="A77" t="s">
        <v>130</v>
      </c>
      <c r="B77" t="s">
        <v>723</v>
      </c>
      <c r="C77">
        <v>5111.88</v>
      </c>
      <c r="D77">
        <v>1879.68</v>
      </c>
      <c r="E77">
        <v>3</v>
      </c>
      <c r="F77">
        <v>6</v>
      </c>
      <c r="I77" t="s">
        <v>21</v>
      </c>
      <c r="J77" s="10" t="s">
        <v>709</v>
      </c>
      <c r="K77" s="5">
        <v>9137.09</v>
      </c>
      <c r="L77" s="5">
        <v>3200.92</v>
      </c>
      <c r="M77">
        <v>8</v>
      </c>
      <c r="N77">
        <v>7</v>
      </c>
    </row>
    <row r="78" spans="1:14" x14ac:dyDescent="0.25">
      <c r="A78" t="s">
        <v>130</v>
      </c>
      <c r="B78" t="s">
        <v>708</v>
      </c>
      <c r="C78">
        <v>2766.06</v>
      </c>
      <c r="D78">
        <v>693.37</v>
      </c>
      <c r="E78">
        <v>3</v>
      </c>
      <c r="F78">
        <v>5</v>
      </c>
      <c r="I78" t="s">
        <v>130</v>
      </c>
      <c r="J78" s="10" t="s">
        <v>709</v>
      </c>
      <c r="K78" s="5">
        <v>4977.83</v>
      </c>
      <c r="L78" s="5">
        <v>1410.15</v>
      </c>
      <c r="M78">
        <v>3</v>
      </c>
      <c r="N78">
        <v>3</v>
      </c>
    </row>
    <row r="79" spans="1:14" x14ac:dyDescent="0.25">
      <c r="A79" t="s">
        <v>39</v>
      </c>
      <c r="B79" t="s">
        <v>722</v>
      </c>
      <c r="C79">
        <v>843.2</v>
      </c>
      <c r="D79">
        <v>266.39</v>
      </c>
      <c r="E79">
        <v>1</v>
      </c>
      <c r="F79">
        <v>3</v>
      </c>
      <c r="I79" t="s">
        <v>39</v>
      </c>
      <c r="J79" s="10" t="s">
        <v>709</v>
      </c>
      <c r="K79" s="5">
        <v>168.63</v>
      </c>
      <c r="L79" s="5">
        <v>41.07</v>
      </c>
      <c r="M79">
        <v>1</v>
      </c>
      <c r="N79">
        <v>9</v>
      </c>
    </row>
    <row r="80" spans="1:14" x14ac:dyDescent="0.25">
      <c r="A80" t="s">
        <v>39</v>
      </c>
      <c r="B80" t="s">
        <v>721</v>
      </c>
      <c r="C80">
        <v>1171.42</v>
      </c>
      <c r="D80">
        <v>372.47</v>
      </c>
      <c r="E80">
        <v>1</v>
      </c>
      <c r="F80">
        <v>7</v>
      </c>
      <c r="I80" t="s">
        <v>87</v>
      </c>
      <c r="J80" s="10" t="s">
        <v>723</v>
      </c>
      <c r="K80" s="5">
        <v>2964.8</v>
      </c>
      <c r="L80" s="5">
        <v>920.04</v>
      </c>
      <c r="M80">
        <v>4</v>
      </c>
      <c r="N80">
        <v>4</v>
      </c>
    </row>
    <row r="81" spans="1:14" x14ac:dyDescent="0.25">
      <c r="A81" t="s">
        <v>39</v>
      </c>
      <c r="B81" t="s">
        <v>720</v>
      </c>
      <c r="C81">
        <v>3043.92</v>
      </c>
      <c r="D81">
        <v>836.17000000000007</v>
      </c>
      <c r="E81">
        <v>3</v>
      </c>
      <c r="F81">
        <v>5</v>
      </c>
      <c r="I81" t="s">
        <v>58</v>
      </c>
      <c r="J81" s="10" t="s">
        <v>723</v>
      </c>
      <c r="K81" s="5">
        <v>11784.96</v>
      </c>
      <c r="L81" s="5">
        <v>3759.57</v>
      </c>
      <c r="M81">
        <v>9</v>
      </c>
      <c r="N81">
        <v>5</v>
      </c>
    </row>
    <row r="82" spans="1:14" x14ac:dyDescent="0.25">
      <c r="A82" t="s">
        <v>39</v>
      </c>
      <c r="B82" t="s">
        <v>719</v>
      </c>
      <c r="C82">
        <v>1269.94</v>
      </c>
      <c r="D82">
        <v>439</v>
      </c>
      <c r="E82">
        <v>2</v>
      </c>
      <c r="F82">
        <v>5</v>
      </c>
      <c r="I82" t="s">
        <v>28</v>
      </c>
      <c r="J82" s="10" t="s">
        <v>723</v>
      </c>
      <c r="K82" s="5">
        <v>9021.380000000001</v>
      </c>
      <c r="L82" s="5">
        <v>3026.61</v>
      </c>
      <c r="M82">
        <v>7</v>
      </c>
      <c r="N82">
        <v>5</v>
      </c>
    </row>
    <row r="83" spans="1:14" x14ac:dyDescent="0.25">
      <c r="A83" t="s">
        <v>39</v>
      </c>
      <c r="B83" t="s">
        <v>718</v>
      </c>
      <c r="C83">
        <v>6434.71</v>
      </c>
      <c r="D83">
        <v>1817.21</v>
      </c>
      <c r="E83">
        <v>7</v>
      </c>
      <c r="F83">
        <v>7</v>
      </c>
      <c r="I83" t="s">
        <v>21</v>
      </c>
      <c r="J83" s="10" t="s">
        <v>723</v>
      </c>
      <c r="K83" s="5">
        <v>3271.86</v>
      </c>
      <c r="L83" s="5">
        <v>762.28</v>
      </c>
      <c r="M83">
        <v>4</v>
      </c>
      <c r="N83">
        <v>7</v>
      </c>
    </row>
    <row r="84" spans="1:14" x14ac:dyDescent="0.25">
      <c r="A84" t="s">
        <v>39</v>
      </c>
      <c r="B84" t="s">
        <v>717</v>
      </c>
      <c r="C84">
        <v>2631.25</v>
      </c>
      <c r="D84">
        <v>942.72</v>
      </c>
      <c r="E84">
        <v>2</v>
      </c>
      <c r="F84">
        <v>4</v>
      </c>
      <c r="I84" t="s">
        <v>130</v>
      </c>
      <c r="J84" s="10" t="s">
        <v>723</v>
      </c>
      <c r="K84" s="5">
        <v>5111.88</v>
      </c>
      <c r="L84" s="5">
        <v>1879.68</v>
      </c>
      <c r="M84">
        <v>3</v>
      </c>
      <c r="N84">
        <v>6</v>
      </c>
    </row>
    <row r="85" spans="1:14" x14ac:dyDescent="0.25">
      <c r="A85" t="s">
        <v>39</v>
      </c>
      <c r="B85" t="s">
        <v>716</v>
      </c>
      <c r="C85">
        <v>1201.2</v>
      </c>
      <c r="D85">
        <v>329.23</v>
      </c>
      <c r="E85">
        <v>1</v>
      </c>
      <c r="F85">
        <v>8</v>
      </c>
      <c r="I85" t="s">
        <v>87</v>
      </c>
      <c r="J85" s="10" t="s">
        <v>708</v>
      </c>
      <c r="K85" s="5">
        <v>1974.31</v>
      </c>
      <c r="L85" s="5">
        <v>627.41</v>
      </c>
      <c r="M85">
        <v>2</v>
      </c>
      <c r="N85">
        <v>9</v>
      </c>
    </row>
    <row r="86" spans="1:14" x14ac:dyDescent="0.25">
      <c r="A86" t="s">
        <v>39</v>
      </c>
      <c r="B86" t="s">
        <v>715</v>
      </c>
      <c r="C86">
        <v>7486.09</v>
      </c>
      <c r="D86">
        <v>2363.9299999999998</v>
      </c>
      <c r="E86">
        <v>5</v>
      </c>
      <c r="F86">
        <v>3</v>
      </c>
      <c r="I86" t="s">
        <v>58</v>
      </c>
      <c r="J86" s="10" t="s">
        <v>708</v>
      </c>
      <c r="K86" s="5">
        <v>16779.43</v>
      </c>
      <c r="L86" s="5">
        <v>5047.63</v>
      </c>
      <c r="M86">
        <v>17</v>
      </c>
      <c r="N86">
        <v>8</v>
      </c>
    </row>
    <row r="87" spans="1:14" x14ac:dyDescent="0.25">
      <c r="A87" t="s">
        <v>39</v>
      </c>
      <c r="B87" t="s">
        <v>714</v>
      </c>
      <c r="C87">
        <v>1381.76</v>
      </c>
      <c r="D87">
        <v>269.22000000000003</v>
      </c>
      <c r="E87">
        <v>1</v>
      </c>
      <c r="F87">
        <v>6</v>
      </c>
      <c r="I87" t="s">
        <v>28</v>
      </c>
      <c r="J87" s="10" t="s">
        <v>708</v>
      </c>
      <c r="K87" s="5">
        <v>7453.18</v>
      </c>
      <c r="L87" s="5">
        <v>1835.78</v>
      </c>
      <c r="M87">
        <v>8</v>
      </c>
      <c r="N87">
        <v>6</v>
      </c>
    </row>
    <row r="88" spans="1:14" x14ac:dyDescent="0.25">
      <c r="A88" t="s">
        <v>39</v>
      </c>
      <c r="B88" t="s">
        <v>713</v>
      </c>
      <c r="C88">
        <v>338.16</v>
      </c>
      <c r="D88">
        <v>134.77000000000001</v>
      </c>
      <c r="E88">
        <v>1</v>
      </c>
      <c r="F88">
        <v>4</v>
      </c>
      <c r="I88" t="s">
        <v>21</v>
      </c>
      <c r="J88" s="10" t="s">
        <v>708</v>
      </c>
      <c r="K88" s="5">
        <v>6394.1900000000014</v>
      </c>
      <c r="L88" s="5">
        <v>1658.61</v>
      </c>
      <c r="M88">
        <v>7</v>
      </c>
      <c r="N88">
        <v>4</v>
      </c>
    </row>
    <row r="89" spans="1:14" x14ac:dyDescent="0.25">
      <c r="A89" t="s">
        <v>39</v>
      </c>
      <c r="B89" t="s">
        <v>712</v>
      </c>
      <c r="C89">
        <v>3025.92</v>
      </c>
      <c r="D89">
        <v>866.08</v>
      </c>
      <c r="E89">
        <v>3</v>
      </c>
      <c r="F89">
        <v>7</v>
      </c>
      <c r="I89" t="s">
        <v>130</v>
      </c>
      <c r="J89" s="10" t="s">
        <v>708</v>
      </c>
      <c r="K89" s="5">
        <v>2766.06</v>
      </c>
      <c r="L89" s="5">
        <v>693.37</v>
      </c>
      <c r="M89">
        <v>3</v>
      </c>
      <c r="N89">
        <v>5</v>
      </c>
    </row>
    <row r="90" spans="1:14" x14ac:dyDescent="0.25">
      <c r="A90" t="s">
        <v>39</v>
      </c>
      <c r="B90" t="s">
        <v>711</v>
      </c>
      <c r="C90">
        <v>3405.03</v>
      </c>
      <c r="D90">
        <v>884.06</v>
      </c>
      <c r="E90">
        <v>4</v>
      </c>
      <c r="F90">
        <v>7</v>
      </c>
      <c r="I90" t="s">
        <v>39</v>
      </c>
      <c r="J90" s="10" t="s">
        <v>708</v>
      </c>
      <c r="K90" s="5">
        <v>1172.08</v>
      </c>
      <c r="L90" s="5">
        <v>375.08</v>
      </c>
      <c r="M90">
        <v>1</v>
      </c>
      <c r="N90">
        <v>7</v>
      </c>
    </row>
    <row r="91" spans="1:14" x14ac:dyDescent="0.25">
      <c r="A91" t="s">
        <v>39</v>
      </c>
      <c r="B91" t="s">
        <v>710</v>
      </c>
      <c r="C91">
        <v>263.04000000000002</v>
      </c>
      <c r="D91">
        <v>41.4</v>
      </c>
      <c r="E91">
        <v>1</v>
      </c>
      <c r="F91">
        <v>8</v>
      </c>
      <c r="I91" t="s">
        <v>58</v>
      </c>
      <c r="J91" s="10" t="s">
        <v>707</v>
      </c>
      <c r="K91" s="5">
        <v>4379.2</v>
      </c>
      <c r="L91" s="5">
        <v>1129.18</v>
      </c>
      <c r="M91">
        <v>8</v>
      </c>
      <c r="N91">
        <v>1</v>
      </c>
    </row>
    <row r="92" spans="1:14" x14ac:dyDescent="0.25">
      <c r="A92" t="s">
        <v>39</v>
      </c>
      <c r="B92" t="s">
        <v>709</v>
      </c>
      <c r="C92">
        <v>168.63</v>
      </c>
      <c r="D92">
        <v>41.07</v>
      </c>
      <c r="E92">
        <v>1</v>
      </c>
      <c r="F92">
        <v>9</v>
      </c>
      <c r="I92" t="s">
        <v>28</v>
      </c>
      <c r="J92" s="10" t="s">
        <v>707</v>
      </c>
      <c r="K92" s="5">
        <v>1425.71</v>
      </c>
      <c r="L92" s="5">
        <v>356.57</v>
      </c>
      <c r="M92">
        <v>5</v>
      </c>
      <c r="N92">
        <v>5</v>
      </c>
    </row>
    <row r="93" spans="1:14" x14ac:dyDescent="0.25">
      <c r="A93" t="s">
        <v>39</v>
      </c>
      <c r="B93" t="s">
        <v>708</v>
      </c>
      <c r="C93">
        <v>1172.08</v>
      </c>
      <c r="D93">
        <v>375.08</v>
      </c>
      <c r="E93">
        <v>1</v>
      </c>
      <c r="F93">
        <v>7</v>
      </c>
      <c r="I93" t="s">
        <v>21</v>
      </c>
      <c r="J93" s="10" t="s">
        <v>707</v>
      </c>
      <c r="K93" s="5">
        <v>2899.87</v>
      </c>
      <c r="L93" s="5">
        <v>735.74</v>
      </c>
      <c r="M93">
        <v>2</v>
      </c>
      <c r="N93">
        <v>9</v>
      </c>
    </row>
    <row r="94" spans="1:14" x14ac:dyDescent="0.25">
      <c r="A94" t="s">
        <v>39</v>
      </c>
      <c r="B94" t="s">
        <v>707</v>
      </c>
      <c r="C94">
        <v>1027.68</v>
      </c>
      <c r="D94">
        <v>357.73</v>
      </c>
      <c r="E94">
        <v>1</v>
      </c>
      <c r="F94">
        <v>1</v>
      </c>
      <c r="I94" t="s">
        <v>39</v>
      </c>
      <c r="J94" s="10" t="s">
        <v>707</v>
      </c>
      <c r="K94" s="5">
        <v>1027.68</v>
      </c>
      <c r="L94" s="5">
        <v>357.73</v>
      </c>
      <c r="M94">
        <v>1</v>
      </c>
      <c r="N94">
        <v>1</v>
      </c>
    </row>
  </sheetData>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Data Cleaning &amp; Formatting</vt:lpstr>
      <vt:lpstr>Formulas &amp; Business Metrics</vt:lpstr>
      <vt:lpstr>Text Parsing &amp; ID Generation</vt:lpstr>
      <vt:lpstr>Logical Classification</vt:lpstr>
      <vt:lpstr>Cross Workbook Lookups</vt:lpstr>
      <vt:lpstr>Conditional Aggregation</vt:lpstr>
      <vt:lpstr>Pivot Analysis</vt:lpstr>
      <vt:lpstr>Comparative Charts</vt:lpstr>
      <vt:lpstr>Macro Recording</vt:lpstr>
      <vt:lpstr>Trade Performance Dashboard</vt:lpstr>
      <vt:lpstr>Supporting Analysis</vt:lpstr>
      <vt:lpstr>Raw_Data</vt:lpstr>
      <vt:lpstr>Products</vt:lpstr>
      <vt:lpstr>Regions</vt:lpstr>
      <vt:lpstr>Monthly_Performance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2026-09-05T01:53:03Z</dcterms:modified>
</cp:coreProperties>
</file>